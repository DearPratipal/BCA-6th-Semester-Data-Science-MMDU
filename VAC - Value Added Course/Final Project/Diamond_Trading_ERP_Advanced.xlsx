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ATI\Desktop\"/>
    </mc:Choice>
  </mc:AlternateContent>
  <xr:revisionPtr revIDLastSave="0" documentId="13_ncr:1_{D5FF489B-935F-48C8-81CE-7DA6D4BF2345}" xr6:coauthVersionLast="47" xr6:coauthVersionMax="47" xr10:uidLastSave="{00000000-0000-0000-0000-000000000000}"/>
  <bookViews>
    <workbookView xWindow="-108" yWindow="-108" windowWidth="23256" windowHeight="12456" tabRatio="852" firstSheet="3" activeTab="11" xr2:uid="{00000000-000D-0000-FFFF-FFFF00000000}"/>
  </bookViews>
  <sheets>
    <sheet name="Customers" sheetId="1" r:id="rId1"/>
    <sheet name="Suppliers" sheetId="2" r:id="rId2"/>
    <sheet name="FX Rates" sheetId="3" r:id="rId3"/>
    <sheet name="Inventory Master" sheetId="4" r:id="rId4"/>
    <sheet name="Purchase Entry" sheetId="5" r:id="rId5"/>
    <sheet name="Sales Entry" sheetId="6" r:id="rId6"/>
    <sheet name="Receivable Aging" sheetId="7" r:id="rId7"/>
    <sheet name="Payable Aging" sheetId="8" r:id="rId8"/>
    <sheet name="Payments Received" sheetId="9" r:id="rId9"/>
    <sheet name="Payments Made" sheetId="10" r:id="rId10"/>
    <sheet name="Invoice Template" sheetId="11" r:id="rId11"/>
    <sheet name="Dashboar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9" i="8" l="1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J999" i="6"/>
  <c r="H999" i="6"/>
  <c r="J998" i="6"/>
  <c r="H998" i="6"/>
  <c r="J997" i="6"/>
  <c r="H997" i="6"/>
  <c r="J996" i="6"/>
  <c r="H996" i="6"/>
  <c r="J995" i="6"/>
  <c r="H995" i="6"/>
  <c r="J994" i="6"/>
  <c r="H994" i="6"/>
  <c r="J993" i="6"/>
  <c r="H993" i="6"/>
  <c r="J992" i="6"/>
  <c r="H992" i="6"/>
  <c r="J991" i="6"/>
  <c r="H991" i="6"/>
  <c r="J990" i="6"/>
  <c r="H990" i="6"/>
  <c r="J989" i="6"/>
  <c r="H989" i="6"/>
  <c r="J988" i="6"/>
  <c r="H988" i="6"/>
  <c r="J987" i="6"/>
  <c r="H987" i="6"/>
  <c r="J986" i="6"/>
  <c r="H986" i="6"/>
  <c r="J985" i="6"/>
  <c r="H985" i="6"/>
  <c r="J984" i="6"/>
  <c r="H984" i="6"/>
  <c r="J983" i="6"/>
  <c r="H983" i="6"/>
  <c r="J982" i="6"/>
  <c r="H982" i="6"/>
  <c r="J981" i="6"/>
  <c r="H981" i="6"/>
  <c r="J980" i="6"/>
  <c r="H980" i="6"/>
  <c r="J979" i="6"/>
  <c r="H979" i="6"/>
  <c r="J978" i="6"/>
  <c r="H978" i="6"/>
  <c r="J977" i="6"/>
  <c r="H977" i="6"/>
  <c r="J976" i="6"/>
  <c r="H976" i="6"/>
  <c r="J975" i="6"/>
  <c r="H975" i="6"/>
  <c r="J974" i="6"/>
  <c r="H974" i="6"/>
  <c r="J973" i="6"/>
  <c r="H973" i="6"/>
  <c r="J972" i="6"/>
  <c r="H972" i="6"/>
  <c r="J971" i="6"/>
  <c r="H971" i="6"/>
  <c r="J970" i="6"/>
  <c r="H970" i="6"/>
  <c r="J969" i="6"/>
  <c r="H969" i="6"/>
  <c r="J968" i="6"/>
  <c r="H968" i="6"/>
  <c r="J967" i="6"/>
  <c r="H967" i="6"/>
  <c r="J966" i="6"/>
  <c r="H966" i="6"/>
  <c r="J965" i="6"/>
  <c r="H965" i="6"/>
  <c r="J964" i="6"/>
  <c r="H964" i="6"/>
  <c r="J963" i="6"/>
  <c r="H963" i="6"/>
  <c r="J962" i="6"/>
  <c r="H962" i="6"/>
  <c r="J961" i="6"/>
  <c r="H961" i="6"/>
  <c r="J960" i="6"/>
  <c r="H960" i="6"/>
  <c r="J959" i="6"/>
  <c r="H959" i="6"/>
  <c r="J958" i="6"/>
  <c r="H958" i="6"/>
  <c r="J957" i="6"/>
  <c r="H957" i="6"/>
  <c r="J956" i="6"/>
  <c r="H956" i="6"/>
  <c r="J955" i="6"/>
  <c r="H955" i="6"/>
  <c r="J954" i="6"/>
  <c r="H954" i="6"/>
  <c r="J953" i="6"/>
  <c r="H953" i="6"/>
  <c r="J952" i="6"/>
  <c r="H952" i="6"/>
  <c r="J951" i="6"/>
  <c r="H951" i="6"/>
  <c r="J950" i="6"/>
  <c r="H950" i="6"/>
  <c r="J949" i="6"/>
  <c r="H949" i="6"/>
  <c r="J948" i="6"/>
  <c r="H948" i="6"/>
  <c r="J947" i="6"/>
  <c r="H947" i="6"/>
  <c r="J946" i="6"/>
  <c r="H946" i="6"/>
  <c r="J945" i="6"/>
  <c r="H945" i="6"/>
  <c r="J944" i="6"/>
  <c r="H944" i="6"/>
  <c r="J943" i="6"/>
  <c r="H943" i="6"/>
  <c r="J942" i="6"/>
  <c r="H942" i="6"/>
  <c r="J941" i="6"/>
  <c r="H941" i="6"/>
  <c r="J940" i="6"/>
  <c r="H940" i="6"/>
  <c r="J939" i="6"/>
  <c r="H939" i="6"/>
  <c r="J938" i="6"/>
  <c r="H938" i="6"/>
  <c r="J937" i="6"/>
  <c r="H937" i="6"/>
  <c r="J936" i="6"/>
  <c r="H936" i="6"/>
  <c r="J935" i="6"/>
  <c r="H935" i="6"/>
  <c r="J934" i="6"/>
  <c r="H934" i="6"/>
  <c r="J933" i="6"/>
  <c r="H933" i="6"/>
  <c r="J932" i="6"/>
  <c r="H932" i="6"/>
  <c r="J931" i="6"/>
  <c r="H931" i="6"/>
  <c r="J930" i="6"/>
  <c r="H930" i="6"/>
  <c r="J929" i="6"/>
  <c r="H929" i="6"/>
  <c r="J928" i="6"/>
  <c r="H928" i="6"/>
  <c r="J927" i="6"/>
  <c r="H927" i="6"/>
  <c r="J926" i="6"/>
  <c r="H926" i="6"/>
  <c r="J925" i="6"/>
  <c r="H925" i="6"/>
  <c r="J924" i="6"/>
  <c r="H924" i="6"/>
  <c r="J923" i="6"/>
  <c r="H923" i="6"/>
  <c r="J922" i="6"/>
  <c r="H922" i="6"/>
  <c r="J921" i="6"/>
  <c r="H921" i="6"/>
  <c r="J920" i="6"/>
  <c r="H920" i="6"/>
  <c r="J919" i="6"/>
  <c r="H919" i="6"/>
  <c r="J918" i="6"/>
  <c r="H918" i="6"/>
  <c r="J917" i="6"/>
  <c r="H917" i="6"/>
  <c r="J916" i="6"/>
  <c r="H916" i="6"/>
  <c r="J915" i="6"/>
  <c r="H915" i="6"/>
  <c r="J914" i="6"/>
  <c r="H914" i="6"/>
  <c r="J913" i="6"/>
  <c r="H913" i="6"/>
  <c r="J912" i="6"/>
  <c r="H912" i="6"/>
  <c r="J911" i="6"/>
  <c r="H911" i="6"/>
  <c r="J910" i="6"/>
  <c r="H910" i="6"/>
  <c r="J909" i="6"/>
  <c r="H909" i="6"/>
  <c r="J908" i="6"/>
  <c r="H908" i="6"/>
  <c r="J907" i="6"/>
  <c r="H907" i="6"/>
  <c r="J906" i="6"/>
  <c r="H906" i="6"/>
  <c r="J905" i="6"/>
  <c r="H905" i="6"/>
  <c r="J904" i="6"/>
  <c r="H904" i="6"/>
  <c r="J903" i="6"/>
  <c r="H903" i="6"/>
  <c r="J902" i="6"/>
  <c r="H902" i="6"/>
  <c r="J901" i="6"/>
  <c r="H901" i="6"/>
  <c r="J900" i="6"/>
  <c r="H900" i="6"/>
  <c r="J899" i="6"/>
  <c r="H899" i="6"/>
  <c r="J898" i="6"/>
  <c r="H898" i="6"/>
  <c r="J897" i="6"/>
  <c r="H897" i="6"/>
  <c r="J896" i="6"/>
  <c r="H896" i="6"/>
  <c r="J895" i="6"/>
  <c r="H895" i="6"/>
  <c r="J894" i="6"/>
  <c r="H894" i="6"/>
  <c r="J893" i="6"/>
  <c r="H893" i="6"/>
  <c r="J892" i="6"/>
  <c r="H892" i="6"/>
  <c r="J891" i="6"/>
  <c r="H891" i="6"/>
  <c r="J890" i="6"/>
  <c r="H890" i="6"/>
  <c r="J889" i="6"/>
  <c r="H889" i="6"/>
  <c r="J888" i="6"/>
  <c r="H888" i="6"/>
  <c r="J887" i="6"/>
  <c r="H887" i="6"/>
  <c r="J886" i="6"/>
  <c r="H886" i="6"/>
  <c r="J885" i="6"/>
  <c r="H885" i="6"/>
  <c r="J884" i="6"/>
  <c r="H884" i="6"/>
  <c r="J883" i="6"/>
  <c r="H883" i="6"/>
  <c r="J882" i="6"/>
  <c r="H882" i="6"/>
  <c r="J881" i="6"/>
  <c r="H881" i="6"/>
  <c r="J880" i="6"/>
  <c r="H880" i="6"/>
  <c r="J879" i="6"/>
  <c r="H879" i="6"/>
  <c r="J878" i="6"/>
  <c r="H878" i="6"/>
  <c r="J877" i="6"/>
  <c r="H877" i="6"/>
  <c r="J876" i="6"/>
  <c r="H876" i="6"/>
  <c r="J875" i="6"/>
  <c r="H875" i="6"/>
  <c r="J874" i="6"/>
  <c r="H874" i="6"/>
  <c r="J873" i="6"/>
  <c r="H873" i="6"/>
  <c r="J872" i="6"/>
  <c r="H872" i="6"/>
  <c r="J871" i="6"/>
  <c r="H871" i="6"/>
  <c r="J870" i="6"/>
  <c r="H870" i="6"/>
  <c r="J869" i="6"/>
  <c r="H869" i="6"/>
  <c r="J868" i="6"/>
  <c r="H868" i="6"/>
  <c r="J867" i="6"/>
  <c r="H867" i="6"/>
  <c r="J866" i="6"/>
  <c r="H866" i="6"/>
  <c r="J865" i="6"/>
  <c r="H865" i="6"/>
  <c r="J864" i="6"/>
  <c r="H864" i="6"/>
  <c r="J863" i="6"/>
  <c r="H863" i="6"/>
  <c r="J862" i="6"/>
  <c r="H862" i="6"/>
  <c r="J861" i="6"/>
  <c r="H861" i="6"/>
  <c r="J860" i="6"/>
  <c r="H860" i="6"/>
  <c r="J859" i="6"/>
  <c r="H859" i="6"/>
  <c r="J858" i="6"/>
  <c r="H858" i="6"/>
  <c r="J857" i="6"/>
  <c r="H857" i="6"/>
  <c r="J856" i="6"/>
  <c r="H856" i="6"/>
  <c r="J855" i="6"/>
  <c r="H855" i="6"/>
  <c r="J854" i="6"/>
  <c r="H854" i="6"/>
  <c r="J853" i="6"/>
  <c r="H853" i="6"/>
  <c r="J852" i="6"/>
  <c r="H852" i="6"/>
  <c r="J851" i="6"/>
  <c r="H851" i="6"/>
  <c r="J850" i="6"/>
  <c r="H850" i="6"/>
  <c r="J849" i="6"/>
  <c r="H849" i="6"/>
  <c r="J848" i="6"/>
  <c r="H848" i="6"/>
  <c r="J847" i="6"/>
  <c r="H847" i="6"/>
  <c r="J846" i="6"/>
  <c r="H846" i="6"/>
  <c r="J845" i="6"/>
  <c r="H845" i="6"/>
  <c r="J844" i="6"/>
  <c r="H844" i="6"/>
  <c r="J843" i="6"/>
  <c r="H843" i="6"/>
  <c r="J842" i="6"/>
  <c r="H842" i="6"/>
  <c r="J841" i="6"/>
  <c r="H841" i="6"/>
  <c r="J840" i="6"/>
  <c r="H840" i="6"/>
  <c r="J839" i="6"/>
  <c r="H839" i="6"/>
  <c r="J838" i="6"/>
  <c r="H838" i="6"/>
  <c r="J837" i="6"/>
  <c r="H837" i="6"/>
  <c r="J836" i="6"/>
  <c r="H836" i="6"/>
  <c r="J835" i="6"/>
  <c r="H835" i="6"/>
  <c r="J834" i="6"/>
  <c r="H834" i="6"/>
  <c r="J833" i="6"/>
  <c r="H833" i="6"/>
  <c r="J832" i="6"/>
  <c r="H832" i="6"/>
  <c r="J831" i="6"/>
  <c r="H831" i="6"/>
  <c r="J830" i="6"/>
  <c r="H830" i="6"/>
  <c r="J829" i="6"/>
  <c r="H829" i="6"/>
  <c r="J828" i="6"/>
  <c r="H828" i="6"/>
  <c r="J827" i="6"/>
  <c r="H827" i="6"/>
  <c r="J826" i="6"/>
  <c r="H826" i="6"/>
  <c r="J825" i="6"/>
  <c r="H825" i="6"/>
  <c r="J824" i="6"/>
  <c r="H824" i="6"/>
  <c r="J823" i="6"/>
  <c r="H823" i="6"/>
  <c r="J822" i="6"/>
  <c r="H822" i="6"/>
  <c r="J821" i="6"/>
  <c r="H821" i="6"/>
  <c r="J820" i="6"/>
  <c r="H820" i="6"/>
  <c r="J819" i="6"/>
  <c r="H819" i="6"/>
  <c r="J818" i="6"/>
  <c r="H818" i="6"/>
  <c r="J817" i="6"/>
  <c r="H817" i="6"/>
  <c r="J816" i="6"/>
  <c r="H816" i="6"/>
  <c r="J815" i="6"/>
  <c r="H815" i="6"/>
  <c r="J814" i="6"/>
  <c r="H814" i="6"/>
  <c r="J813" i="6"/>
  <c r="H813" i="6"/>
  <c r="J812" i="6"/>
  <c r="H812" i="6"/>
  <c r="J811" i="6"/>
  <c r="H811" i="6"/>
  <c r="J810" i="6"/>
  <c r="H810" i="6"/>
  <c r="J809" i="6"/>
  <c r="H809" i="6"/>
  <c r="J808" i="6"/>
  <c r="H808" i="6"/>
  <c r="J807" i="6"/>
  <c r="H807" i="6"/>
  <c r="J806" i="6"/>
  <c r="H806" i="6"/>
  <c r="J805" i="6"/>
  <c r="H805" i="6"/>
  <c r="J804" i="6"/>
  <c r="H804" i="6"/>
  <c r="J803" i="6"/>
  <c r="H803" i="6"/>
  <c r="J802" i="6"/>
  <c r="H802" i="6"/>
  <c r="J801" i="6"/>
  <c r="H801" i="6"/>
  <c r="J800" i="6"/>
  <c r="H800" i="6"/>
  <c r="J799" i="6"/>
  <c r="H799" i="6"/>
  <c r="J798" i="6"/>
  <c r="H798" i="6"/>
  <c r="J797" i="6"/>
  <c r="H797" i="6"/>
  <c r="J796" i="6"/>
  <c r="H796" i="6"/>
  <c r="J795" i="6"/>
  <c r="H795" i="6"/>
  <c r="J794" i="6"/>
  <c r="H794" i="6"/>
  <c r="J793" i="6"/>
  <c r="H793" i="6"/>
  <c r="J792" i="6"/>
  <c r="H792" i="6"/>
  <c r="J791" i="6"/>
  <c r="H791" i="6"/>
  <c r="J790" i="6"/>
  <c r="H790" i="6"/>
  <c r="J789" i="6"/>
  <c r="H789" i="6"/>
  <c r="J788" i="6"/>
  <c r="H788" i="6"/>
  <c r="J787" i="6"/>
  <c r="H787" i="6"/>
  <c r="J786" i="6"/>
  <c r="H786" i="6"/>
  <c r="J785" i="6"/>
  <c r="H785" i="6"/>
  <c r="J784" i="6"/>
  <c r="H784" i="6"/>
  <c r="J783" i="6"/>
  <c r="H783" i="6"/>
  <c r="J782" i="6"/>
  <c r="H782" i="6"/>
  <c r="J781" i="6"/>
  <c r="H781" i="6"/>
  <c r="J780" i="6"/>
  <c r="H780" i="6"/>
  <c r="J779" i="6"/>
  <c r="H779" i="6"/>
  <c r="J778" i="6"/>
  <c r="H778" i="6"/>
  <c r="J777" i="6"/>
  <c r="H777" i="6"/>
  <c r="J776" i="6"/>
  <c r="H776" i="6"/>
  <c r="J775" i="6"/>
  <c r="H775" i="6"/>
  <c r="J774" i="6"/>
  <c r="H774" i="6"/>
  <c r="J773" i="6"/>
  <c r="H773" i="6"/>
  <c r="J772" i="6"/>
  <c r="H772" i="6"/>
  <c r="J771" i="6"/>
  <c r="H771" i="6"/>
  <c r="J770" i="6"/>
  <c r="H770" i="6"/>
  <c r="J769" i="6"/>
  <c r="H769" i="6"/>
  <c r="J768" i="6"/>
  <c r="H768" i="6"/>
  <c r="J767" i="6"/>
  <c r="H767" i="6"/>
  <c r="J766" i="6"/>
  <c r="H766" i="6"/>
  <c r="J765" i="6"/>
  <c r="H765" i="6"/>
  <c r="J764" i="6"/>
  <c r="H764" i="6"/>
  <c r="J763" i="6"/>
  <c r="H763" i="6"/>
  <c r="J762" i="6"/>
  <c r="H762" i="6"/>
  <c r="J761" i="6"/>
  <c r="H761" i="6"/>
  <c r="J760" i="6"/>
  <c r="H760" i="6"/>
  <c r="J759" i="6"/>
  <c r="H759" i="6"/>
  <c r="J758" i="6"/>
  <c r="H758" i="6"/>
  <c r="J757" i="6"/>
  <c r="H757" i="6"/>
  <c r="J756" i="6"/>
  <c r="H756" i="6"/>
  <c r="J755" i="6"/>
  <c r="H755" i="6"/>
  <c r="J754" i="6"/>
  <c r="H754" i="6"/>
  <c r="J753" i="6"/>
  <c r="H753" i="6"/>
  <c r="J752" i="6"/>
  <c r="H752" i="6"/>
  <c r="J751" i="6"/>
  <c r="H751" i="6"/>
  <c r="J750" i="6"/>
  <c r="H750" i="6"/>
  <c r="J749" i="6"/>
  <c r="H749" i="6"/>
  <c r="J748" i="6"/>
  <c r="H748" i="6"/>
  <c r="J747" i="6"/>
  <c r="H747" i="6"/>
  <c r="J746" i="6"/>
  <c r="H746" i="6"/>
  <c r="J745" i="6"/>
  <c r="H745" i="6"/>
  <c r="J744" i="6"/>
  <c r="H744" i="6"/>
  <c r="J743" i="6"/>
  <c r="H743" i="6"/>
  <c r="J742" i="6"/>
  <c r="H742" i="6"/>
  <c r="J741" i="6"/>
  <c r="H741" i="6"/>
  <c r="J740" i="6"/>
  <c r="H740" i="6"/>
  <c r="J739" i="6"/>
  <c r="H739" i="6"/>
  <c r="J738" i="6"/>
  <c r="H738" i="6"/>
  <c r="J737" i="6"/>
  <c r="H737" i="6"/>
  <c r="J736" i="6"/>
  <c r="H736" i="6"/>
  <c r="J735" i="6"/>
  <c r="H735" i="6"/>
  <c r="J734" i="6"/>
  <c r="H734" i="6"/>
  <c r="J733" i="6"/>
  <c r="H733" i="6"/>
  <c r="J732" i="6"/>
  <c r="H732" i="6"/>
  <c r="J731" i="6"/>
  <c r="H731" i="6"/>
  <c r="J730" i="6"/>
  <c r="H730" i="6"/>
  <c r="J729" i="6"/>
  <c r="H729" i="6"/>
  <c r="J728" i="6"/>
  <c r="H728" i="6"/>
  <c r="J727" i="6"/>
  <c r="H727" i="6"/>
  <c r="J726" i="6"/>
  <c r="H726" i="6"/>
  <c r="J725" i="6"/>
  <c r="H725" i="6"/>
  <c r="J724" i="6"/>
  <c r="H724" i="6"/>
  <c r="J723" i="6"/>
  <c r="H723" i="6"/>
  <c r="J722" i="6"/>
  <c r="H722" i="6"/>
  <c r="J721" i="6"/>
  <c r="H721" i="6"/>
  <c r="J720" i="6"/>
  <c r="H720" i="6"/>
  <c r="J719" i="6"/>
  <c r="H719" i="6"/>
  <c r="J718" i="6"/>
  <c r="H718" i="6"/>
  <c r="J717" i="6"/>
  <c r="H717" i="6"/>
  <c r="J716" i="6"/>
  <c r="H716" i="6"/>
  <c r="J715" i="6"/>
  <c r="H715" i="6"/>
  <c r="J714" i="6"/>
  <c r="H714" i="6"/>
  <c r="J713" i="6"/>
  <c r="H713" i="6"/>
  <c r="J712" i="6"/>
  <c r="H712" i="6"/>
  <c r="J711" i="6"/>
  <c r="H711" i="6"/>
  <c r="J710" i="6"/>
  <c r="H710" i="6"/>
  <c r="J709" i="6"/>
  <c r="H709" i="6"/>
  <c r="J708" i="6"/>
  <c r="H708" i="6"/>
  <c r="J707" i="6"/>
  <c r="H707" i="6"/>
  <c r="J706" i="6"/>
  <c r="H706" i="6"/>
  <c r="J705" i="6"/>
  <c r="H705" i="6"/>
  <c r="J704" i="6"/>
  <c r="H704" i="6"/>
  <c r="J703" i="6"/>
  <c r="H703" i="6"/>
  <c r="J702" i="6"/>
  <c r="H702" i="6"/>
  <c r="J701" i="6"/>
  <c r="H701" i="6"/>
  <c r="J700" i="6"/>
  <c r="H700" i="6"/>
  <c r="J699" i="6"/>
  <c r="H699" i="6"/>
  <c r="J698" i="6"/>
  <c r="H698" i="6"/>
  <c r="J697" i="6"/>
  <c r="H697" i="6"/>
  <c r="J696" i="6"/>
  <c r="H696" i="6"/>
  <c r="J695" i="6"/>
  <c r="H695" i="6"/>
  <c r="J694" i="6"/>
  <c r="H694" i="6"/>
  <c r="J693" i="6"/>
  <c r="H693" i="6"/>
  <c r="J692" i="6"/>
  <c r="H692" i="6"/>
  <c r="J691" i="6"/>
  <c r="H691" i="6"/>
  <c r="J690" i="6"/>
  <c r="H690" i="6"/>
  <c r="J689" i="6"/>
  <c r="H689" i="6"/>
  <c r="J688" i="6"/>
  <c r="H688" i="6"/>
  <c r="J687" i="6"/>
  <c r="H687" i="6"/>
  <c r="J686" i="6"/>
  <c r="H686" i="6"/>
  <c r="J685" i="6"/>
  <c r="H685" i="6"/>
  <c r="J684" i="6"/>
  <c r="H684" i="6"/>
  <c r="J683" i="6"/>
  <c r="H683" i="6"/>
  <c r="J682" i="6"/>
  <c r="H682" i="6"/>
  <c r="J681" i="6"/>
  <c r="H681" i="6"/>
  <c r="J680" i="6"/>
  <c r="H680" i="6"/>
  <c r="J679" i="6"/>
  <c r="H679" i="6"/>
  <c r="J678" i="6"/>
  <c r="H678" i="6"/>
  <c r="J677" i="6"/>
  <c r="H677" i="6"/>
  <c r="J676" i="6"/>
  <c r="H676" i="6"/>
  <c r="J675" i="6"/>
  <c r="H675" i="6"/>
  <c r="J674" i="6"/>
  <c r="H674" i="6"/>
  <c r="J673" i="6"/>
  <c r="H673" i="6"/>
  <c r="J672" i="6"/>
  <c r="H672" i="6"/>
  <c r="J671" i="6"/>
  <c r="H671" i="6"/>
  <c r="J670" i="6"/>
  <c r="H670" i="6"/>
  <c r="J669" i="6"/>
  <c r="H669" i="6"/>
  <c r="J668" i="6"/>
  <c r="H668" i="6"/>
  <c r="J667" i="6"/>
  <c r="H667" i="6"/>
  <c r="J666" i="6"/>
  <c r="H666" i="6"/>
  <c r="J665" i="6"/>
  <c r="H665" i="6"/>
  <c r="J664" i="6"/>
  <c r="H664" i="6"/>
  <c r="J663" i="6"/>
  <c r="H663" i="6"/>
  <c r="J662" i="6"/>
  <c r="H662" i="6"/>
  <c r="J661" i="6"/>
  <c r="H661" i="6"/>
  <c r="J660" i="6"/>
  <c r="H660" i="6"/>
  <c r="J659" i="6"/>
  <c r="H659" i="6"/>
  <c r="J658" i="6"/>
  <c r="H658" i="6"/>
  <c r="J657" i="6"/>
  <c r="H657" i="6"/>
  <c r="J656" i="6"/>
  <c r="H656" i="6"/>
  <c r="J655" i="6"/>
  <c r="H655" i="6"/>
  <c r="J654" i="6"/>
  <c r="H654" i="6"/>
  <c r="J653" i="6"/>
  <c r="H653" i="6"/>
  <c r="J652" i="6"/>
  <c r="H652" i="6"/>
  <c r="J651" i="6"/>
  <c r="H651" i="6"/>
  <c r="J650" i="6"/>
  <c r="H650" i="6"/>
  <c r="J649" i="6"/>
  <c r="H649" i="6"/>
  <c r="J648" i="6"/>
  <c r="H648" i="6"/>
  <c r="J647" i="6"/>
  <c r="H647" i="6"/>
  <c r="J646" i="6"/>
  <c r="H646" i="6"/>
  <c r="J645" i="6"/>
  <c r="H645" i="6"/>
  <c r="J644" i="6"/>
  <c r="H644" i="6"/>
  <c r="J643" i="6"/>
  <c r="H643" i="6"/>
  <c r="J642" i="6"/>
  <c r="H642" i="6"/>
  <c r="J641" i="6"/>
  <c r="H641" i="6"/>
  <c r="J640" i="6"/>
  <c r="H640" i="6"/>
  <c r="J639" i="6"/>
  <c r="H639" i="6"/>
  <c r="J638" i="6"/>
  <c r="H638" i="6"/>
  <c r="J637" i="6"/>
  <c r="H637" i="6"/>
  <c r="J636" i="6"/>
  <c r="H636" i="6"/>
  <c r="J635" i="6"/>
  <c r="H635" i="6"/>
  <c r="J634" i="6"/>
  <c r="H634" i="6"/>
  <c r="J633" i="6"/>
  <c r="H633" i="6"/>
  <c r="J632" i="6"/>
  <c r="H632" i="6"/>
  <c r="J631" i="6"/>
  <c r="H631" i="6"/>
  <c r="J630" i="6"/>
  <c r="H630" i="6"/>
  <c r="J629" i="6"/>
  <c r="H629" i="6"/>
  <c r="J628" i="6"/>
  <c r="H628" i="6"/>
  <c r="J627" i="6"/>
  <c r="H627" i="6"/>
  <c r="J626" i="6"/>
  <c r="H626" i="6"/>
  <c r="J625" i="6"/>
  <c r="H625" i="6"/>
  <c r="J624" i="6"/>
  <c r="H624" i="6"/>
  <c r="J623" i="6"/>
  <c r="H623" i="6"/>
  <c r="J622" i="6"/>
  <c r="H622" i="6"/>
  <c r="J621" i="6"/>
  <c r="H621" i="6"/>
  <c r="J620" i="6"/>
  <c r="H620" i="6"/>
  <c r="J619" i="6"/>
  <c r="H619" i="6"/>
  <c r="J618" i="6"/>
  <c r="H618" i="6"/>
  <c r="J617" i="6"/>
  <c r="H617" i="6"/>
  <c r="J616" i="6"/>
  <c r="H616" i="6"/>
  <c r="J615" i="6"/>
  <c r="H615" i="6"/>
  <c r="J614" i="6"/>
  <c r="H614" i="6"/>
  <c r="J613" i="6"/>
  <c r="H613" i="6"/>
  <c r="J612" i="6"/>
  <c r="H612" i="6"/>
  <c r="J611" i="6"/>
  <c r="H611" i="6"/>
  <c r="J610" i="6"/>
  <c r="H610" i="6"/>
  <c r="J609" i="6"/>
  <c r="H609" i="6"/>
  <c r="J608" i="6"/>
  <c r="H608" i="6"/>
  <c r="J607" i="6"/>
  <c r="H607" i="6"/>
  <c r="J606" i="6"/>
  <c r="H606" i="6"/>
  <c r="J605" i="6"/>
  <c r="H605" i="6"/>
  <c r="J604" i="6"/>
  <c r="H604" i="6"/>
  <c r="J603" i="6"/>
  <c r="H603" i="6"/>
  <c r="J602" i="6"/>
  <c r="H602" i="6"/>
  <c r="J601" i="6"/>
  <c r="H601" i="6"/>
  <c r="J600" i="6"/>
  <c r="H600" i="6"/>
  <c r="J599" i="6"/>
  <c r="H599" i="6"/>
  <c r="J598" i="6"/>
  <c r="H598" i="6"/>
  <c r="J597" i="6"/>
  <c r="H597" i="6"/>
  <c r="J596" i="6"/>
  <c r="H596" i="6"/>
  <c r="J595" i="6"/>
  <c r="H595" i="6"/>
  <c r="J594" i="6"/>
  <c r="H594" i="6"/>
  <c r="J593" i="6"/>
  <c r="H593" i="6"/>
  <c r="J592" i="6"/>
  <c r="H592" i="6"/>
  <c r="J591" i="6"/>
  <c r="H591" i="6"/>
  <c r="J590" i="6"/>
  <c r="H590" i="6"/>
  <c r="J589" i="6"/>
  <c r="H589" i="6"/>
  <c r="J588" i="6"/>
  <c r="H588" i="6"/>
  <c r="J587" i="6"/>
  <c r="H587" i="6"/>
  <c r="J586" i="6"/>
  <c r="H586" i="6"/>
  <c r="J585" i="6"/>
  <c r="H585" i="6"/>
  <c r="J584" i="6"/>
  <c r="H584" i="6"/>
  <c r="J583" i="6"/>
  <c r="H583" i="6"/>
  <c r="J582" i="6"/>
  <c r="H582" i="6"/>
  <c r="J581" i="6"/>
  <c r="H581" i="6"/>
  <c r="J580" i="6"/>
  <c r="H580" i="6"/>
  <c r="J579" i="6"/>
  <c r="H579" i="6"/>
  <c r="J578" i="6"/>
  <c r="H578" i="6"/>
  <c r="J577" i="6"/>
  <c r="H577" i="6"/>
  <c r="J576" i="6"/>
  <c r="H576" i="6"/>
  <c r="J575" i="6"/>
  <c r="H575" i="6"/>
  <c r="J574" i="6"/>
  <c r="H574" i="6"/>
  <c r="J573" i="6"/>
  <c r="H573" i="6"/>
  <c r="J572" i="6"/>
  <c r="H572" i="6"/>
  <c r="J571" i="6"/>
  <c r="H571" i="6"/>
  <c r="J570" i="6"/>
  <c r="H570" i="6"/>
  <c r="J569" i="6"/>
  <c r="H569" i="6"/>
  <c r="J568" i="6"/>
  <c r="H568" i="6"/>
  <c r="J567" i="6"/>
  <c r="H567" i="6"/>
  <c r="J566" i="6"/>
  <c r="H566" i="6"/>
  <c r="J565" i="6"/>
  <c r="H565" i="6"/>
  <c r="J564" i="6"/>
  <c r="H564" i="6"/>
  <c r="J563" i="6"/>
  <c r="H563" i="6"/>
  <c r="J562" i="6"/>
  <c r="H562" i="6"/>
  <c r="J561" i="6"/>
  <c r="H561" i="6"/>
  <c r="J560" i="6"/>
  <c r="H560" i="6"/>
  <c r="J559" i="6"/>
  <c r="H559" i="6"/>
  <c r="J558" i="6"/>
  <c r="H558" i="6"/>
  <c r="J557" i="6"/>
  <c r="H557" i="6"/>
  <c r="J556" i="6"/>
  <c r="H556" i="6"/>
  <c r="J555" i="6"/>
  <c r="H555" i="6"/>
  <c r="J554" i="6"/>
  <c r="H554" i="6"/>
  <c r="J553" i="6"/>
  <c r="H553" i="6"/>
  <c r="J552" i="6"/>
  <c r="H552" i="6"/>
  <c r="J551" i="6"/>
  <c r="H551" i="6"/>
  <c r="J550" i="6"/>
  <c r="H550" i="6"/>
  <c r="J549" i="6"/>
  <c r="H549" i="6"/>
  <c r="J548" i="6"/>
  <c r="H548" i="6"/>
  <c r="J547" i="6"/>
  <c r="H547" i="6"/>
  <c r="J546" i="6"/>
  <c r="H546" i="6"/>
  <c r="J545" i="6"/>
  <c r="H545" i="6"/>
  <c r="J544" i="6"/>
  <c r="H544" i="6"/>
  <c r="J543" i="6"/>
  <c r="H543" i="6"/>
  <c r="J542" i="6"/>
  <c r="H542" i="6"/>
  <c r="J541" i="6"/>
  <c r="H541" i="6"/>
  <c r="J540" i="6"/>
  <c r="H540" i="6"/>
  <c r="J539" i="6"/>
  <c r="H539" i="6"/>
  <c r="J538" i="6"/>
  <c r="H538" i="6"/>
  <c r="J537" i="6"/>
  <c r="H537" i="6"/>
  <c r="J536" i="6"/>
  <c r="H536" i="6"/>
  <c r="J535" i="6"/>
  <c r="H535" i="6"/>
  <c r="J534" i="6"/>
  <c r="H534" i="6"/>
  <c r="J533" i="6"/>
  <c r="H533" i="6"/>
  <c r="J532" i="6"/>
  <c r="H532" i="6"/>
  <c r="J531" i="6"/>
  <c r="H531" i="6"/>
  <c r="J530" i="6"/>
  <c r="H530" i="6"/>
  <c r="J529" i="6"/>
  <c r="H529" i="6"/>
  <c r="J528" i="6"/>
  <c r="H528" i="6"/>
  <c r="J527" i="6"/>
  <c r="H527" i="6"/>
  <c r="J526" i="6"/>
  <c r="H526" i="6"/>
  <c r="J525" i="6"/>
  <c r="H525" i="6"/>
  <c r="J524" i="6"/>
  <c r="H524" i="6"/>
  <c r="J523" i="6"/>
  <c r="H523" i="6"/>
  <c r="J522" i="6"/>
  <c r="H522" i="6"/>
  <c r="J521" i="6"/>
  <c r="H521" i="6"/>
  <c r="J520" i="6"/>
  <c r="H520" i="6"/>
  <c r="J519" i="6"/>
  <c r="H519" i="6"/>
  <c r="J518" i="6"/>
  <c r="H518" i="6"/>
  <c r="J517" i="6"/>
  <c r="H517" i="6"/>
  <c r="J516" i="6"/>
  <c r="H516" i="6"/>
  <c r="J515" i="6"/>
  <c r="H515" i="6"/>
  <c r="J514" i="6"/>
  <c r="H514" i="6"/>
  <c r="J513" i="6"/>
  <c r="H513" i="6"/>
  <c r="J512" i="6"/>
  <c r="H512" i="6"/>
  <c r="J511" i="6"/>
  <c r="H511" i="6"/>
  <c r="J510" i="6"/>
  <c r="H510" i="6"/>
  <c r="J509" i="6"/>
  <c r="H509" i="6"/>
  <c r="J508" i="6"/>
  <c r="H508" i="6"/>
  <c r="J507" i="6"/>
  <c r="H507" i="6"/>
  <c r="J506" i="6"/>
  <c r="H506" i="6"/>
  <c r="J505" i="6"/>
  <c r="H505" i="6"/>
  <c r="J504" i="6"/>
  <c r="H504" i="6"/>
  <c r="J503" i="6"/>
  <c r="H503" i="6"/>
  <c r="J502" i="6"/>
  <c r="H502" i="6"/>
  <c r="J501" i="6"/>
  <c r="H501" i="6"/>
  <c r="J500" i="6"/>
  <c r="H500" i="6"/>
  <c r="J499" i="6"/>
  <c r="H499" i="6"/>
  <c r="J498" i="6"/>
  <c r="H498" i="6"/>
  <c r="J497" i="6"/>
  <c r="H497" i="6"/>
  <c r="J496" i="6"/>
  <c r="H496" i="6"/>
  <c r="J495" i="6"/>
  <c r="H495" i="6"/>
  <c r="J494" i="6"/>
  <c r="H494" i="6"/>
  <c r="J493" i="6"/>
  <c r="H493" i="6"/>
  <c r="J492" i="6"/>
  <c r="H492" i="6"/>
  <c r="J491" i="6"/>
  <c r="H491" i="6"/>
  <c r="J490" i="6"/>
  <c r="H490" i="6"/>
  <c r="J489" i="6"/>
  <c r="H489" i="6"/>
  <c r="J488" i="6"/>
  <c r="H488" i="6"/>
  <c r="J487" i="6"/>
  <c r="H487" i="6"/>
  <c r="J486" i="6"/>
  <c r="H486" i="6"/>
  <c r="J485" i="6"/>
  <c r="H485" i="6"/>
  <c r="J484" i="6"/>
  <c r="H484" i="6"/>
  <c r="J483" i="6"/>
  <c r="H483" i="6"/>
  <c r="J482" i="6"/>
  <c r="H482" i="6"/>
  <c r="J481" i="6"/>
  <c r="H481" i="6"/>
  <c r="J480" i="6"/>
  <c r="H480" i="6"/>
  <c r="J479" i="6"/>
  <c r="H479" i="6"/>
  <c r="J478" i="6"/>
  <c r="H478" i="6"/>
  <c r="J477" i="6"/>
  <c r="H477" i="6"/>
  <c r="J476" i="6"/>
  <c r="H476" i="6"/>
  <c r="J475" i="6"/>
  <c r="H475" i="6"/>
  <c r="J474" i="6"/>
  <c r="H474" i="6"/>
  <c r="J473" i="6"/>
  <c r="H473" i="6"/>
  <c r="J472" i="6"/>
  <c r="H472" i="6"/>
  <c r="J471" i="6"/>
  <c r="H471" i="6"/>
  <c r="J470" i="6"/>
  <c r="H470" i="6"/>
  <c r="J469" i="6"/>
  <c r="H469" i="6"/>
  <c r="J468" i="6"/>
  <c r="H468" i="6"/>
  <c r="J467" i="6"/>
  <c r="H467" i="6"/>
  <c r="J466" i="6"/>
  <c r="H466" i="6"/>
  <c r="J465" i="6"/>
  <c r="H465" i="6"/>
  <c r="J464" i="6"/>
  <c r="H464" i="6"/>
  <c r="J463" i="6"/>
  <c r="H463" i="6"/>
  <c r="J462" i="6"/>
  <c r="H462" i="6"/>
  <c r="J461" i="6"/>
  <c r="H461" i="6"/>
  <c r="J460" i="6"/>
  <c r="H460" i="6"/>
  <c r="J459" i="6"/>
  <c r="H459" i="6"/>
  <c r="J458" i="6"/>
  <c r="H458" i="6"/>
  <c r="J457" i="6"/>
  <c r="H457" i="6"/>
  <c r="J456" i="6"/>
  <c r="H456" i="6"/>
  <c r="J455" i="6"/>
  <c r="H455" i="6"/>
  <c r="J454" i="6"/>
  <c r="H454" i="6"/>
  <c r="J453" i="6"/>
  <c r="H453" i="6"/>
  <c r="J452" i="6"/>
  <c r="H452" i="6"/>
  <c r="J451" i="6"/>
  <c r="H451" i="6"/>
  <c r="J450" i="6"/>
  <c r="H450" i="6"/>
  <c r="J449" i="6"/>
  <c r="H449" i="6"/>
  <c r="J448" i="6"/>
  <c r="H448" i="6"/>
  <c r="J447" i="6"/>
  <c r="H447" i="6"/>
  <c r="J446" i="6"/>
  <c r="H446" i="6"/>
  <c r="J445" i="6"/>
  <c r="H445" i="6"/>
  <c r="J444" i="6"/>
  <c r="H444" i="6"/>
  <c r="J443" i="6"/>
  <c r="H443" i="6"/>
  <c r="J442" i="6"/>
  <c r="H442" i="6"/>
  <c r="J441" i="6"/>
  <c r="H441" i="6"/>
  <c r="J440" i="6"/>
  <c r="H440" i="6"/>
  <c r="J439" i="6"/>
  <c r="H439" i="6"/>
  <c r="J438" i="6"/>
  <c r="H438" i="6"/>
  <c r="J437" i="6"/>
  <c r="H437" i="6"/>
  <c r="J436" i="6"/>
  <c r="H436" i="6"/>
  <c r="J435" i="6"/>
  <c r="H435" i="6"/>
  <c r="J434" i="6"/>
  <c r="H434" i="6"/>
  <c r="J433" i="6"/>
  <c r="H433" i="6"/>
  <c r="J432" i="6"/>
  <c r="H432" i="6"/>
  <c r="J431" i="6"/>
  <c r="H431" i="6"/>
  <c r="J430" i="6"/>
  <c r="H430" i="6"/>
  <c r="J429" i="6"/>
  <c r="H429" i="6"/>
  <c r="J428" i="6"/>
  <c r="H428" i="6"/>
  <c r="J427" i="6"/>
  <c r="H427" i="6"/>
  <c r="J426" i="6"/>
  <c r="H426" i="6"/>
  <c r="J425" i="6"/>
  <c r="H425" i="6"/>
  <c r="J424" i="6"/>
  <c r="H424" i="6"/>
  <c r="J423" i="6"/>
  <c r="H423" i="6"/>
  <c r="J422" i="6"/>
  <c r="H422" i="6"/>
  <c r="J421" i="6"/>
  <c r="H421" i="6"/>
  <c r="J420" i="6"/>
  <c r="H420" i="6"/>
  <c r="J419" i="6"/>
  <c r="H419" i="6"/>
  <c r="J418" i="6"/>
  <c r="H418" i="6"/>
  <c r="J417" i="6"/>
  <c r="H417" i="6"/>
  <c r="J416" i="6"/>
  <c r="H416" i="6"/>
  <c r="J415" i="6"/>
  <c r="H415" i="6"/>
  <c r="J414" i="6"/>
  <c r="H414" i="6"/>
  <c r="J413" i="6"/>
  <c r="H413" i="6"/>
  <c r="J412" i="6"/>
  <c r="H412" i="6"/>
  <c r="J411" i="6"/>
  <c r="H411" i="6"/>
  <c r="J410" i="6"/>
  <c r="H410" i="6"/>
  <c r="J409" i="6"/>
  <c r="H409" i="6"/>
  <c r="J408" i="6"/>
  <c r="H408" i="6"/>
  <c r="J407" i="6"/>
  <c r="H407" i="6"/>
  <c r="J406" i="6"/>
  <c r="H406" i="6"/>
  <c r="J405" i="6"/>
  <c r="H405" i="6"/>
  <c r="J404" i="6"/>
  <c r="H404" i="6"/>
  <c r="J403" i="6"/>
  <c r="H403" i="6"/>
  <c r="J402" i="6"/>
  <c r="H402" i="6"/>
  <c r="J401" i="6"/>
  <c r="H401" i="6"/>
  <c r="J400" i="6"/>
  <c r="H400" i="6"/>
  <c r="J399" i="6"/>
  <c r="H399" i="6"/>
  <c r="J398" i="6"/>
  <c r="H398" i="6"/>
  <c r="J397" i="6"/>
  <c r="H397" i="6"/>
  <c r="J396" i="6"/>
  <c r="H396" i="6"/>
  <c r="J395" i="6"/>
  <c r="H395" i="6"/>
  <c r="J394" i="6"/>
  <c r="H394" i="6"/>
  <c r="J393" i="6"/>
  <c r="H393" i="6"/>
  <c r="J392" i="6"/>
  <c r="H392" i="6"/>
  <c r="J391" i="6"/>
  <c r="H391" i="6"/>
  <c r="J390" i="6"/>
  <c r="H390" i="6"/>
  <c r="J389" i="6"/>
  <c r="H389" i="6"/>
  <c r="J388" i="6"/>
  <c r="H388" i="6"/>
  <c r="J387" i="6"/>
  <c r="H387" i="6"/>
  <c r="J386" i="6"/>
  <c r="H386" i="6"/>
  <c r="J385" i="6"/>
  <c r="H385" i="6"/>
  <c r="J384" i="6"/>
  <c r="H384" i="6"/>
  <c r="J383" i="6"/>
  <c r="H383" i="6"/>
  <c r="J382" i="6"/>
  <c r="H382" i="6"/>
  <c r="J381" i="6"/>
  <c r="H381" i="6"/>
  <c r="J380" i="6"/>
  <c r="H380" i="6"/>
  <c r="J379" i="6"/>
  <c r="H379" i="6"/>
  <c r="J378" i="6"/>
  <c r="H378" i="6"/>
  <c r="J377" i="6"/>
  <c r="H377" i="6"/>
  <c r="J376" i="6"/>
  <c r="H376" i="6"/>
  <c r="J375" i="6"/>
  <c r="H375" i="6"/>
  <c r="J374" i="6"/>
  <c r="H374" i="6"/>
  <c r="J373" i="6"/>
  <c r="H373" i="6"/>
  <c r="J372" i="6"/>
  <c r="H372" i="6"/>
  <c r="J371" i="6"/>
  <c r="H371" i="6"/>
  <c r="J370" i="6"/>
  <c r="H370" i="6"/>
  <c r="J369" i="6"/>
  <c r="H369" i="6"/>
  <c r="J368" i="6"/>
  <c r="H368" i="6"/>
  <c r="J367" i="6"/>
  <c r="H367" i="6"/>
  <c r="J366" i="6"/>
  <c r="H366" i="6"/>
  <c r="J365" i="6"/>
  <c r="H365" i="6"/>
  <c r="J364" i="6"/>
  <c r="H364" i="6"/>
  <c r="J363" i="6"/>
  <c r="H363" i="6"/>
  <c r="J362" i="6"/>
  <c r="H362" i="6"/>
  <c r="J361" i="6"/>
  <c r="H361" i="6"/>
  <c r="J360" i="6"/>
  <c r="H360" i="6"/>
  <c r="J359" i="6"/>
  <c r="H359" i="6"/>
  <c r="J358" i="6"/>
  <c r="H358" i="6"/>
  <c r="J357" i="6"/>
  <c r="H357" i="6"/>
  <c r="J356" i="6"/>
  <c r="H356" i="6"/>
  <c r="J355" i="6"/>
  <c r="H355" i="6"/>
  <c r="J354" i="6"/>
  <c r="H354" i="6"/>
  <c r="J353" i="6"/>
  <c r="H353" i="6"/>
  <c r="J352" i="6"/>
  <c r="H352" i="6"/>
  <c r="J351" i="6"/>
  <c r="H351" i="6"/>
  <c r="J350" i="6"/>
  <c r="H350" i="6"/>
  <c r="J349" i="6"/>
  <c r="H349" i="6"/>
  <c r="J348" i="6"/>
  <c r="H348" i="6"/>
  <c r="J347" i="6"/>
  <c r="H347" i="6"/>
  <c r="J346" i="6"/>
  <c r="H346" i="6"/>
  <c r="J345" i="6"/>
  <c r="H345" i="6"/>
  <c r="J344" i="6"/>
  <c r="H344" i="6"/>
  <c r="J343" i="6"/>
  <c r="H343" i="6"/>
  <c r="J342" i="6"/>
  <c r="H342" i="6"/>
  <c r="J341" i="6"/>
  <c r="H341" i="6"/>
  <c r="J340" i="6"/>
  <c r="H340" i="6"/>
  <c r="J339" i="6"/>
  <c r="H339" i="6"/>
  <c r="J338" i="6"/>
  <c r="H338" i="6"/>
  <c r="J337" i="6"/>
  <c r="H337" i="6"/>
  <c r="J336" i="6"/>
  <c r="H336" i="6"/>
  <c r="J335" i="6"/>
  <c r="H335" i="6"/>
  <c r="J334" i="6"/>
  <c r="H334" i="6"/>
  <c r="J333" i="6"/>
  <c r="H333" i="6"/>
  <c r="J332" i="6"/>
  <c r="H332" i="6"/>
  <c r="J331" i="6"/>
  <c r="H331" i="6"/>
  <c r="J330" i="6"/>
  <c r="H330" i="6"/>
  <c r="J329" i="6"/>
  <c r="H329" i="6"/>
  <c r="J328" i="6"/>
  <c r="H328" i="6"/>
  <c r="J327" i="6"/>
  <c r="H327" i="6"/>
  <c r="J326" i="6"/>
  <c r="H326" i="6"/>
  <c r="J325" i="6"/>
  <c r="H325" i="6"/>
  <c r="J324" i="6"/>
  <c r="H324" i="6"/>
  <c r="J323" i="6"/>
  <c r="H323" i="6"/>
  <c r="J322" i="6"/>
  <c r="H322" i="6"/>
  <c r="J321" i="6"/>
  <c r="H321" i="6"/>
  <c r="J320" i="6"/>
  <c r="H320" i="6"/>
  <c r="J319" i="6"/>
  <c r="H319" i="6"/>
  <c r="J318" i="6"/>
  <c r="H318" i="6"/>
  <c r="J317" i="6"/>
  <c r="H317" i="6"/>
  <c r="J316" i="6"/>
  <c r="H316" i="6"/>
  <c r="J315" i="6"/>
  <c r="H315" i="6"/>
  <c r="J314" i="6"/>
  <c r="H314" i="6"/>
  <c r="J313" i="6"/>
  <c r="H313" i="6"/>
  <c r="J312" i="6"/>
  <c r="H312" i="6"/>
  <c r="J311" i="6"/>
  <c r="H311" i="6"/>
  <c r="J310" i="6"/>
  <c r="H310" i="6"/>
  <c r="J309" i="6"/>
  <c r="H309" i="6"/>
  <c r="J308" i="6"/>
  <c r="H308" i="6"/>
  <c r="J307" i="6"/>
  <c r="H307" i="6"/>
  <c r="J306" i="6"/>
  <c r="H306" i="6"/>
  <c r="J305" i="6"/>
  <c r="H305" i="6"/>
  <c r="J304" i="6"/>
  <c r="H304" i="6"/>
  <c r="J303" i="6"/>
  <c r="H303" i="6"/>
  <c r="J302" i="6"/>
  <c r="H302" i="6"/>
  <c r="J301" i="6"/>
  <c r="H301" i="6"/>
  <c r="J300" i="6"/>
  <c r="H300" i="6"/>
  <c r="J299" i="6"/>
  <c r="H299" i="6"/>
  <c r="J298" i="6"/>
  <c r="H298" i="6"/>
  <c r="J297" i="6"/>
  <c r="H297" i="6"/>
  <c r="J296" i="6"/>
  <c r="H296" i="6"/>
  <c r="J295" i="6"/>
  <c r="H295" i="6"/>
  <c r="J294" i="6"/>
  <c r="H294" i="6"/>
  <c r="J293" i="6"/>
  <c r="H293" i="6"/>
  <c r="J292" i="6"/>
  <c r="H292" i="6"/>
  <c r="J291" i="6"/>
  <c r="H291" i="6"/>
  <c r="J290" i="6"/>
  <c r="H290" i="6"/>
  <c r="J289" i="6"/>
  <c r="H289" i="6"/>
  <c r="J288" i="6"/>
  <c r="H288" i="6"/>
  <c r="J287" i="6"/>
  <c r="H287" i="6"/>
  <c r="J286" i="6"/>
  <c r="H286" i="6"/>
  <c r="J285" i="6"/>
  <c r="H285" i="6"/>
  <c r="J284" i="6"/>
  <c r="H284" i="6"/>
  <c r="J283" i="6"/>
  <c r="H283" i="6"/>
  <c r="J282" i="6"/>
  <c r="H282" i="6"/>
  <c r="J281" i="6"/>
  <c r="H281" i="6"/>
  <c r="J280" i="6"/>
  <c r="H280" i="6"/>
  <c r="J279" i="6"/>
  <c r="H279" i="6"/>
  <c r="J278" i="6"/>
  <c r="H278" i="6"/>
  <c r="J277" i="6"/>
  <c r="H277" i="6"/>
  <c r="J276" i="6"/>
  <c r="H276" i="6"/>
  <c r="J275" i="6"/>
  <c r="H275" i="6"/>
  <c r="J274" i="6"/>
  <c r="H274" i="6"/>
  <c r="J273" i="6"/>
  <c r="H273" i="6"/>
  <c r="J272" i="6"/>
  <c r="H272" i="6"/>
  <c r="J271" i="6"/>
  <c r="H271" i="6"/>
  <c r="J270" i="6"/>
  <c r="H270" i="6"/>
  <c r="J269" i="6"/>
  <c r="H269" i="6"/>
  <c r="J268" i="6"/>
  <c r="H268" i="6"/>
  <c r="J267" i="6"/>
  <c r="H267" i="6"/>
  <c r="J266" i="6"/>
  <c r="H266" i="6"/>
  <c r="J265" i="6"/>
  <c r="H265" i="6"/>
  <c r="J264" i="6"/>
  <c r="H264" i="6"/>
  <c r="J263" i="6"/>
  <c r="H263" i="6"/>
  <c r="J262" i="6"/>
  <c r="H262" i="6"/>
  <c r="J261" i="6"/>
  <c r="H261" i="6"/>
  <c r="J260" i="6"/>
  <c r="H260" i="6"/>
  <c r="J259" i="6"/>
  <c r="H259" i="6"/>
  <c r="J258" i="6"/>
  <c r="H258" i="6"/>
  <c r="J257" i="6"/>
  <c r="H257" i="6"/>
  <c r="J256" i="6"/>
  <c r="H256" i="6"/>
  <c r="J255" i="6"/>
  <c r="H255" i="6"/>
  <c r="J254" i="6"/>
  <c r="H254" i="6"/>
  <c r="J253" i="6"/>
  <c r="H253" i="6"/>
  <c r="J252" i="6"/>
  <c r="H252" i="6"/>
  <c r="J251" i="6"/>
  <c r="H251" i="6"/>
  <c r="J250" i="6"/>
  <c r="H250" i="6"/>
  <c r="J249" i="6"/>
  <c r="H249" i="6"/>
  <c r="J248" i="6"/>
  <c r="H248" i="6"/>
  <c r="J247" i="6"/>
  <c r="H247" i="6"/>
  <c r="J246" i="6"/>
  <c r="H246" i="6"/>
  <c r="J245" i="6"/>
  <c r="H245" i="6"/>
  <c r="J244" i="6"/>
  <c r="H244" i="6"/>
  <c r="J243" i="6"/>
  <c r="H243" i="6"/>
  <c r="J242" i="6"/>
  <c r="H242" i="6"/>
  <c r="J241" i="6"/>
  <c r="H241" i="6"/>
  <c r="J240" i="6"/>
  <c r="H240" i="6"/>
  <c r="J239" i="6"/>
  <c r="H239" i="6"/>
  <c r="J238" i="6"/>
  <c r="H238" i="6"/>
  <c r="J237" i="6"/>
  <c r="H237" i="6"/>
  <c r="J236" i="6"/>
  <c r="H236" i="6"/>
  <c r="J235" i="6"/>
  <c r="H235" i="6"/>
  <c r="J234" i="6"/>
  <c r="H234" i="6"/>
  <c r="J233" i="6"/>
  <c r="H233" i="6"/>
  <c r="J232" i="6"/>
  <c r="H232" i="6"/>
  <c r="J231" i="6"/>
  <c r="H231" i="6"/>
  <c r="J230" i="6"/>
  <c r="H230" i="6"/>
  <c r="J229" i="6"/>
  <c r="H229" i="6"/>
  <c r="J228" i="6"/>
  <c r="H228" i="6"/>
  <c r="J227" i="6"/>
  <c r="H227" i="6"/>
  <c r="J226" i="6"/>
  <c r="H226" i="6"/>
  <c r="J225" i="6"/>
  <c r="H225" i="6"/>
  <c r="J224" i="6"/>
  <c r="H224" i="6"/>
  <c r="J223" i="6"/>
  <c r="H223" i="6"/>
  <c r="J222" i="6"/>
  <c r="H222" i="6"/>
  <c r="J221" i="6"/>
  <c r="H221" i="6"/>
  <c r="J220" i="6"/>
  <c r="H220" i="6"/>
  <c r="J219" i="6"/>
  <c r="H219" i="6"/>
  <c r="J218" i="6"/>
  <c r="H218" i="6"/>
  <c r="J217" i="6"/>
  <c r="H217" i="6"/>
  <c r="J216" i="6"/>
  <c r="H216" i="6"/>
  <c r="J215" i="6"/>
  <c r="H215" i="6"/>
  <c r="J214" i="6"/>
  <c r="H214" i="6"/>
  <c r="J213" i="6"/>
  <c r="H213" i="6"/>
  <c r="J212" i="6"/>
  <c r="H212" i="6"/>
  <c r="J211" i="6"/>
  <c r="H211" i="6"/>
  <c r="J210" i="6"/>
  <c r="H210" i="6"/>
  <c r="J209" i="6"/>
  <c r="H209" i="6"/>
  <c r="J208" i="6"/>
  <c r="H208" i="6"/>
  <c r="J207" i="6"/>
  <c r="H207" i="6"/>
  <c r="J206" i="6"/>
  <c r="H206" i="6"/>
  <c r="J205" i="6"/>
  <c r="H205" i="6"/>
  <c r="J204" i="6"/>
  <c r="H204" i="6"/>
  <c r="J203" i="6"/>
  <c r="H203" i="6"/>
  <c r="J202" i="6"/>
  <c r="H202" i="6"/>
  <c r="J201" i="6"/>
  <c r="H201" i="6"/>
  <c r="J200" i="6"/>
  <c r="H200" i="6"/>
  <c r="J199" i="6"/>
  <c r="H199" i="6"/>
  <c r="J198" i="6"/>
  <c r="H198" i="6"/>
  <c r="J197" i="6"/>
  <c r="H197" i="6"/>
  <c r="J196" i="6"/>
  <c r="H196" i="6"/>
  <c r="J195" i="6"/>
  <c r="H195" i="6"/>
  <c r="J194" i="6"/>
  <c r="H194" i="6"/>
  <c r="J193" i="6"/>
  <c r="H193" i="6"/>
  <c r="J192" i="6"/>
  <c r="H192" i="6"/>
  <c r="J191" i="6"/>
  <c r="H191" i="6"/>
  <c r="J190" i="6"/>
  <c r="H190" i="6"/>
  <c r="J189" i="6"/>
  <c r="H189" i="6"/>
  <c r="J188" i="6"/>
  <c r="H188" i="6"/>
  <c r="J187" i="6"/>
  <c r="H187" i="6"/>
  <c r="J186" i="6"/>
  <c r="H186" i="6"/>
  <c r="J185" i="6"/>
  <c r="H185" i="6"/>
  <c r="J184" i="6"/>
  <c r="H184" i="6"/>
  <c r="J183" i="6"/>
  <c r="H183" i="6"/>
  <c r="J182" i="6"/>
  <c r="H182" i="6"/>
  <c r="J181" i="6"/>
  <c r="H181" i="6"/>
  <c r="J180" i="6"/>
  <c r="H180" i="6"/>
  <c r="J179" i="6"/>
  <c r="H179" i="6"/>
  <c r="J178" i="6"/>
  <c r="H178" i="6"/>
  <c r="J177" i="6"/>
  <c r="H177" i="6"/>
  <c r="J176" i="6"/>
  <c r="H176" i="6"/>
  <c r="J175" i="6"/>
  <c r="H175" i="6"/>
  <c r="J174" i="6"/>
  <c r="H174" i="6"/>
  <c r="J173" i="6"/>
  <c r="H173" i="6"/>
  <c r="J172" i="6"/>
  <c r="H172" i="6"/>
  <c r="J171" i="6"/>
  <c r="H171" i="6"/>
  <c r="J170" i="6"/>
  <c r="H170" i="6"/>
  <c r="J169" i="6"/>
  <c r="H169" i="6"/>
  <c r="J168" i="6"/>
  <c r="H168" i="6"/>
  <c r="J167" i="6"/>
  <c r="H167" i="6"/>
  <c r="J166" i="6"/>
  <c r="H166" i="6"/>
  <c r="J165" i="6"/>
  <c r="H165" i="6"/>
  <c r="J164" i="6"/>
  <c r="H164" i="6"/>
  <c r="J163" i="6"/>
  <c r="H163" i="6"/>
  <c r="J162" i="6"/>
  <c r="H162" i="6"/>
  <c r="J161" i="6"/>
  <c r="H161" i="6"/>
  <c r="J160" i="6"/>
  <c r="H160" i="6"/>
  <c r="J159" i="6"/>
  <c r="H159" i="6"/>
  <c r="J158" i="6"/>
  <c r="H158" i="6"/>
  <c r="J157" i="6"/>
  <c r="H157" i="6"/>
  <c r="J156" i="6"/>
  <c r="H156" i="6"/>
  <c r="J155" i="6"/>
  <c r="H155" i="6"/>
  <c r="J154" i="6"/>
  <c r="H154" i="6"/>
  <c r="J153" i="6"/>
  <c r="H153" i="6"/>
  <c r="J152" i="6"/>
  <c r="H152" i="6"/>
  <c r="J151" i="6"/>
  <c r="H151" i="6"/>
  <c r="J150" i="6"/>
  <c r="H150" i="6"/>
  <c r="J149" i="6"/>
  <c r="H149" i="6"/>
  <c r="J148" i="6"/>
  <c r="H148" i="6"/>
  <c r="J147" i="6"/>
  <c r="H147" i="6"/>
  <c r="J146" i="6"/>
  <c r="H146" i="6"/>
  <c r="J145" i="6"/>
  <c r="H145" i="6"/>
  <c r="J144" i="6"/>
  <c r="H144" i="6"/>
  <c r="J143" i="6"/>
  <c r="H143" i="6"/>
  <c r="J142" i="6"/>
  <c r="H142" i="6"/>
  <c r="J141" i="6"/>
  <c r="H141" i="6"/>
  <c r="J140" i="6"/>
  <c r="H140" i="6"/>
  <c r="J139" i="6"/>
  <c r="H139" i="6"/>
  <c r="J138" i="6"/>
  <c r="H138" i="6"/>
  <c r="J137" i="6"/>
  <c r="H137" i="6"/>
  <c r="J136" i="6"/>
  <c r="H136" i="6"/>
  <c r="J135" i="6"/>
  <c r="H135" i="6"/>
  <c r="J134" i="6"/>
  <c r="H134" i="6"/>
  <c r="J133" i="6"/>
  <c r="H133" i="6"/>
  <c r="J132" i="6"/>
  <c r="H132" i="6"/>
  <c r="J131" i="6"/>
  <c r="H131" i="6"/>
  <c r="J130" i="6"/>
  <c r="H130" i="6"/>
  <c r="J129" i="6"/>
  <c r="H129" i="6"/>
  <c r="J128" i="6"/>
  <c r="H128" i="6"/>
  <c r="J127" i="6"/>
  <c r="H127" i="6"/>
  <c r="J126" i="6"/>
  <c r="H126" i="6"/>
  <c r="J125" i="6"/>
  <c r="H125" i="6"/>
  <c r="J124" i="6"/>
  <c r="H124" i="6"/>
  <c r="J123" i="6"/>
  <c r="H123" i="6"/>
  <c r="J122" i="6"/>
  <c r="H122" i="6"/>
  <c r="J121" i="6"/>
  <c r="H121" i="6"/>
  <c r="J120" i="6"/>
  <c r="H120" i="6"/>
  <c r="J119" i="6"/>
  <c r="H119" i="6"/>
  <c r="J118" i="6"/>
  <c r="H118" i="6"/>
  <c r="J117" i="6"/>
  <c r="H117" i="6"/>
  <c r="J116" i="6"/>
  <c r="H116" i="6"/>
  <c r="J115" i="6"/>
  <c r="H115" i="6"/>
  <c r="J114" i="6"/>
  <c r="H114" i="6"/>
  <c r="J113" i="6"/>
  <c r="H113" i="6"/>
  <c r="J112" i="6"/>
  <c r="H112" i="6"/>
  <c r="J111" i="6"/>
  <c r="H111" i="6"/>
  <c r="J110" i="6"/>
  <c r="H110" i="6"/>
  <c r="J109" i="6"/>
  <c r="H109" i="6"/>
  <c r="J108" i="6"/>
  <c r="H108" i="6"/>
  <c r="J107" i="6"/>
  <c r="H107" i="6"/>
  <c r="J106" i="6"/>
  <c r="H106" i="6"/>
  <c r="J105" i="6"/>
  <c r="H105" i="6"/>
  <c r="J104" i="6"/>
  <c r="H104" i="6"/>
  <c r="J103" i="6"/>
  <c r="H103" i="6"/>
  <c r="J102" i="6"/>
  <c r="H102" i="6"/>
  <c r="J101" i="6"/>
  <c r="H101" i="6"/>
  <c r="J100" i="6"/>
  <c r="H100" i="6"/>
  <c r="J99" i="6"/>
  <c r="H99" i="6"/>
  <c r="J98" i="6"/>
  <c r="H98" i="6"/>
  <c r="J97" i="6"/>
  <c r="H97" i="6"/>
  <c r="J96" i="6"/>
  <c r="H96" i="6"/>
  <c r="J95" i="6"/>
  <c r="H95" i="6"/>
  <c r="J94" i="6"/>
  <c r="H94" i="6"/>
  <c r="J93" i="6"/>
  <c r="H93" i="6"/>
  <c r="J92" i="6"/>
  <c r="H92" i="6"/>
  <c r="J91" i="6"/>
  <c r="H91" i="6"/>
  <c r="J90" i="6"/>
  <c r="H90" i="6"/>
  <c r="J89" i="6"/>
  <c r="H89" i="6"/>
  <c r="J88" i="6"/>
  <c r="H88" i="6"/>
  <c r="J87" i="6"/>
  <c r="H87" i="6"/>
  <c r="J86" i="6"/>
  <c r="H86" i="6"/>
  <c r="J85" i="6"/>
  <c r="H85" i="6"/>
  <c r="J84" i="6"/>
  <c r="H84" i="6"/>
  <c r="J83" i="6"/>
  <c r="H83" i="6"/>
  <c r="J82" i="6"/>
  <c r="H82" i="6"/>
  <c r="J81" i="6"/>
  <c r="H81" i="6"/>
  <c r="J80" i="6"/>
  <c r="H80" i="6"/>
  <c r="J79" i="6"/>
  <c r="H79" i="6"/>
  <c r="J78" i="6"/>
  <c r="H78" i="6"/>
  <c r="J77" i="6"/>
  <c r="H77" i="6"/>
  <c r="J76" i="6"/>
  <c r="H76" i="6"/>
  <c r="J75" i="6"/>
  <c r="H75" i="6"/>
  <c r="J74" i="6"/>
  <c r="H74" i="6"/>
  <c r="J73" i="6"/>
  <c r="H73" i="6"/>
  <c r="J72" i="6"/>
  <c r="H72" i="6"/>
  <c r="J71" i="6"/>
  <c r="H71" i="6"/>
  <c r="J70" i="6"/>
  <c r="H70" i="6"/>
  <c r="J69" i="6"/>
  <c r="H69" i="6"/>
  <c r="J68" i="6"/>
  <c r="H68" i="6"/>
  <c r="J67" i="6"/>
  <c r="H67" i="6"/>
  <c r="J66" i="6"/>
  <c r="H66" i="6"/>
  <c r="J65" i="6"/>
  <c r="H65" i="6"/>
  <c r="J64" i="6"/>
  <c r="H64" i="6"/>
  <c r="J63" i="6"/>
  <c r="H63" i="6"/>
  <c r="J62" i="6"/>
  <c r="H62" i="6"/>
  <c r="J61" i="6"/>
  <c r="H61" i="6"/>
  <c r="J60" i="6"/>
  <c r="H60" i="6"/>
  <c r="J59" i="6"/>
  <c r="H59" i="6"/>
  <c r="J58" i="6"/>
  <c r="H58" i="6"/>
  <c r="J57" i="6"/>
  <c r="H57" i="6"/>
  <c r="J56" i="6"/>
  <c r="H56" i="6"/>
  <c r="J55" i="6"/>
  <c r="H55" i="6"/>
  <c r="J54" i="6"/>
  <c r="H54" i="6"/>
  <c r="J53" i="6"/>
  <c r="H53" i="6"/>
  <c r="J52" i="6"/>
  <c r="H52" i="6"/>
  <c r="J51" i="6"/>
  <c r="H51" i="6"/>
  <c r="J50" i="6"/>
  <c r="H50" i="6"/>
  <c r="J49" i="6"/>
  <c r="H49" i="6"/>
  <c r="J48" i="6"/>
  <c r="H48" i="6"/>
  <c r="J47" i="6"/>
  <c r="H47" i="6"/>
  <c r="J46" i="6"/>
  <c r="H46" i="6"/>
  <c r="J45" i="6"/>
  <c r="H45" i="6"/>
  <c r="J44" i="6"/>
  <c r="H44" i="6"/>
  <c r="J43" i="6"/>
  <c r="H43" i="6"/>
  <c r="J42" i="6"/>
  <c r="H42" i="6"/>
  <c r="J41" i="6"/>
  <c r="H41" i="6"/>
  <c r="J40" i="6"/>
  <c r="H40" i="6"/>
  <c r="J39" i="6"/>
  <c r="H39" i="6"/>
  <c r="J38" i="6"/>
  <c r="H38" i="6"/>
  <c r="J37" i="6"/>
  <c r="H37" i="6"/>
  <c r="J36" i="6"/>
  <c r="H36" i="6"/>
  <c r="J35" i="6"/>
  <c r="H35" i="6"/>
  <c r="J34" i="6"/>
  <c r="H34" i="6"/>
  <c r="J33" i="6"/>
  <c r="H33" i="6"/>
  <c r="J32" i="6"/>
  <c r="H32" i="6"/>
  <c r="J31" i="6"/>
  <c r="H31" i="6"/>
  <c r="J30" i="6"/>
  <c r="H30" i="6"/>
  <c r="J29" i="6"/>
  <c r="H29" i="6"/>
  <c r="J28" i="6"/>
  <c r="H28" i="6"/>
  <c r="J27" i="6"/>
  <c r="H27" i="6"/>
  <c r="J26" i="6"/>
  <c r="H26" i="6"/>
  <c r="J25" i="6"/>
  <c r="H25" i="6"/>
  <c r="J24" i="6"/>
  <c r="H24" i="6"/>
  <c r="J23" i="6"/>
  <c r="H23" i="6"/>
  <c r="J22" i="6"/>
  <c r="H22" i="6"/>
  <c r="J21" i="6"/>
  <c r="H21" i="6"/>
  <c r="J20" i="6"/>
  <c r="H20" i="6"/>
  <c r="J19" i="6"/>
  <c r="H19" i="6"/>
  <c r="J18" i="6"/>
  <c r="H18" i="6"/>
  <c r="J17" i="6"/>
  <c r="H17" i="6"/>
  <c r="J16" i="6"/>
  <c r="H16" i="6"/>
  <c r="J15" i="6"/>
  <c r="H15" i="6"/>
  <c r="J14" i="6"/>
  <c r="H14" i="6"/>
  <c r="J13" i="6"/>
  <c r="H13" i="6"/>
  <c r="J12" i="6"/>
  <c r="H12" i="6"/>
  <c r="J11" i="6"/>
  <c r="H11" i="6"/>
  <c r="J10" i="6"/>
  <c r="H10" i="6"/>
  <c r="J9" i="6"/>
  <c r="H9" i="6"/>
  <c r="J8" i="6"/>
  <c r="H8" i="6"/>
  <c r="J7" i="6"/>
  <c r="H7" i="6"/>
  <c r="J6" i="6"/>
  <c r="H6" i="6"/>
  <c r="J5" i="6"/>
  <c r="H5" i="6"/>
  <c r="J4" i="6"/>
  <c r="H4" i="6"/>
  <c r="J3" i="6"/>
  <c r="H3" i="6"/>
  <c r="J2" i="6"/>
  <c r="H2" i="6"/>
  <c r="B3" i="12" s="1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E345" i="1"/>
  <c r="D345" i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B6" i="12" l="1"/>
  <c r="B4" i="12"/>
  <c r="B7" i="12" s="1"/>
  <c r="E2" i="1"/>
  <c r="B5" i="12"/>
  <c r="D10" i="11"/>
</calcChain>
</file>

<file path=xl/sharedStrings.xml><?xml version="1.0" encoding="utf-8"?>
<sst xmlns="http://schemas.openxmlformats.org/spreadsheetml/2006/main" count="67" uniqueCount="42">
  <si>
    <t>Customer Name</t>
  </si>
  <si>
    <t>Country</t>
  </si>
  <si>
    <t>Credit Limit (USD)</t>
  </si>
  <si>
    <t>Outstanding (Auto)</t>
  </si>
  <si>
    <t>Credit Alert</t>
  </si>
  <si>
    <t>Supplier Name</t>
  </si>
  <si>
    <t>Currency</t>
  </si>
  <si>
    <t>Rate to USD</t>
  </si>
  <si>
    <t>USD</t>
  </si>
  <si>
    <t>INR</t>
  </si>
  <si>
    <t>VND</t>
  </si>
  <si>
    <t>Stone ID</t>
  </si>
  <si>
    <t>Carat</t>
  </si>
  <si>
    <t>Cost USD</t>
  </si>
  <si>
    <t>Selling USD</t>
  </si>
  <si>
    <t>Status (Auto)</t>
  </si>
  <si>
    <t>Date</t>
  </si>
  <si>
    <t>Supplier</t>
  </si>
  <si>
    <t>Cost</t>
  </si>
  <si>
    <t>Due Date</t>
  </si>
  <si>
    <t>Customer</t>
  </si>
  <si>
    <t>Invoice No</t>
  </si>
  <si>
    <t>Price</t>
  </si>
  <si>
    <t>Total USD</t>
  </si>
  <si>
    <t>Aging Days</t>
  </si>
  <si>
    <t>Invoice</t>
  </si>
  <si>
    <t>Amount USD</t>
  </si>
  <si>
    <t>Aging Bucket</t>
  </si>
  <si>
    <t>Amount</t>
  </si>
  <si>
    <t>Invoice Ref</t>
  </si>
  <si>
    <t>INVOICE</t>
  </si>
  <si>
    <t>Customer:</t>
  </si>
  <si>
    <t>Invoice No:</t>
  </si>
  <si>
    <t>Date:</t>
  </si>
  <si>
    <t>Total</t>
  </si>
  <si>
    <t>Grand Total USD</t>
  </si>
  <si>
    <t>Executive Dashboard</t>
  </si>
  <si>
    <t>Total Sales USD</t>
  </si>
  <si>
    <t>Total Purchases USD</t>
  </si>
  <si>
    <t>Total Receivable</t>
  </si>
  <si>
    <t>Total Payable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</si>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</sst>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9"/>
  <sheetViews>
    <sheetView workbookViewId="0">
      <selection activeCell="H22" sqref="H22"/>
    </sheetView>
  </sheetViews>
  <sheetFormatPr defaultRowHeight="14.4" x14ac:dyDescent="0.3"/>
  <cols>
    <col min="1" max="1" width="14.6640625" bestFit="1" customWidth="1"/>
    <col min="2" max="2" width="7.77734375" bestFit="1" customWidth="1"/>
    <col min="3" max="3" width="16" bestFit="1" customWidth="1"/>
    <col min="4" max="4" width="17.44140625" bestFit="1" customWidth="1"/>
    <col min="5" max="5" width="1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D2">
        <f>SUMIF('Sales Entry'!B:B,A2,'Sales Entry'!H:H)-SUMIF('Payments Received'!B:B,A2,'Payments Received'!C:C)</f>
        <v>0</v>
      </c>
      <c r="E2" t="str">
        <f t="shared" ref="E2:E65" si="0">IF(D2&gt;C2,"OVER LIMIT","OK")</f>
        <v>OK</v>
      </c>
    </row>
    <row r="3" spans="1:5" x14ac:dyDescent="0.3">
      <c r="D3">
        <f>SUMIF('Sales Entry'!B:B,A3,'Sales Entry'!H:H)-SUMIF('Payments Received'!B:B,A3,'Payments Received'!C:C)</f>
        <v>0</v>
      </c>
      <c r="E3" t="str">
        <f t="shared" si="0"/>
        <v>OK</v>
      </c>
    </row>
    <row r="4" spans="1:5" x14ac:dyDescent="0.3">
      <c r="D4">
        <f>SUMIF('Sales Entry'!B:B,A4,'Sales Entry'!H:H)-SUMIF('Payments Received'!B:B,A4,'Payments Received'!C:C)</f>
        <v>0</v>
      </c>
      <c r="E4" t="str">
        <f t="shared" si="0"/>
        <v>OK</v>
      </c>
    </row>
    <row r="5" spans="1:5" x14ac:dyDescent="0.3">
      <c r="D5">
        <f>SUMIF('Sales Entry'!B:B,A5,'Sales Entry'!H:H)-SUMIF('Payments Received'!B:B,A5,'Payments Received'!C:C)</f>
        <v>0</v>
      </c>
      <c r="E5" t="str">
        <f t="shared" si="0"/>
        <v>OK</v>
      </c>
    </row>
    <row r="6" spans="1:5" x14ac:dyDescent="0.3">
      <c r="D6">
        <f>SUMIF('Sales Entry'!B:B,A6,'Sales Entry'!H:H)-SUMIF('Payments Received'!B:B,A6,'Payments Received'!C:C)</f>
        <v>0</v>
      </c>
      <c r="E6" t="str">
        <f t="shared" si="0"/>
        <v>OK</v>
      </c>
    </row>
    <row r="7" spans="1:5" x14ac:dyDescent="0.3">
      <c r="D7">
        <f>SUMIF('Sales Entry'!B:B,A7,'Sales Entry'!H:H)-SUMIF('Payments Received'!B:B,A7,'Payments Received'!C:C)</f>
        <v>0</v>
      </c>
      <c r="E7" t="str">
        <f t="shared" si="0"/>
        <v>OK</v>
      </c>
    </row>
    <row r="8" spans="1:5" x14ac:dyDescent="0.3">
      <c r="D8">
        <f>SUMIF('Sales Entry'!B:B,A8,'Sales Entry'!H:H)-SUMIF('Payments Received'!B:B,A8,'Payments Received'!C:C)</f>
        <v>0</v>
      </c>
      <c r="E8" t="str">
        <f t="shared" si="0"/>
        <v>OK</v>
      </c>
    </row>
    <row r="9" spans="1:5" x14ac:dyDescent="0.3">
      <c r="D9">
        <f>SUMIF('Sales Entry'!B:B,A9,'Sales Entry'!H:H)-SUMIF('Payments Received'!B:B,A9,'Payments Received'!C:C)</f>
        <v>0</v>
      </c>
      <c r="E9" t="str">
        <f t="shared" si="0"/>
        <v>OK</v>
      </c>
    </row>
    <row r="10" spans="1:5" x14ac:dyDescent="0.3">
      <c r="D10">
        <f>SUMIF('Sales Entry'!B:B,A10,'Sales Entry'!H:H)-SUMIF('Payments Received'!B:B,A10,'Payments Received'!C:C)</f>
        <v>0</v>
      </c>
      <c r="E10" t="str">
        <f t="shared" si="0"/>
        <v>OK</v>
      </c>
    </row>
    <row r="11" spans="1:5" x14ac:dyDescent="0.3">
      <c r="D11">
        <f>SUMIF('Sales Entry'!B:B,A11,'Sales Entry'!H:H)-SUMIF('Payments Received'!B:B,A11,'Payments Received'!C:C)</f>
        <v>0</v>
      </c>
      <c r="E11" t="str">
        <f t="shared" si="0"/>
        <v>OK</v>
      </c>
    </row>
    <row r="12" spans="1:5" x14ac:dyDescent="0.3">
      <c r="D12">
        <f>SUMIF('Sales Entry'!B:B,A12,'Sales Entry'!H:H)-SUMIF('Payments Received'!B:B,A12,'Payments Received'!C:C)</f>
        <v>0</v>
      </c>
      <c r="E12" t="str">
        <f t="shared" si="0"/>
        <v>OK</v>
      </c>
    </row>
    <row r="13" spans="1:5" x14ac:dyDescent="0.3">
      <c r="D13">
        <f>SUMIF('Sales Entry'!B:B,A13,'Sales Entry'!H:H)-SUMIF('Payments Received'!B:B,A13,'Payments Received'!C:C)</f>
        <v>0</v>
      </c>
      <c r="E13" t="str">
        <f t="shared" si="0"/>
        <v>OK</v>
      </c>
    </row>
    <row r="14" spans="1:5" x14ac:dyDescent="0.3">
      <c r="D14">
        <f>SUMIF('Sales Entry'!B:B,A14,'Sales Entry'!H:H)-SUMIF('Payments Received'!B:B,A14,'Payments Received'!C:C)</f>
        <v>0</v>
      </c>
      <c r="E14" t="str">
        <f t="shared" si="0"/>
        <v>OK</v>
      </c>
    </row>
    <row r="15" spans="1:5" x14ac:dyDescent="0.3">
      <c r="D15">
        <f>SUMIF('Sales Entry'!B:B,A15,'Sales Entry'!H:H)-SUMIF('Payments Received'!B:B,A15,'Payments Received'!C:C)</f>
        <v>0</v>
      </c>
      <c r="E15" t="str">
        <f t="shared" si="0"/>
        <v>OK</v>
      </c>
    </row>
    <row r="16" spans="1:5" x14ac:dyDescent="0.3">
      <c r="D16">
        <f>SUMIF('Sales Entry'!B:B,A16,'Sales Entry'!H:H)-SUMIF('Payments Received'!B:B,A16,'Payments Received'!C:C)</f>
        <v>0</v>
      </c>
      <c r="E16" t="str">
        <f t="shared" si="0"/>
        <v>OK</v>
      </c>
    </row>
    <row r="17" spans="4:5" x14ac:dyDescent="0.3">
      <c r="D17">
        <f>SUMIF('Sales Entry'!B:B,A17,'Sales Entry'!H:H)-SUMIF('Payments Received'!B:B,A17,'Payments Received'!C:C)</f>
        <v>0</v>
      </c>
      <c r="E17" t="str">
        <f t="shared" si="0"/>
        <v>OK</v>
      </c>
    </row>
    <row r="18" spans="4:5" x14ac:dyDescent="0.3">
      <c r="D18">
        <f>SUMIF('Sales Entry'!B:B,A18,'Sales Entry'!H:H)-SUMIF('Payments Received'!B:B,A18,'Payments Received'!C:C)</f>
        <v>0</v>
      </c>
      <c r="E18" t="str">
        <f t="shared" si="0"/>
        <v>OK</v>
      </c>
    </row>
    <row r="19" spans="4:5" x14ac:dyDescent="0.3">
      <c r="D19">
        <f>SUMIF('Sales Entry'!B:B,A19,'Sales Entry'!H:H)-SUMIF('Payments Received'!B:B,A19,'Payments Received'!C:C)</f>
        <v>0</v>
      </c>
      <c r="E19" t="str">
        <f t="shared" si="0"/>
        <v>OK</v>
      </c>
    </row>
    <row r="20" spans="4:5" x14ac:dyDescent="0.3">
      <c r="D20">
        <f>SUMIF('Sales Entry'!B:B,A20,'Sales Entry'!H:H)-SUMIF('Payments Received'!B:B,A20,'Payments Received'!C:C)</f>
        <v>0</v>
      </c>
      <c r="E20" t="str">
        <f t="shared" si="0"/>
        <v>OK</v>
      </c>
    </row>
    <row r="21" spans="4:5" x14ac:dyDescent="0.3">
      <c r="D21">
        <f>SUMIF('Sales Entry'!B:B,A21,'Sales Entry'!H:H)-SUMIF('Payments Received'!B:B,A21,'Payments Received'!C:C)</f>
        <v>0</v>
      </c>
      <c r="E21" t="str">
        <f t="shared" si="0"/>
        <v>OK</v>
      </c>
    </row>
    <row r="22" spans="4:5" x14ac:dyDescent="0.3">
      <c r="D22">
        <f>SUMIF('Sales Entry'!B:B,A22,'Sales Entry'!H:H)-SUMIF('Payments Received'!B:B,A22,'Payments Received'!C:C)</f>
        <v>0</v>
      </c>
      <c r="E22" t="str">
        <f t="shared" si="0"/>
        <v>OK</v>
      </c>
    </row>
    <row r="23" spans="4:5" x14ac:dyDescent="0.3">
      <c r="D23">
        <f>SUMIF('Sales Entry'!B:B,A23,'Sales Entry'!H:H)-SUMIF('Payments Received'!B:B,A23,'Payments Received'!C:C)</f>
        <v>0</v>
      </c>
      <c r="E23" t="str">
        <f t="shared" si="0"/>
        <v>OK</v>
      </c>
    </row>
    <row r="24" spans="4:5" x14ac:dyDescent="0.3">
      <c r="D24">
        <f>SUMIF('Sales Entry'!B:B,A24,'Sales Entry'!H:H)-SUMIF('Payments Received'!B:B,A24,'Payments Received'!C:C)</f>
        <v>0</v>
      </c>
      <c r="E24" t="str">
        <f t="shared" si="0"/>
        <v>OK</v>
      </c>
    </row>
    <row r="25" spans="4:5" x14ac:dyDescent="0.3">
      <c r="D25">
        <f>SUMIF('Sales Entry'!B:B,A25,'Sales Entry'!H:H)-SUMIF('Payments Received'!B:B,A25,'Payments Received'!C:C)</f>
        <v>0</v>
      </c>
      <c r="E25" t="str">
        <f t="shared" si="0"/>
        <v>OK</v>
      </c>
    </row>
    <row r="26" spans="4:5" x14ac:dyDescent="0.3">
      <c r="D26">
        <f>SUMIF('Sales Entry'!B:B,A26,'Sales Entry'!H:H)-SUMIF('Payments Received'!B:B,A26,'Payments Received'!C:C)</f>
        <v>0</v>
      </c>
      <c r="E26" t="str">
        <f t="shared" si="0"/>
        <v>OK</v>
      </c>
    </row>
    <row r="27" spans="4:5" x14ac:dyDescent="0.3">
      <c r="D27">
        <f>SUMIF('Sales Entry'!B:B,A27,'Sales Entry'!H:H)-SUMIF('Payments Received'!B:B,A27,'Payments Received'!C:C)</f>
        <v>0</v>
      </c>
      <c r="E27" t="str">
        <f t="shared" si="0"/>
        <v>OK</v>
      </c>
    </row>
    <row r="28" spans="4:5" x14ac:dyDescent="0.3">
      <c r="D28">
        <f>SUMIF('Sales Entry'!B:B,A28,'Sales Entry'!H:H)-SUMIF('Payments Received'!B:B,A28,'Payments Received'!C:C)</f>
        <v>0</v>
      </c>
      <c r="E28" t="str">
        <f t="shared" si="0"/>
        <v>OK</v>
      </c>
    </row>
    <row r="29" spans="4:5" x14ac:dyDescent="0.3">
      <c r="D29">
        <f>SUMIF('Sales Entry'!B:B,A29,'Sales Entry'!H:H)-SUMIF('Payments Received'!B:B,A29,'Payments Received'!C:C)</f>
        <v>0</v>
      </c>
      <c r="E29" t="str">
        <f t="shared" si="0"/>
        <v>OK</v>
      </c>
    </row>
    <row r="30" spans="4:5" x14ac:dyDescent="0.3">
      <c r="D30">
        <f>SUMIF('Sales Entry'!B:B,A30,'Sales Entry'!H:H)-SUMIF('Payments Received'!B:B,A30,'Payments Received'!C:C)</f>
        <v>0</v>
      </c>
      <c r="E30" t="str">
        <f t="shared" si="0"/>
        <v>OK</v>
      </c>
    </row>
    <row r="31" spans="4:5" x14ac:dyDescent="0.3">
      <c r="D31">
        <f>SUMIF('Sales Entry'!B:B,A31,'Sales Entry'!H:H)-SUMIF('Payments Received'!B:B,A31,'Payments Received'!C:C)</f>
        <v>0</v>
      </c>
      <c r="E31" t="str">
        <f t="shared" si="0"/>
        <v>OK</v>
      </c>
    </row>
    <row r="32" spans="4:5" x14ac:dyDescent="0.3">
      <c r="D32">
        <f>SUMIF('Sales Entry'!B:B,A32,'Sales Entry'!H:H)-SUMIF('Payments Received'!B:B,A32,'Payments Received'!C:C)</f>
        <v>0</v>
      </c>
      <c r="E32" t="str">
        <f t="shared" si="0"/>
        <v>OK</v>
      </c>
    </row>
    <row r="33" spans="4:5" x14ac:dyDescent="0.3">
      <c r="D33">
        <f>SUMIF('Sales Entry'!B:B,A33,'Sales Entry'!H:H)-SUMIF('Payments Received'!B:B,A33,'Payments Received'!C:C)</f>
        <v>0</v>
      </c>
      <c r="E33" t="str">
        <f t="shared" si="0"/>
        <v>OK</v>
      </c>
    </row>
    <row r="34" spans="4:5" x14ac:dyDescent="0.3">
      <c r="D34">
        <f>SUMIF('Sales Entry'!B:B,A34,'Sales Entry'!H:H)-SUMIF('Payments Received'!B:B,A34,'Payments Received'!C:C)</f>
        <v>0</v>
      </c>
      <c r="E34" t="str">
        <f t="shared" si="0"/>
        <v>OK</v>
      </c>
    </row>
    <row r="35" spans="4:5" x14ac:dyDescent="0.3">
      <c r="D35">
        <f>SUMIF('Sales Entry'!B:B,A35,'Sales Entry'!H:H)-SUMIF('Payments Received'!B:B,A35,'Payments Received'!C:C)</f>
        <v>0</v>
      </c>
      <c r="E35" t="str">
        <f t="shared" si="0"/>
        <v>OK</v>
      </c>
    </row>
    <row r="36" spans="4:5" x14ac:dyDescent="0.3">
      <c r="D36">
        <f>SUMIF('Sales Entry'!B:B,A36,'Sales Entry'!H:H)-SUMIF('Payments Received'!B:B,A36,'Payments Received'!C:C)</f>
        <v>0</v>
      </c>
      <c r="E36" t="str">
        <f t="shared" si="0"/>
        <v>OK</v>
      </c>
    </row>
    <row r="37" spans="4:5" x14ac:dyDescent="0.3">
      <c r="D37">
        <f>SUMIF('Sales Entry'!B:B,A37,'Sales Entry'!H:H)-SUMIF('Payments Received'!B:B,A37,'Payments Received'!C:C)</f>
        <v>0</v>
      </c>
      <c r="E37" t="str">
        <f t="shared" si="0"/>
        <v>OK</v>
      </c>
    </row>
    <row r="38" spans="4:5" x14ac:dyDescent="0.3">
      <c r="D38">
        <f>SUMIF('Sales Entry'!B:B,A38,'Sales Entry'!H:H)-SUMIF('Payments Received'!B:B,A38,'Payments Received'!C:C)</f>
        <v>0</v>
      </c>
      <c r="E38" t="str">
        <f t="shared" si="0"/>
        <v>OK</v>
      </c>
    </row>
    <row r="39" spans="4:5" x14ac:dyDescent="0.3">
      <c r="D39">
        <f>SUMIF('Sales Entry'!B:B,A39,'Sales Entry'!H:H)-SUMIF('Payments Received'!B:B,A39,'Payments Received'!C:C)</f>
        <v>0</v>
      </c>
      <c r="E39" t="str">
        <f t="shared" si="0"/>
        <v>OK</v>
      </c>
    </row>
    <row r="40" spans="4:5" x14ac:dyDescent="0.3">
      <c r="D40">
        <f>SUMIF('Sales Entry'!B:B,A40,'Sales Entry'!H:H)-SUMIF('Payments Received'!B:B,A40,'Payments Received'!C:C)</f>
        <v>0</v>
      </c>
      <c r="E40" t="str">
        <f t="shared" si="0"/>
        <v>OK</v>
      </c>
    </row>
    <row r="41" spans="4:5" x14ac:dyDescent="0.3">
      <c r="D41">
        <f>SUMIF('Sales Entry'!B:B,A41,'Sales Entry'!H:H)-SUMIF('Payments Received'!B:B,A41,'Payments Received'!C:C)</f>
        <v>0</v>
      </c>
      <c r="E41" t="str">
        <f t="shared" si="0"/>
        <v>OK</v>
      </c>
    </row>
    <row r="42" spans="4:5" x14ac:dyDescent="0.3">
      <c r="D42">
        <f>SUMIF('Sales Entry'!B:B,A42,'Sales Entry'!H:H)-SUMIF('Payments Received'!B:B,A42,'Payments Received'!C:C)</f>
        <v>0</v>
      </c>
      <c r="E42" t="str">
        <f t="shared" si="0"/>
        <v>OK</v>
      </c>
    </row>
    <row r="43" spans="4:5" x14ac:dyDescent="0.3">
      <c r="D43">
        <f>SUMIF('Sales Entry'!B:B,A43,'Sales Entry'!H:H)-SUMIF('Payments Received'!B:B,A43,'Payments Received'!C:C)</f>
        <v>0</v>
      </c>
      <c r="E43" t="str">
        <f t="shared" si="0"/>
        <v>OK</v>
      </c>
    </row>
    <row r="44" spans="4:5" x14ac:dyDescent="0.3">
      <c r="D44">
        <f>SUMIF('Sales Entry'!B:B,A44,'Sales Entry'!H:H)-SUMIF('Payments Received'!B:B,A44,'Payments Received'!C:C)</f>
        <v>0</v>
      </c>
      <c r="E44" t="str">
        <f t="shared" si="0"/>
        <v>OK</v>
      </c>
    </row>
    <row r="45" spans="4:5" x14ac:dyDescent="0.3">
      <c r="D45">
        <f>SUMIF('Sales Entry'!B:B,A45,'Sales Entry'!H:H)-SUMIF('Payments Received'!B:B,A45,'Payments Received'!C:C)</f>
        <v>0</v>
      </c>
      <c r="E45" t="str">
        <f t="shared" si="0"/>
        <v>OK</v>
      </c>
    </row>
    <row r="46" spans="4:5" x14ac:dyDescent="0.3">
      <c r="D46">
        <f>SUMIF('Sales Entry'!B:B,A46,'Sales Entry'!H:H)-SUMIF('Payments Received'!B:B,A46,'Payments Received'!C:C)</f>
        <v>0</v>
      </c>
      <c r="E46" t="str">
        <f t="shared" si="0"/>
        <v>OK</v>
      </c>
    </row>
    <row r="47" spans="4:5" x14ac:dyDescent="0.3">
      <c r="D47">
        <f>SUMIF('Sales Entry'!B:B,A47,'Sales Entry'!H:H)-SUMIF('Payments Received'!B:B,A47,'Payments Received'!C:C)</f>
        <v>0</v>
      </c>
      <c r="E47" t="str">
        <f t="shared" si="0"/>
        <v>OK</v>
      </c>
    </row>
    <row r="48" spans="4:5" x14ac:dyDescent="0.3">
      <c r="D48">
        <f>SUMIF('Sales Entry'!B:B,A48,'Sales Entry'!H:H)-SUMIF('Payments Received'!B:B,A48,'Payments Received'!C:C)</f>
        <v>0</v>
      </c>
      <c r="E48" t="str">
        <f t="shared" si="0"/>
        <v>OK</v>
      </c>
    </row>
    <row r="49" spans="4:5" x14ac:dyDescent="0.3">
      <c r="D49">
        <f>SUMIF('Sales Entry'!B:B,A49,'Sales Entry'!H:H)-SUMIF('Payments Received'!B:B,A49,'Payments Received'!C:C)</f>
        <v>0</v>
      </c>
      <c r="E49" t="str">
        <f t="shared" si="0"/>
        <v>OK</v>
      </c>
    </row>
    <row r="50" spans="4:5" x14ac:dyDescent="0.3">
      <c r="D50">
        <f>SUMIF('Sales Entry'!B:B,A50,'Sales Entry'!H:H)-SUMIF('Payments Received'!B:B,A50,'Payments Received'!C:C)</f>
        <v>0</v>
      </c>
      <c r="E50" t="str">
        <f t="shared" si="0"/>
        <v>OK</v>
      </c>
    </row>
    <row r="51" spans="4:5" x14ac:dyDescent="0.3">
      <c r="D51">
        <f>SUMIF('Sales Entry'!B:B,A51,'Sales Entry'!H:H)-SUMIF('Payments Received'!B:B,A51,'Payments Received'!C:C)</f>
        <v>0</v>
      </c>
      <c r="E51" t="str">
        <f t="shared" si="0"/>
        <v>OK</v>
      </c>
    </row>
    <row r="52" spans="4:5" x14ac:dyDescent="0.3">
      <c r="D52">
        <f>SUMIF('Sales Entry'!B:B,A52,'Sales Entry'!H:H)-SUMIF('Payments Received'!B:B,A52,'Payments Received'!C:C)</f>
        <v>0</v>
      </c>
      <c r="E52" t="str">
        <f t="shared" si="0"/>
        <v>OK</v>
      </c>
    </row>
    <row r="53" spans="4:5" x14ac:dyDescent="0.3">
      <c r="D53">
        <f>SUMIF('Sales Entry'!B:B,A53,'Sales Entry'!H:H)-SUMIF('Payments Received'!B:B,A53,'Payments Received'!C:C)</f>
        <v>0</v>
      </c>
      <c r="E53" t="str">
        <f t="shared" si="0"/>
        <v>OK</v>
      </c>
    </row>
    <row r="54" spans="4:5" x14ac:dyDescent="0.3">
      <c r="D54">
        <f>SUMIF('Sales Entry'!B:B,A54,'Sales Entry'!H:H)-SUMIF('Payments Received'!B:B,A54,'Payments Received'!C:C)</f>
        <v>0</v>
      </c>
      <c r="E54" t="str">
        <f t="shared" si="0"/>
        <v>OK</v>
      </c>
    </row>
    <row r="55" spans="4:5" x14ac:dyDescent="0.3">
      <c r="D55">
        <f>SUMIF('Sales Entry'!B:B,A55,'Sales Entry'!H:H)-SUMIF('Payments Received'!B:B,A55,'Payments Received'!C:C)</f>
        <v>0</v>
      </c>
      <c r="E55" t="str">
        <f t="shared" si="0"/>
        <v>OK</v>
      </c>
    </row>
    <row r="56" spans="4:5" x14ac:dyDescent="0.3">
      <c r="D56">
        <f>SUMIF('Sales Entry'!B:B,A56,'Sales Entry'!H:H)-SUMIF('Payments Received'!B:B,A56,'Payments Received'!C:C)</f>
        <v>0</v>
      </c>
      <c r="E56" t="str">
        <f t="shared" si="0"/>
        <v>OK</v>
      </c>
    </row>
    <row r="57" spans="4:5" x14ac:dyDescent="0.3">
      <c r="D57">
        <f>SUMIF('Sales Entry'!B:B,A57,'Sales Entry'!H:H)-SUMIF('Payments Received'!B:B,A57,'Payments Received'!C:C)</f>
        <v>0</v>
      </c>
      <c r="E57" t="str">
        <f t="shared" si="0"/>
        <v>OK</v>
      </c>
    </row>
    <row r="58" spans="4:5" x14ac:dyDescent="0.3">
      <c r="D58">
        <f>SUMIF('Sales Entry'!B:B,A58,'Sales Entry'!H:H)-SUMIF('Payments Received'!B:B,A58,'Payments Received'!C:C)</f>
        <v>0</v>
      </c>
      <c r="E58" t="str">
        <f t="shared" si="0"/>
        <v>OK</v>
      </c>
    </row>
    <row r="59" spans="4:5" x14ac:dyDescent="0.3">
      <c r="D59">
        <f>SUMIF('Sales Entry'!B:B,A59,'Sales Entry'!H:H)-SUMIF('Payments Received'!B:B,A59,'Payments Received'!C:C)</f>
        <v>0</v>
      </c>
      <c r="E59" t="str">
        <f t="shared" si="0"/>
        <v>OK</v>
      </c>
    </row>
    <row r="60" spans="4:5" x14ac:dyDescent="0.3">
      <c r="D60">
        <f>SUMIF('Sales Entry'!B:B,A60,'Sales Entry'!H:H)-SUMIF('Payments Received'!B:B,A60,'Payments Received'!C:C)</f>
        <v>0</v>
      </c>
      <c r="E60" t="str">
        <f t="shared" si="0"/>
        <v>OK</v>
      </c>
    </row>
    <row r="61" spans="4:5" x14ac:dyDescent="0.3">
      <c r="D61">
        <f>SUMIF('Sales Entry'!B:B,A61,'Sales Entry'!H:H)-SUMIF('Payments Received'!B:B,A61,'Payments Received'!C:C)</f>
        <v>0</v>
      </c>
      <c r="E61" t="str">
        <f t="shared" si="0"/>
        <v>OK</v>
      </c>
    </row>
    <row r="62" spans="4:5" x14ac:dyDescent="0.3">
      <c r="D62">
        <f>SUMIF('Sales Entry'!B:B,A62,'Sales Entry'!H:H)-SUMIF('Payments Received'!B:B,A62,'Payments Received'!C:C)</f>
        <v>0</v>
      </c>
      <c r="E62" t="str">
        <f t="shared" si="0"/>
        <v>OK</v>
      </c>
    </row>
    <row r="63" spans="4:5" x14ac:dyDescent="0.3">
      <c r="D63">
        <f>SUMIF('Sales Entry'!B:B,A63,'Sales Entry'!H:H)-SUMIF('Payments Received'!B:B,A63,'Payments Received'!C:C)</f>
        <v>0</v>
      </c>
      <c r="E63" t="str">
        <f t="shared" si="0"/>
        <v>OK</v>
      </c>
    </row>
    <row r="64" spans="4:5" x14ac:dyDescent="0.3">
      <c r="D64">
        <f>SUMIF('Sales Entry'!B:B,A64,'Sales Entry'!H:H)-SUMIF('Payments Received'!B:B,A64,'Payments Received'!C:C)</f>
        <v>0</v>
      </c>
      <c r="E64" t="str">
        <f t="shared" si="0"/>
        <v>OK</v>
      </c>
    </row>
    <row r="65" spans="4:5" x14ac:dyDescent="0.3">
      <c r="D65">
        <f>SUMIF('Sales Entry'!B:B,A65,'Sales Entry'!H:H)-SUMIF('Payments Received'!B:B,A65,'Payments Received'!C:C)</f>
        <v>0</v>
      </c>
      <c r="E65" t="str">
        <f t="shared" si="0"/>
        <v>OK</v>
      </c>
    </row>
    <row r="66" spans="4:5" x14ac:dyDescent="0.3">
      <c r="D66">
        <f>SUMIF('Sales Entry'!B:B,A66,'Sales Entry'!H:H)-SUMIF('Payments Received'!B:B,A66,'Payments Received'!C:C)</f>
        <v>0</v>
      </c>
      <c r="E66" t="str">
        <f t="shared" ref="E66:E129" si="1">IF(D66&gt;C66,"OVER LIMIT","OK")</f>
        <v>OK</v>
      </c>
    </row>
    <row r="67" spans="4:5" x14ac:dyDescent="0.3">
      <c r="D67">
        <f>SUMIF('Sales Entry'!B:B,A67,'Sales Entry'!H:H)-SUMIF('Payments Received'!B:B,A67,'Payments Received'!C:C)</f>
        <v>0</v>
      </c>
      <c r="E67" t="str">
        <f t="shared" si="1"/>
        <v>OK</v>
      </c>
    </row>
    <row r="68" spans="4:5" x14ac:dyDescent="0.3">
      <c r="D68">
        <f>SUMIF('Sales Entry'!B:B,A68,'Sales Entry'!H:H)-SUMIF('Payments Received'!B:B,A68,'Payments Received'!C:C)</f>
        <v>0</v>
      </c>
      <c r="E68" t="str">
        <f t="shared" si="1"/>
        <v>OK</v>
      </c>
    </row>
    <row r="69" spans="4:5" x14ac:dyDescent="0.3">
      <c r="D69">
        <f>SUMIF('Sales Entry'!B:B,A69,'Sales Entry'!H:H)-SUMIF('Payments Received'!B:B,A69,'Payments Received'!C:C)</f>
        <v>0</v>
      </c>
      <c r="E69" t="str">
        <f t="shared" si="1"/>
        <v>OK</v>
      </c>
    </row>
    <row r="70" spans="4:5" x14ac:dyDescent="0.3">
      <c r="D70">
        <f>SUMIF('Sales Entry'!B:B,A70,'Sales Entry'!H:H)-SUMIF('Payments Received'!B:B,A70,'Payments Received'!C:C)</f>
        <v>0</v>
      </c>
      <c r="E70" t="str">
        <f t="shared" si="1"/>
        <v>OK</v>
      </c>
    </row>
    <row r="71" spans="4:5" x14ac:dyDescent="0.3">
      <c r="D71">
        <f>SUMIF('Sales Entry'!B:B,A71,'Sales Entry'!H:H)-SUMIF('Payments Received'!B:B,A71,'Payments Received'!C:C)</f>
        <v>0</v>
      </c>
      <c r="E71" t="str">
        <f t="shared" si="1"/>
        <v>OK</v>
      </c>
    </row>
    <row r="72" spans="4:5" x14ac:dyDescent="0.3">
      <c r="D72">
        <f>SUMIF('Sales Entry'!B:B,A72,'Sales Entry'!H:H)-SUMIF('Payments Received'!B:B,A72,'Payments Received'!C:C)</f>
        <v>0</v>
      </c>
      <c r="E72" t="str">
        <f t="shared" si="1"/>
        <v>OK</v>
      </c>
    </row>
    <row r="73" spans="4:5" x14ac:dyDescent="0.3">
      <c r="D73">
        <f>SUMIF('Sales Entry'!B:B,A73,'Sales Entry'!H:H)-SUMIF('Payments Received'!B:B,A73,'Payments Received'!C:C)</f>
        <v>0</v>
      </c>
      <c r="E73" t="str">
        <f t="shared" si="1"/>
        <v>OK</v>
      </c>
    </row>
    <row r="74" spans="4:5" x14ac:dyDescent="0.3">
      <c r="D74">
        <f>SUMIF('Sales Entry'!B:B,A74,'Sales Entry'!H:H)-SUMIF('Payments Received'!B:B,A74,'Payments Received'!C:C)</f>
        <v>0</v>
      </c>
      <c r="E74" t="str">
        <f t="shared" si="1"/>
        <v>OK</v>
      </c>
    </row>
    <row r="75" spans="4:5" x14ac:dyDescent="0.3">
      <c r="D75">
        <f>SUMIF('Sales Entry'!B:B,A75,'Sales Entry'!H:H)-SUMIF('Payments Received'!B:B,A75,'Payments Received'!C:C)</f>
        <v>0</v>
      </c>
      <c r="E75" t="str">
        <f t="shared" si="1"/>
        <v>OK</v>
      </c>
    </row>
    <row r="76" spans="4:5" x14ac:dyDescent="0.3">
      <c r="D76">
        <f>SUMIF('Sales Entry'!B:B,A76,'Sales Entry'!H:H)-SUMIF('Payments Received'!B:B,A76,'Payments Received'!C:C)</f>
        <v>0</v>
      </c>
      <c r="E76" t="str">
        <f t="shared" si="1"/>
        <v>OK</v>
      </c>
    </row>
    <row r="77" spans="4:5" x14ac:dyDescent="0.3">
      <c r="D77">
        <f>SUMIF('Sales Entry'!B:B,A77,'Sales Entry'!H:H)-SUMIF('Payments Received'!B:B,A77,'Payments Received'!C:C)</f>
        <v>0</v>
      </c>
      <c r="E77" t="str">
        <f t="shared" si="1"/>
        <v>OK</v>
      </c>
    </row>
    <row r="78" spans="4:5" x14ac:dyDescent="0.3">
      <c r="D78">
        <f>SUMIF('Sales Entry'!B:B,A78,'Sales Entry'!H:H)-SUMIF('Payments Received'!B:B,A78,'Payments Received'!C:C)</f>
        <v>0</v>
      </c>
      <c r="E78" t="str">
        <f t="shared" si="1"/>
        <v>OK</v>
      </c>
    </row>
    <row r="79" spans="4:5" x14ac:dyDescent="0.3">
      <c r="D79">
        <f>SUMIF('Sales Entry'!B:B,A79,'Sales Entry'!H:H)-SUMIF('Payments Received'!B:B,A79,'Payments Received'!C:C)</f>
        <v>0</v>
      </c>
      <c r="E79" t="str">
        <f t="shared" si="1"/>
        <v>OK</v>
      </c>
    </row>
    <row r="80" spans="4:5" x14ac:dyDescent="0.3">
      <c r="D80">
        <f>SUMIF('Sales Entry'!B:B,A80,'Sales Entry'!H:H)-SUMIF('Payments Received'!B:B,A80,'Payments Received'!C:C)</f>
        <v>0</v>
      </c>
      <c r="E80" t="str">
        <f t="shared" si="1"/>
        <v>OK</v>
      </c>
    </row>
    <row r="81" spans="4:5" x14ac:dyDescent="0.3">
      <c r="D81">
        <f>SUMIF('Sales Entry'!B:B,A81,'Sales Entry'!H:H)-SUMIF('Payments Received'!B:B,A81,'Payments Received'!C:C)</f>
        <v>0</v>
      </c>
      <c r="E81" t="str">
        <f t="shared" si="1"/>
        <v>OK</v>
      </c>
    </row>
    <row r="82" spans="4:5" x14ac:dyDescent="0.3">
      <c r="D82">
        <f>SUMIF('Sales Entry'!B:B,A82,'Sales Entry'!H:H)-SUMIF('Payments Received'!B:B,A82,'Payments Received'!C:C)</f>
        <v>0</v>
      </c>
      <c r="E82" t="str">
        <f t="shared" si="1"/>
        <v>OK</v>
      </c>
    </row>
    <row r="83" spans="4:5" x14ac:dyDescent="0.3">
      <c r="D83">
        <f>SUMIF('Sales Entry'!B:B,A83,'Sales Entry'!H:H)-SUMIF('Payments Received'!B:B,A83,'Payments Received'!C:C)</f>
        <v>0</v>
      </c>
      <c r="E83" t="str">
        <f t="shared" si="1"/>
        <v>OK</v>
      </c>
    </row>
    <row r="84" spans="4:5" x14ac:dyDescent="0.3">
      <c r="D84">
        <f>SUMIF('Sales Entry'!B:B,A84,'Sales Entry'!H:H)-SUMIF('Payments Received'!B:B,A84,'Payments Received'!C:C)</f>
        <v>0</v>
      </c>
      <c r="E84" t="str">
        <f t="shared" si="1"/>
        <v>OK</v>
      </c>
    </row>
    <row r="85" spans="4:5" x14ac:dyDescent="0.3">
      <c r="D85">
        <f>SUMIF('Sales Entry'!B:B,A85,'Sales Entry'!H:H)-SUMIF('Payments Received'!B:B,A85,'Payments Received'!C:C)</f>
        <v>0</v>
      </c>
      <c r="E85" t="str">
        <f t="shared" si="1"/>
        <v>OK</v>
      </c>
    </row>
    <row r="86" spans="4:5" x14ac:dyDescent="0.3">
      <c r="D86">
        <f>SUMIF('Sales Entry'!B:B,A86,'Sales Entry'!H:H)-SUMIF('Payments Received'!B:B,A86,'Payments Received'!C:C)</f>
        <v>0</v>
      </c>
      <c r="E86" t="str">
        <f t="shared" si="1"/>
        <v>OK</v>
      </c>
    </row>
    <row r="87" spans="4:5" x14ac:dyDescent="0.3">
      <c r="D87">
        <f>SUMIF('Sales Entry'!B:B,A87,'Sales Entry'!H:H)-SUMIF('Payments Received'!B:B,A87,'Payments Received'!C:C)</f>
        <v>0</v>
      </c>
      <c r="E87" t="str">
        <f t="shared" si="1"/>
        <v>OK</v>
      </c>
    </row>
    <row r="88" spans="4:5" x14ac:dyDescent="0.3">
      <c r="D88">
        <f>SUMIF('Sales Entry'!B:B,A88,'Sales Entry'!H:H)-SUMIF('Payments Received'!B:B,A88,'Payments Received'!C:C)</f>
        <v>0</v>
      </c>
      <c r="E88" t="str">
        <f t="shared" si="1"/>
        <v>OK</v>
      </c>
    </row>
    <row r="89" spans="4:5" x14ac:dyDescent="0.3">
      <c r="D89">
        <f>SUMIF('Sales Entry'!B:B,A89,'Sales Entry'!H:H)-SUMIF('Payments Received'!B:B,A89,'Payments Received'!C:C)</f>
        <v>0</v>
      </c>
      <c r="E89" t="str">
        <f t="shared" si="1"/>
        <v>OK</v>
      </c>
    </row>
    <row r="90" spans="4:5" x14ac:dyDescent="0.3">
      <c r="D90">
        <f>SUMIF('Sales Entry'!B:B,A90,'Sales Entry'!H:H)-SUMIF('Payments Received'!B:B,A90,'Payments Received'!C:C)</f>
        <v>0</v>
      </c>
      <c r="E90" t="str">
        <f t="shared" si="1"/>
        <v>OK</v>
      </c>
    </row>
    <row r="91" spans="4:5" x14ac:dyDescent="0.3">
      <c r="D91">
        <f>SUMIF('Sales Entry'!B:B,A91,'Sales Entry'!H:H)-SUMIF('Payments Received'!B:B,A91,'Payments Received'!C:C)</f>
        <v>0</v>
      </c>
      <c r="E91" t="str">
        <f t="shared" si="1"/>
        <v>OK</v>
      </c>
    </row>
    <row r="92" spans="4:5" x14ac:dyDescent="0.3">
      <c r="D92">
        <f>SUMIF('Sales Entry'!B:B,A92,'Sales Entry'!H:H)-SUMIF('Payments Received'!B:B,A92,'Payments Received'!C:C)</f>
        <v>0</v>
      </c>
      <c r="E92" t="str">
        <f t="shared" si="1"/>
        <v>OK</v>
      </c>
    </row>
    <row r="93" spans="4:5" x14ac:dyDescent="0.3">
      <c r="D93">
        <f>SUMIF('Sales Entry'!B:B,A93,'Sales Entry'!H:H)-SUMIF('Payments Received'!B:B,A93,'Payments Received'!C:C)</f>
        <v>0</v>
      </c>
      <c r="E93" t="str">
        <f t="shared" si="1"/>
        <v>OK</v>
      </c>
    </row>
    <row r="94" spans="4:5" x14ac:dyDescent="0.3">
      <c r="D94">
        <f>SUMIF('Sales Entry'!B:B,A94,'Sales Entry'!H:H)-SUMIF('Payments Received'!B:B,A94,'Payments Received'!C:C)</f>
        <v>0</v>
      </c>
      <c r="E94" t="str">
        <f t="shared" si="1"/>
        <v>OK</v>
      </c>
    </row>
    <row r="95" spans="4:5" x14ac:dyDescent="0.3">
      <c r="D95">
        <f>SUMIF('Sales Entry'!B:B,A95,'Sales Entry'!H:H)-SUMIF('Payments Received'!B:B,A95,'Payments Received'!C:C)</f>
        <v>0</v>
      </c>
      <c r="E95" t="str">
        <f t="shared" si="1"/>
        <v>OK</v>
      </c>
    </row>
    <row r="96" spans="4:5" x14ac:dyDescent="0.3">
      <c r="D96">
        <f>SUMIF('Sales Entry'!B:B,A96,'Sales Entry'!H:H)-SUMIF('Payments Received'!B:B,A96,'Payments Received'!C:C)</f>
        <v>0</v>
      </c>
      <c r="E96" t="str">
        <f t="shared" si="1"/>
        <v>OK</v>
      </c>
    </row>
    <row r="97" spans="4:5" x14ac:dyDescent="0.3">
      <c r="D97">
        <f>SUMIF('Sales Entry'!B:B,A97,'Sales Entry'!H:H)-SUMIF('Payments Received'!B:B,A97,'Payments Received'!C:C)</f>
        <v>0</v>
      </c>
      <c r="E97" t="str">
        <f t="shared" si="1"/>
        <v>OK</v>
      </c>
    </row>
    <row r="98" spans="4:5" x14ac:dyDescent="0.3">
      <c r="D98">
        <f>SUMIF('Sales Entry'!B:B,A98,'Sales Entry'!H:H)-SUMIF('Payments Received'!B:B,A98,'Payments Received'!C:C)</f>
        <v>0</v>
      </c>
      <c r="E98" t="str">
        <f t="shared" si="1"/>
        <v>OK</v>
      </c>
    </row>
    <row r="99" spans="4:5" x14ac:dyDescent="0.3">
      <c r="D99">
        <f>SUMIF('Sales Entry'!B:B,A99,'Sales Entry'!H:H)-SUMIF('Payments Received'!B:B,A99,'Payments Received'!C:C)</f>
        <v>0</v>
      </c>
      <c r="E99" t="str">
        <f t="shared" si="1"/>
        <v>OK</v>
      </c>
    </row>
    <row r="100" spans="4:5" x14ac:dyDescent="0.3">
      <c r="D100">
        <f>SUMIF('Sales Entry'!B:B,A100,'Sales Entry'!H:H)-SUMIF('Payments Received'!B:B,A100,'Payments Received'!C:C)</f>
        <v>0</v>
      </c>
      <c r="E100" t="str">
        <f t="shared" si="1"/>
        <v>OK</v>
      </c>
    </row>
    <row r="101" spans="4:5" x14ac:dyDescent="0.3">
      <c r="D101">
        <f>SUMIF('Sales Entry'!B:B,A101,'Sales Entry'!H:H)-SUMIF('Payments Received'!B:B,A101,'Payments Received'!C:C)</f>
        <v>0</v>
      </c>
      <c r="E101" t="str">
        <f t="shared" si="1"/>
        <v>OK</v>
      </c>
    </row>
    <row r="102" spans="4:5" x14ac:dyDescent="0.3">
      <c r="D102">
        <f>SUMIF('Sales Entry'!B:B,A102,'Sales Entry'!H:H)-SUMIF('Payments Received'!B:B,A102,'Payments Received'!C:C)</f>
        <v>0</v>
      </c>
      <c r="E102" t="str">
        <f t="shared" si="1"/>
        <v>OK</v>
      </c>
    </row>
    <row r="103" spans="4:5" x14ac:dyDescent="0.3">
      <c r="D103">
        <f>SUMIF('Sales Entry'!B:B,A103,'Sales Entry'!H:H)-SUMIF('Payments Received'!B:B,A103,'Payments Received'!C:C)</f>
        <v>0</v>
      </c>
      <c r="E103" t="str">
        <f t="shared" si="1"/>
        <v>OK</v>
      </c>
    </row>
    <row r="104" spans="4:5" x14ac:dyDescent="0.3">
      <c r="D104">
        <f>SUMIF('Sales Entry'!B:B,A104,'Sales Entry'!H:H)-SUMIF('Payments Received'!B:B,A104,'Payments Received'!C:C)</f>
        <v>0</v>
      </c>
      <c r="E104" t="str">
        <f t="shared" si="1"/>
        <v>OK</v>
      </c>
    </row>
    <row r="105" spans="4:5" x14ac:dyDescent="0.3">
      <c r="D105">
        <f>SUMIF('Sales Entry'!B:B,A105,'Sales Entry'!H:H)-SUMIF('Payments Received'!B:B,A105,'Payments Received'!C:C)</f>
        <v>0</v>
      </c>
      <c r="E105" t="str">
        <f t="shared" si="1"/>
        <v>OK</v>
      </c>
    </row>
    <row r="106" spans="4:5" x14ac:dyDescent="0.3">
      <c r="D106">
        <f>SUMIF('Sales Entry'!B:B,A106,'Sales Entry'!H:H)-SUMIF('Payments Received'!B:B,A106,'Payments Received'!C:C)</f>
        <v>0</v>
      </c>
      <c r="E106" t="str">
        <f t="shared" si="1"/>
        <v>OK</v>
      </c>
    </row>
    <row r="107" spans="4:5" x14ac:dyDescent="0.3">
      <c r="D107">
        <f>SUMIF('Sales Entry'!B:B,A107,'Sales Entry'!H:H)-SUMIF('Payments Received'!B:B,A107,'Payments Received'!C:C)</f>
        <v>0</v>
      </c>
      <c r="E107" t="str">
        <f t="shared" si="1"/>
        <v>OK</v>
      </c>
    </row>
    <row r="108" spans="4:5" x14ac:dyDescent="0.3">
      <c r="D108">
        <f>SUMIF('Sales Entry'!B:B,A108,'Sales Entry'!H:H)-SUMIF('Payments Received'!B:B,A108,'Payments Received'!C:C)</f>
        <v>0</v>
      </c>
      <c r="E108" t="str">
        <f t="shared" si="1"/>
        <v>OK</v>
      </c>
    </row>
    <row r="109" spans="4:5" x14ac:dyDescent="0.3">
      <c r="D109">
        <f>SUMIF('Sales Entry'!B:B,A109,'Sales Entry'!H:H)-SUMIF('Payments Received'!B:B,A109,'Payments Received'!C:C)</f>
        <v>0</v>
      </c>
      <c r="E109" t="str">
        <f t="shared" si="1"/>
        <v>OK</v>
      </c>
    </row>
    <row r="110" spans="4:5" x14ac:dyDescent="0.3">
      <c r="D110">
        <f>SUMIF('Sales Entry'!B:B,A110,'Sales Entry'!H:H)-SUMIF('Payments Received'!B:B,A110,'Payments Received'!C:C)</f>
        <v>0</v>
      </c>
      <c r="E110" t="str">
        <f t="shared" si="1"/>
        <v>OK</v>
      </c>
    </row>
    <row r="111" spans="4:5" x14ac:dyDescent="0.3">
      <c r="D111">
        <f>SUMIF('Sales Entry'!B:B,A111,'Sales Entry'!H:H)-SUMIF('Payments Received'!B:B,A111,'Payments Received'!C:C)</f>
        <v>0</v>
      </c>
      <c r="E111" t="str">
        <f t="shared" si="1"/>
        <v>OK</v>
      </c>
    </row>
    <row r="112" spans="4:5" x14ac:dyDescent="0.3">
      <c r="D112">
        <f>SUMIF('Sales Entry'!B:B,A112,'Sales Entry'!H:H)-SUMIF('Payments Received'!B:B,A112,'Payments Received'!C:C)</f>
        <v>0</v>
      </c>
      <c r="E112" t="str">
        <f t="shared" si="1"/>
        <v>OK</v>
      </c>
    </row>
    <row r="113" spans="4:5" x14ac:dyDescent="0.3">
      <c r="D113">
        <f>SUMIF('Sales Entry'!B:B,A113,'Sales Entry'!H:H)-SUMIF('Payments Received'!B:B,A113,'Payments Received'!C:C)</f>
        <v>0</v>
      </c>
      <c r="E113" t="str">
        <f t="shared" si="1"/>
        <v>OK</v>
      </c>
    </row>
    <row r="114" spans="4:5" x14ac:dyDescent="0.3">
      <c r="D114">
        <f>SUMIF('Sales Entry'!B:B,A114,'Sales Entry'!H:H)-SUMIF('Payments Received'!B:B,A114,'Payments Received'!C:C)</f>
        <v>0</v>
      </c>
      <c r="E114" t="str">
        <f t="shared" si="1"/>
        <v>OK</v>
      </c>
    </row>
    <row r="115" spans="4:5" x14ac:dyDescent="0.3">
      <c r="D115">
        <f>SUMIF('Sales Entry'!B:B,A115,'Sales Entry'!H:H)-SUMIF('Payments Received'!B:B,A115,'Payments Received'!C:C)</f>
        <v>0</v>
      </c>
      <c r="E115" t="str">
        <f t="shared" si="1"/>
        <v>OK</v>
      </c>
    </row>
    <row r="116" spans="4:5" x14ac:dyDescent="0.3">
      <c r="D116">
        <f>SUMIF('Sales Entry'!B:B,A116,'Sales Entry'!H:H)-SUMIF('Payments Received'!B:B,A116,'Payments Received'!C:C)</f>
        <v>0</v>
      </c>
      <c r="E116" t="str">
        <f t="shared" si="1"/>
        <v>OK</v>
      </c>
    </row>
    <row r="117" spans="4:5" x14ac:dyDescent="0.3">
      <c r="D117">
        <f>SUMIF('Sales Entry'!B:B,A117,'Sales Entry'!H:H)-SUMIF('Payments Received'!B:B,A117,'Payments Received'!C:C)</f>
        <v>0</v>
      </c>
      <c r="E117" t="str">
        <f t="shared" si="1"/>
        <v>OK</v>
      </c>
    </row>
    <row r="118" spans="4:5" x14ac:dyDescent="0.3">
      <c r="D118">
        <f>SUMIF('Sales Entry'!B:B,A118,'Sales Entry'!H:H)-SUMIF('Payments Received'!B:B,A118,'Payments Received'!C:C)</f>
        <v>0</v>
      </c>
      <c r="E118" t="str">
        <f t="shared" si="1"/>
        <v>OK</v>
      </c>
    </row>
    <row r="119" spans="4:5" x14ac:dyDescent="0.3">
      <c r="D119">
        <f>SUMIF('Sales Entry'!B:B,A119,'Sales Entry'!H:H)-SUMIF('Payments Received'!B:B,A119,'Payments Received'!C:C)</f>
        <v>0</v>
      </c>
      <c r="E119" t="str">
        <f t="shared" si="1"/>
        <v>OK</v>
      </c>
    </row>
    <row r="120" spans="4:5" x14ac:dyDescent="0.3">
      <c r="D120">
        <f>SUMIF('Sales Entry'!B:B,A120,'Sales Entry'!H:H)-SUMIF('Payments Received'!B:B,A120,'Payments Received'!C:C)</f>
        <v>0</v>
      </c>
      <c r="E120" t="str">
        <f t="shared" si="1"/>
        <v>OK</v>
      </c>
    </row>
    <row r="121" spans="4:5" x14ac:dyDescent="0.3">
      <c r="D121">
        <f>SUMIF('Sales Entry'!B:B,A121,'Sales Entry'!H:H)-SUMIF('Payments Received'!B:B,A121,'Payments Received'!C:C)</f>
        <v>0</v>
      </c>
      <c r="E121" t="str">
        <f t="shared" si="1"/>
        <v>OK</v>
      </c>
    </row>
    <row r="122" spans="4:5" x14ac:dyDescent="0.3">
      <c r="D122">
        <f>SUMIF('Sales Entry'!B:B,A122,'Sales Entry'!H:H)-SUMIF('Payments Received'!B:B,A122,'Payments Received'!C:C)</f>
        <v>0</v>
      </c>
      <c r="E122" t="str">
        <f t="shared" si="1"/>
        <v>OK</v>
      </c>
    </row>
    <row r="123" spans="4:5" x14ac:dyDescent="0.3">
      <c r="D123">
        <f>SUMIF('Sales Entry'!B:B,A123,'Sales Entry'!H:H)-SUMIF('Payments Received'!B:B,A123,'Payments Received'!C:C)</f>
        <v>0</v>
      </c>
      <c r="E123" t="str">
        <f t="shared" si="1"/>
        <v>OK</v>
      </c>
    </row>
    <row r="124" spans="4:5" x14ac:dyDescent="0.3">
      <c r="D124">
        <f>SUMIF('Sales Entry'!B:B,A124,'Sales Entry'!H:H)-SUMIF('Payments Received'!B:B,A124,'Payments Received'!C:C)</f>
        <v>0</v>
      </c>
      <c r="E124" t="str">
        <f t="shared" si="1"/>
        <v>OK</v>
      </c>
    </row>
    <row r="125" spans="4:5" x14ac:dyDescent="0.3">
      <c r="D125">
        <f>SUMIF('Sales Entry'!B:B,A125,'Sales Entry'!H:H)-SUMIF('Payments Received'!B:B,A125,'Payments Received'!C:C)</f>
        <v>0</v>
      </c>
      <c r="E125" t="str">
        <f t="shared" si="1"/>
        <v>OK</v>
      </c>
    </row>
    <row r="126" spans="4:5" x14ac:dyDescent="0.3">
      <c r="D126">
        <f>SUMIF('Sales Entry'!B:B,A126,'Sales Entry'!H:H)-SUMIF('Payments Received'!B:B,A126,'Payments Received'!C:C)</f>
        <v>0</v>
      </c>
      <c r="E126" t="str">
        <f t="shared" si="1"/>
        <v>OK</v>
      </c>
    </row>
    <row r="127" spans="4:5" x14ac:dyDescent="0.3">
      <c r="D127">
        <f>SUMIF('Sales Entry'!B:B,A127,'Sales Entry'!H:H)-SUMIF('Payments Received'!B:B,A127,'Payments Received'!C:C)</f>
        <v>0</v>
      </c>
      <c r="E127" t="str">
        <f t="shared" si="1"/>
        <v>OK</v>
      </c>
    </row>
    <row r="128" spans="4:5" x14ac:dyDescent="0.3">
      <c r="D128">
        <f>SUMIF('Sales Entry'!B:B,A128,'Sales Entry'!H:H)-SUMIF('Payments Received'!B:B,A128,'Payments Received'!C:C)</f>
        <v>0</v>
      </c>
      <c r="E128" t="str">
        <f t="shared" si="1"/>
        <v>OK</v>
      </c>
    </row>
    <row r="129" spans="4:5" x14ac:dyDescent="0.3">
      <c r="D129">
        <f>SUMIF('Sales Entry'!B:B,A129,'Sales Entry'!H:H)-SUMIF('Payments Received'!B:B,A129,'Payments Received'!C:C)</f>
        <v>0</v>
      </c>
      <c r="E129" t="str">
        <f t="shared" si="1"/>
        <v>OK</v>
      </c>
    </row>
    <row r="130" spans="4:5" x14ac:dyDescent="0.3">
      <c r="D130">
        <f>SUMIF('Sales Entry'!B:B,A130,'Sales Entry'!H:H)-SUMIF('Payments Received'!B:B,A130,'Payments Received'!C:C)</f>
        <v>0</v>
      </c>
      <c r="E130" t="str">
        <f t="shared" ref="E130:E193" si="2">IF(D130&gt;C130,"OVER LIMIT","OK")</f>
        <v>OK</v>
      </c>
    </row>
    <row r="131" spans="4:5" x14ac:dyDescent="0.3">
      <c r="D131">
        <f>SUMIF('Sales Entry'!B:B,A131,'Sales Entry'!H:H)-SUMIF('Payments Received'!B:B,A131,'Payments Received'!C:C)</f>
        <v>0</v>
      </c>
      <c r="E131" t="str">
        <f t="shared" si="2"/>
        <v>OK</v>
      </c>
    </row>
    <row r="132" spans="4:5" x14ac:dyDescent="0.3">
      <c r="D132">
        <f>SUMIF('Sales Entry'!B:B,A132,'Sales Entry'!H:H)-SUMIF('Payments Received'!B:B,A132,'Payments Received'!C:C)</f>
        <v>0</v>
      </c>
      <c r="E132" t="str">
        <f t="shared" si="2"/>
        <v>OK</v>
      </c>
    </row>
    <row r="133" spans="4:5" x14ac:dyDescent="0.3">
      <c r="D133">
        <f>SUMIF('Sales Entry'!B:B,A133,'Sales Entry'!H:H)-SUMIF('Payments Received'!B:B,A133,'Payments Received'!C:C)</f>
        <v>0</v>
      </c>
      <c r="E133" t="str">
        <f t="shared" si="2"/>
        <v>OK</v>
      </c>
    </row>
    <row r="134" spans="4:5" x14ac:dyDescent="0.3">
      <c r="D134">
        <f>SUMIF('Sales Entry'!B:B,A134,'Sales Entry'!H:H)-SUMIF('Payments Received'!B:B,A134,'Payments Received'!C:C)</f>
        <v>0</v>
      </c>
      <c r="E134" t="str">
        <f t="shared" si="2"/>
        <v>OK</v>
      </c>
    </row>
    <row r="135" spans="4:5" x14ac:dyDescent="0.3">
      <c r="D135">
        <f>SUMIF('Sales Entry'!B:B,A135,'Sales Entry'!H:H)-SUMIF('Payments Received'!B:B,A135,'Payments Received'!C:C)</f>
        <v>0</v>
      </c>
      <c r="E135" t="str">
        <f t="shared" si="2"/>
        <v>OK</v>
      </c>
    </row>
    <row r="136" spans="4:5" x14ac:dyDescent="0.3">
      <c r="D136">
        <f>SUMIF('Sales Entry'!B:B,A136,'Sales Entry'!H:H)-SUMIF('Payments Received'!B:B,A136,'Payments Received'!C:C)</f>
        <v>0</v>
      </c>
      <c r="E136" t="str">
        <f t="shared" si="2"/>
        <v>OK</v>
      </c>
    </row>
    <row r="137" spans="4:5" x14ac:dyDescent="0.3">
      <c r="D137">
        <f>SUMIF('Sales Entry'!B:B,A137,'Sales Entry'!H:H)-SUMIF('Payments Received'!B:B,A137,'Payments Received'!C:C)</f>
        <v>0</v>
      </c>
      <c r="E137" t="str">
        <f t="shared" si="2"/>
        <v>OK</v>
      </c>
    </row>
    <row r="138" spans="4:5" x14ac:dyDescent="0.3">
      <c r="D138">
        <f>SUMIF('Sales Entry'!B:B,A138,'Sales Entry'!H:H)-SUMIF('Payments Received'!B:B,A138,'Payments Received'!C:C)</f>
        <v>0</v>
      </c>
      <c r="E138" t="str">
        <f t="shared" si="2"/>
        <v>OK</v>
      </c>
    </row>
    <row r="139" spans="4:5" x14ac:dyDescent="0.3">
      <c r="D139">
        <f>SUMIF('Sales Entry'!B:B,A139,'Sales Entry'!H:H)-SUMIF('Payments Received'!B:B,A139,'Payments Received'!C:C)</f>
        <v>0</v>
      </c>
      <c r="E139" t="str">
        <f t="shared" si="2"/>
        <v>OK</v>
      </c>
    </row>
    <row r="140" spans="4:5" x14ac:dyDescent="0.3">
      <c r="D140">
        <f>SUMIF('Sales Entry'!B:B,A140,'Sales Entry'!H:H)-SUMIF('Payments Received'!B:B,A140,'Payments Received'!C:C)</f>
        <v>0</v>
      </c>
      <c r="E140" t="str">
        <f t="shared" si="2"/>
        <v>OK</v>
      </c>
    </row>
    <row r="141" spans="4:5" x14ac:dyDescent="0.3">
      <c r="D141">
        <f>SUMIF('Sales Entry'!B:B,A141,'Sales Entry'!H:H)-SUMIF('Payments Received'!B:B,A141,'Payments Received'!C:C)</f>
        <v>0</v>
      </c>
      <c r="E141" t="str">
        <f t="shared" si="2"/>
        <v>OK</v>
      </c>
    </row>
    <row r="142" spans="4:5" x14ac:dyDescent="0.3">
      <c r="D142">
        <f>SUMIF('Sales Entry'!B:B,A142,'Sales Entry'!H:H)-SUMIF('Payments Received'!B:B,A142,'Payments Received'!C:C)</f>
        <v>0</v>
      </c>
      <c r="E142" t="str">
        <f t="shared" si="2"/>
        <v>OK</v>
      </c>
    </row>
    <row r="143" spans="4:5" x14ac:dyDescent="0.3">
      <c r="D143">
        <f>SUMIF('Sales Entry'!B:B,A143,'Sales Entry'!H:H)-SUMIF('Payments Received'!B:B,A143,'Payments Received'!C:C)</f>
        <v>0</v>
      </c>
      <c r="E143" t="str">
        <f t="shared" si="2"/>
        <v>OK</v>
      </c>
    </row>
    <row r="144" spans="4:5" x14ac:dyDescent="0.3">
      <c r="D144">
        <f>SUMIF('Sales Entry'!B:B,A144,'Sales Entry'!H:H)-SUMIF('Payments Received'!B:B,A144,'Payments Received'!C:C)</f>
        <v>0</v>
      </c>
      <c r="E144" t="str">
        <f t="shared" si="2"/>
        <v>OK</v>
      </c>
    </row>
    <row r="145" spans="4:5" x14ac:dyDescent="0.3">
      <c r="D145">
        <f>SUMIF('Sales Entry'!B:B,A145,'Sales Entry'!H:H)-SUMIF('Payments Received'!B:B,A145,'Payments Received'!C:C)</f>
        <v>0</v>
      </c>
      <c r="E145" t="str">
        <f t="shared" si="2"/>
        <v>OK</v>
      </c>
    </row>
    <row r="146" spans="4:5" x14ac:dyDescent="0.3">
      <c r="D146">
        <f>SUMIF('Sales Entry'!B:B,A146,'Sales Entry'!H:H)-SUMIF('Payments Received'!B:B,A146,'Payments Received'!C:C)</f>
        <v>0</v>
      </c>
      <c r="E146" t="str">
        <f t="shared" si="2"/>
        <v>OK</v>
      </c>
    </row>
    <row r="147" spans="4:5" x14ac:dyDescent="0.3">
      <c r="D147">
        <f>SUMIF('Sales Entry'!B:B,A147,'Sales Entry'!H:H)-SUMIF('Payments Received'!B:B,A147,'Payments Received'!C:C)</f>
        <v>0</v>
      </c>
      <c r="E147" t="str">
        <f t="shared" si="2"/>
        <v>OK</v>
      </c>
    </row>
    <row r="148" spans="4:5" x14ac:dyDescent="0.3">
      <c r="D148">
        <f>SUMIF('Sales Entry'!B:B,A148,'Sales Entry'!H:H)-SUMIF('Payments Received'!B:B,A148,'Payments Received'!C:C)</f>
        <v>0</v>
      </c>
      <c r="E148" t="str">
        <f t="shared" si="2"/>
        <v>OK</v>
      </c>
    </row>
    <row r="149" spans="4:5" x14ac:dyDescent="0.3">
      <c r="D149">
        <f>SUMIF('Sales Entry'!B:B,A149,'Sales Entry'!H:H)-SUMIF('Payments Received'!B:B,A149,'Payments Received'!C:C)</f>
        <v>0</v>
      </c>
      <c r="E149" t="str">
        <f t="shared" si="2"/>
        <v>OK</v>
      </c>
    </row>
    <row r="150" spans="4:5" x14ac:dyDescent="0.3">
      <c r="D150">
        <f>SUMIF('Sales Entry'!B:B,A150,'Sales Entry'!H:H)-SUMIF('Payments Received'!B:B,A150,'Payments Received'!C:C)</f>
        <v>0</v>
      </c>
      <c r="E150" t="str">
        <f t="shared" si="2"/>
        <v>OK</v>
      </c>
    </row>
    <row r="151" spans="4:5" x14ac:dyDescent="0.3">
      <c r="D151">
        <f>SUMIF('Sales Entry'!B:B,A151,'Sales Entry'!H:H)-SUMIF('Payments Received'!B:B,A151,'Payments Received'!C:C)</f>
        <v>0</v>
      </c>
      <c r="E151" t="str">
        <f t="shared" si="2"/>
        <v>OK</v>
      </c>
    </row>
    <row r="152" spans="4:5" x14ac:dyDescent="0.3">
      <c r="D152">
        <f>SUMIF('Sales Entry'!B:B,A152,'Sales Entry'!H:H)-SUMIF('Payments Received'!B:B,A152,'Payments Received'!C:C)</f>
        <v>0</v>
      </c>
      <c r="E152" t="str">
        <f t="shared" si="2"/>
        <v>OK</v>
      </c>
    </row>
    <row r="153" spans="4:5" x14ac:dyDescent="0.3">
      <c r="D153">
        <f>SUMIF('Sales Entry'!B:B,A153,'Sales Entry'!H:H)-SUMIF('Payments Received'!B:B,A153,'Payments Received'!C:C)</f>
        <v>0</v>
      </c>
      <c r="E153" t="str">
        <f t="shared" si="2"/>
        <v>OK</v>
      </c>
    </row>
    <row r="154" spans="4:5" x14ac:dyDescent="0.3">
      <c r="D154">
        <f>SUMIF('Sales Entry'!B:B,A154,'Sales Entry'!H:H)-SUMIF('Payments Received'!B:B,A154,'Payments Received'!C:C)</f>
        <v>0</v>
      </c>
      <c r="E154" t="str">
        <f t="shared" si="2"/>
        <v>OK</v>
      </c>
    </row>
    <row r="155" spans="4:5" x14ac:dyDescent="0.3">
      <c r="D155">
        <f>SUMIF('Sales Entry'!B:B,A155,'Sales Entry'!H:H)-SUMIF('Payments Received'!B:B,A155,'Payments Received'!C:C)</f>
        <v>0</v>
      </c>
      <c r="E155" t="str">
        <f t="shared" si="2"/>
        <v>OK</v>
      </c>
    </row>
    <row r="156" spans="4:5" x14ac:dyDescent="0.3">
      <c r="D156">
        <f>SUMIF('Sales Entry'!B:B,A156,'Sales Entry'!H:H)-SUMIF('Payments Received'!B:B,A156,'Payments Received'!C:C)</f>
        <v>0</v>
      </c>
      <c r="E156" t="str">
        <f t="shared" si="2"/>
        <v>OK</v>
      </c>
    </row>
    <row r="157" spans="4:5" x14ac:dyDescent="0.3">
      <c r="D157">
        <f>SUMIF('Sales Entry'!B:B,A157,'Sales Entry'!H:H)-SUMIF('Payments Received'!B:B,A157,'Payments Received'!C:C)</f>
        <v>0</v>
      </c>
      <c r="E157" t="str">
        <f t="shared" si="2"/>
        <v>OK</v>
      </c>
    </row>
    <row r="158" spans="4:5" x14ac:dyDescent="0.3">
      <c r="D158">
        <f>SUMIF('Sales Entry'!B:B,A158,'Sales Entry'!H:H)-SUMIF('Payments Received'!B:B,A158,'Payments Received'!C:C)</f>
        <v>0</v>
      </c>
      <c r="E158" t="str">
        <f t="shared" si="2"/>
        <v>OK</v>
      </c>
    </row>
    <row r="159" spans="4:5" x14ac:dyDescent="0.3">
      <c r="D159">
        <f>SUMIF('Sales Entry'!B:B,A159,'Sales Entry'!H:H)-SUMIF('Payments Received'!B:B,A159,'Payments Received'!C:C)</f>
        <v>0</v>
      </c>
      <c r="E159" t="str">
        <f t="shared" si="2"/>
        <v>OK</v>
      </c>
    </row>
    <row r="160" spans="4:5" x14ac:dyDescent="0.3">
      <c r="D160">
        <f>SUMIF('Sales Entry'!B:B,A160,'Sales Entry'!H:H)-SUMIF('Payments Received'!B:B,A160,'Payments Received'!C:C)</f>
        <v>0</v>
      </c>
      <c r="E160" t="str">
        <f t="shared" si="2"/>
        <v>OK</v>
      </c>
    </row>
    <row r="161" spans="4:5" x14ac:dyDescent="0.3">
      <c r="D161">
        <f>SUMIF('Sales Entry'!B:B,A161,'Sales Entry'!H:H)-SUMIF('Payments Received'!B:B,A161,'Payments Received'!C:C)</f>
        <v>0</v>
      </c>
      <c r="E161" t="str">
        <f t="shared" si="2"/>
        <v>OK</v>
      </c>
    </row>
    <row r="162" spans="4:5" x14ac:dyDescent="0.3">
      <c r="D162">
        <f>SUMIF('Sales Entry'!B:B,A162,'Sales Entry'!H:H)-SUMIF('Payments Received'!B:B,A162,'Payments Received'!C:C)</f>
        <v>0</v>
      </c>
      <c r="E162" t="str">
        <f t="shared" si="2"/>
        <v>OK</v>
      </c>
    </row>
    <row r="163" spans="4:5" x14ac:dyDescent="0.3">
      <c r="D163">
        <f>SUMIF('Sales Entry'!B:B,A163,'Sales Entry'!H:H)-SUMIF('Payments Received'!B:B,A163,'Payments Received'!C:C)</f>
        <v>0</v>
      </c>
      <c r="E163" t="str">
        <f t="shared" si="2"/>
        <v>OK</v>
      </c>
    </row>
    <row r="164" spans="4:5" x14ac:dyDescent="0.3">
      <c r="D164">
        <f>SUMIF('Sales Entry'!B:B,A164,'Sales Entry'!H:H)-SUMIF('Payments Received'!B:B,A164,'Payments Received'!C:C)</f>
        <v>0</v>
      </c>
      <c r="E164" t="str">
        <f t="shared" si="2"/>
        <v>OK</v>
      </c>
    </row>
    <row r="165" spans="4:5" x14ac:dyDescent="0.3">
      <c r="D165">
        <f>SUMIF('Sales Entry'!B:B,A165,'Sales Entry'!H:H)-SUMIF('Payments Received'!B:B,A165,'Payments Received'!C:C)</f>
        <v>0</v>
      </c>
      <c r="E165" t="str">
        <f t="shared" si="2"/>
        <v>OK</v>
      </c>
    </row>
    <row r="166" spans="4:5" x14ac:dyDescent="0.3">
      <c r="D166">
        <f>SUMIF('Sales Entry'!B:B,A166,'Sales Entry'!H:H)-SUMIF('Payments Received'!B:B,A166,'Payments Received'!C:C)</f>
        <v>0</v>
      </c>
      <c r="E166" t="str">
        <f t="shared" si="2"/>
        <v>OK</v>
      </c>
    </row>
    <row r="167" spans="4:5" x14ac:dyDescent="0.3">
      <c r="D167">
        <f>SUMIF('Sales Entry'!B:B,A167,'Sales Entry'!H:H)-SUMIF('Payments Received'!B:B,A167,'Payments Received'!C:C)</f>
        <v>0</v>
      </c>
      <c r="E167" t="str">
        <f t="shared" si="2"/>
        <v>OK</v>
      </c>
    </row>
    <row r="168" spans="4:5" x14ac:dyDescent="0.3">
      <c r="D168">
        <f>SUMIF('Sales Entry'!B:B,A168,'Sales Entry'!H:H)-SUMIF('Payments Received'!B:B,A168,'Payments Received'!C:C)</f>
        <v>0</v>
      </c>
      <c r="E168" t="str">
        <f t="shared" si="2"/>
        <v>OK</v>
      </c>
    </row>
    <row r="169" spans="4:5" x14ac:dyDescent="0.3">
      <c r="D169">
        <f>SUMIF('Sales Entry'!B:B,A169,'Sales Entry'!H:H)-SUMIF('Payments Received'!B:B,A169,'Payments Received'!C:C)</f>
        <v>0</v>
      </c>
      <c r="E169" t="str">
        <f t="shared" si="2"/>
        <v>OK</v>
      </c>
    </row>
    <row r="170" spans="4:5" x14ac:dyDescent="0.3">
      <c r="D170">
        <f>SUMIF('Sales Entry'!B:B,A170,'Sales Entry'!H:H)-SUMIF('Payments Received'!B:B,A170,'Payments Received'!C:C)</f>
        <v>0</v>
      </c>
      <c r="E170" t="str">
        <f t="shared" si="2"/>
        <v>OK</v>
      </c>
    </row>
    <row r="171" spans="4:5" x14ac:dyDescent="0.3">
      <c r="D171">
        <f>SUMIF('Sales Entry'!B:B,A171,'Sales Entry'!H:H)-SUMIF('Payments Received'!B:B,A171,'Payments Received'!C:C)</f>
        <v>0</v>
      </c>
      <c r="E171" t="str">
        <f t="shared" si="2"/>
        <v>OK</v>
      </c>
    </row>
    <row r="172" spans="4:5" x14ac:dyDescent="0.3">
      <c r="D172">
        <f>SUMIF('Sales Entry'!B:B,A172,'Sales Entry'!H:H)-SUMIF('Payments Received'!B:B,A172,'Payments Received'!C:C)</f>
        <v>0</v>
      </c>
      <c r="E172" t="str">
        <f t="shared" si="2"/>
        <v>OK</v>
      </c>
    </row>
    <row r="173" spans="4:5" x14ac:dyDescent="0.3">
      <c r="D173">
        <f>SUMIF('Sales Entry'!B:B,A173,'Sales Entry'!H:H)-SUMIF('Payments Received'!B:B,A173,'Payments Received'!C:C)</f>
        <v>0</v>
      </c>
      <c r="E173" t="str">
        <f t="shared" si="2"/>
        <v>OK</v>
      </c>
    </row>
    <row r="174" spans="4:5" x14ac:dyDescent="0.3">
      <c r="D174">
        <f>SUMIF('Sales Entry'!B:B,A174,'Sales Entry'!H:H)-SUMIF('Payments Received'!B:B,A174,'Payments Received'!C:C)</f>
        <v>0</v>
      </c>
      <c r="E174" t="str">
        <f t="shared" si="2"/>
        <v>OK</v>
      </c>
    </row>
    <row r="175" spans="4:5" x14ac:dyDescent="0.3">
      <c r="D175">
        <f>SUMIF('Sales Entry'!B:B,A175,'Sales Entry'!H:H)-SUMIF('Payments Received'!B:B,A175,'Payments Received'!C:C)</f>
        <v>0</v>
      </c>
      <c r="E175" t="str">
        <f t="shared" si="2"/>
        <v>OK</v>
      </c>
    </row>
    <row r="176" spans="4:5" x14ac:dyDescent="0.3">
      <c r="D176">
        <f>SUMIF('Sales Entry'!B:B,A176,'Sales Entry'!H:H)-SUMIF('Payments Received'!B:B,A176,'Payments Received'!C:C)</f>
        <v>0</v>
      </c>
      <c r="E176" t="str">
        <f t="shared" si="2"/>
        <v>OK</v>
      </c>
    </row>
    <row r="177" spans="4:5" x14ac:dyDescent="0.3">
      <c r="D177">
        <f>SUMIF('Sales Entry'!B:B,A177,'Sales Entry'!H:H)-SUMIF('Payments Received'!B:B,A177,'Payments Received'!C:C)</f>
        <v>0</v>
      </c>
      <c r="E177" t="str">
        <f t="shared" si="2"/>
        <v>OK</v>
      </c>
    </row>
    <row r="178" spans="4:5" x14ac:dyDescent="0.3">
      <c r="D178">
        <f>SUMIF('Sales Entry'!B:B,A178,'Sales Entry'!H:H)-SUMIF('Payments Received'!B:B,A178,'Payments Received'!C:C)</f>
        <v>0</v>
      </c>
      <c r="E178" t="str">
        <f t="shared" si="2"/>
        <v>OK</v>
      </c>
    </row>
    <row r="179" spans="4:5" x14ac:dyDescent="0.3">
      <c r="D179">
        <f>SUMIF('Sales Entry'!B:B,A179,'Sales Entry'!H:H)-SUMIF('Payments Received'!B:B,A179,'Payments Received'!C:C)</f>
        <v>0</v>
      </c>
      <c r="E179" t="str">
        <f t="shared" si="2"/>
        <v>OK</v>
      </c>
    </row>
    <row r="180" spans="4:5" x14ac:dyDescent="0.3">
      <c r="D180">
        <f>SUMIF('Sales Entry'!B:B,A180,'Sales Entry'!H:H)-SUMIF('Payments Received'!B:B,A180,'Payments Received'!C:C)</f>
        <v>0</v>
      </c>
      <c r="E180" t="str">
        <f t="shared" si="2"/>
        <v>OK</v>
      </c>
    </row>
    <row r="181" spans="4:5" x14ac:dyDescent="0.3">
      <c r="D181">
        <f>SUMIF('Sales Entry'!B:B,A181,'Sales Entry'!H:H)-SUMIF('Payments Received'!B:B,A181,'Payments Received'!C:C)</f>
        <v>0</v>
      </c>
      <c r="E181" t="str">
        <f t="shared" si="2"/>
        <v>OK</v>
      </c>
    </row>
    <row r="182" spans="4:5" x14ac:dyDescent="0.3">
      <c r="D182">
        <f>SUMIF('Sales Entry'!B:B,A182,'Sales Entry'!H:H)-SUMIF('Payments Received'!B:B,A182,'Payments Received'!C:C)</f>
        <v>0</v>
      </c>
      <c r="E182" t="str">
        <f t="shared" si="2"/>
        <v>OK</v>
      </c>
    </row>
    <row r="183" spans="4:5" x14ac:dyDescent="0.3">
      <c r="D183">
        <f>SUMIF('Sales Entry'!B:B,A183,'Sales Entry'!H:H)-SUMIF('Payments Received'!B:B,A183,'Payments Received'!C:C)</f>
        <v>0</v>
      </c>
      <c r="E183" t="str">
        <f t="shared" si="2"/>
        <v>OK</v>
      </c>
    </row>
    <row r="184" spans="4:5" x14ac:dyDescent="0.3">
      <c r="D184">
        <f>SUMIF('Sales Entry'!B:B,A184,'Sales Entry'!H:H)-SUMIF('Payments Received'!B:B,A184,'Payments Received'!C:C)</f>
        <v>0</v>
      </c>
      <c r="E184" t="str">
        <f t="shared" si="2"/>
        <v>OK</v>
      </c>
    </row>
    <row r="185" spans="4:5" x14ac:dyDescent="0.3">
      <c r="D185">
        <f>SUMIF('Sales Entry'!B:B,A185,'Sales Entry'!H:H)-SUMIF('Payments Received'!B:B,A185,'Payments Received'!C:C)</f>
        <v>0</v>
      </c>
      <c r="E185" t="str">
        <f t="shared" si="2"/>
        <v>OK</v>
      </c>
    </row>
    <row r="186" spans="4:5" x14ac:dyDescent="0.3">
      <c r="D186">
        <f>SUMIF('Sales Entry'!B:B,A186,'Sales Entry'!H:H)-SUMIF('Payments Received'!B:B,A186,'Payments Received'!C:C)</f>
        <v>0</v>
      </c>
      <c r="E186" t="str">
        <f t="shared" si="2"/>
        <v>OK</v>
      </c>
    </row>
    <row r="187" spans="4:5" x14ac:dyDescent="0.3">
      <c r="D187">
        <f>SUMIF('Sales Entry'!B:B,A187,'Sales Entry'!H:H)-SUMIF('Payments Received'!B:B,A187,'Payments Received'!C:C)</f>
        <v>0</v>
      </c>
      <c r="E187" t="str">
        <f t="shared" si="2"/>
        <v>OK</v>
      </c>
    </row>
    <row r="188" spans="4:5" x14ac:dyDescent="0.3">
      <c r="D188">
        <f>SUMIF('Sales Entry'!B:B,A188,'Sales Entry'!H:H)-SUMIF('Payments Received'!B:B,A188,'Payments Received'!C:C)</f>
        <v>0</v>
      </c>
      <c r="E188" t="str">
        <f t="shared" si="2"/>
        <v>OK</v>
      </c>
    </row>
    <row r="189" spans="4:5" x14ac:dyDescent="0.3">
      <c r="D189">
        <f>SUMIF('Sales Entry'!B:B,A189,'Sales Entry'!H:H)-SUMIF('Payments Received'!B:B,A189,'Payments Received'!C:C)</f>
        <v>0</v>
      </c>
      <c r="E189" t="str">
        <f t="shared" si="2"/>
        <v>OK</v>
      </c>
    </row>
    <row r="190" spans="4:5" x14ac:dyDescent="0.3">
      <c r="D190">
        <f>SUMIF('Sales Entry'!B:B,A190,'Sales Entry'!H:H)-SUMIF('Payments Received'!B:B,A190,'Payments Received'!C:C)</f>
        <v>0</v>
      </c>
      <c r="E190" t="str">
        <f t="shared" si="2"/>
        <v>OK</v>
      </c>
    </row>
    <row r="191" spans="4:5" x14ac:dyDescent="0.3">
      <c r="D191">
        <f>SUMIF('Sales Entry'!B:B,A191,'Sales Entry'!H:H)-SUMIF('Payments Received'!B:B,A191,'Payments Received'!C:C)</f>
        <v>0</v>
      </c>
      <c r="E191" t="str">
        <f t="shared" si="2"/>
        <v>OK</v>
      </c>
    </row>
    <row r="192" spans="4:5" x14ac:dyDescent="0.3">
      <c r="D192">
        <f>SUMIF('Sales Entry'!B:B,A192,'Sales Entry'!H:H)-SUMIF('Payments Received'!B:B,A192,'Payments Received'!C:C)</f>
        <v>0</v>
      </c>
      <c r="E192" t="str">
        <f t="shared" si="2"/>
        <v>OK</v>
      </c>
    </row>
    <row r="193" spans="4:5" x14ac:dyDescent="0.3">
      <c r="D193">
        <f>SUMIF('Sales Entry'!B:B,A193,'Sales Entry'!H:H)-SUMIF('Payments Received'!B:B,A193,'Payments Received'!C:C)</f>
        <v>0</v>
      </c>
      <c r="E193" t="str">
        <f t="shared" si="2"/>
        <v>OK</v>
      </c>
    </row>
    <row r="194" spans="4:5" x14ac:dyDescent="0.3">
      <c r="D194">
        <f>SUMIF('Sales Entry'!B:B,A194,'Sales Entry'!H:H)-SUMIF('Payments Received'!B:B,A194,'Payments Received'!C:C)</f>
        <v>0</v>
      </c>
      <c r="E194" t="str">
        <f t="shared" ref="E194:E257" si="3">IF(D194&gt;C194,"OVER LIMIT","OK")</f>
        <v>OK</v>
      </c>
    </row>
    <row r="195" spans="4:5" x14ac:dyDescent="0.3">
      <c r="D195">
        <f>SUMIF('Sales Entry'!B:B,A195,'Sales Entry'!H:H)-SUMIF('Payments Received'!B:B,A195,'Payments Received'!C:C)</f>
        <v>0</v>
      </c>
      <c r="E195" t="str">
        <f t="shared" si="3"/>
        <v>OK</v>
      </c>
    </row>
    <row r="196" spans="4:5" x14ac:dyDescent="0.3">
      <c r="D196">
        <f>SUMIF('Sales Entry'!B:B,A196,'Sales Entry'!H:H)-SUMIF('Payments Received'!B:B,A196,'Payments Received'!C:C)</f>
        <v>0</v>
      </c>
      <c r="E196" t="str">
        <f t="shared" si="3"/>
        <v>OK</v>
      </c>
    </row>
    <row r="197" spans="4:5" x14ac:dyDescent="0.3">
      <c r="D197">
        <f>SUMIF('Sales Entry'!B:B,A197,'Sales Entry'!H:H)-SUMIF('Payments Received'!B:B,A197,'Payments Received'!C:C)</f>
        <v>0</v>
      </c>
      <c r="E197" t="str">
        <f t="shared" si="3"/>
        <v>OK</v>
      </c>
    </row>
    <row r="198" spans="4:5" x14ac:dyDescent="0.3">
      <c r="D198">
        <f>SUMIF('Sales Entry'!B:B,A198,'Sales Entry'!H:H)-SUMIF('Payments Received'!B:B,A198,'Payments Received'!C:C)</f>
        <v>0</v>
      </c>
      <c r="E198" t="str">
        <f t="shared" si="3"/>
        <v>OK</v>
      </c>
    </row>
    <row r="199" spans="4:5" x14ac:dyDescent="0.3">
      <c r="D199">
        <f>SUMIF('Sales Entry'!B:B,A199,'Sales Entry'!H:H)-SUMIF('Payments Received'!B:B,A199,'Payments Received'!C:C)</f>
        <v>0</v>
      </c>
      <c r="E199" t="str">
        <f t="shared" si="3"/>
        <v>OK</v>
      </c>
    </row>
    <row r="200" spans="4:5" x14ac:dyDescent="0.3">
      <c r="D200">
        <f>SUMIF('Sales Entry'!B:B,A200,'Sales Entry'!H:H)-SUMIF('Payments Received'!B:B,A200,'Payments Received'!C:C)</f>
        <v>0</v>
      </c>
      <c r="E200" t="str">
        <f t="shared" si="3"/>
        <v>OK</v>
      </c>
    </row>
    <row r="201" spans="4:5" x14ac:dyDescent="0.3">
      <c r="D201">
        <f>SUMIF('Sales Entry'!B:B,A201,'Sales Entry'!H:H)-SUMIF('Payments Received'!B:B,A201,'Payments Received'!C:C)</f>
        <v>0</v>
      </c>
      <c r="E201" t="str">
        <f t="shared" si="3"/>
        <v>OK</v>
      </c>
    </row>
    <row r="202" spans="4:5" x14ac:dyDescent="0.3">
      <c r="D202">
        <f>SUMIF('Sales Entry'!B:B,A202,'Sales Entry'!H:H)-SUMIF('Payments Received'!B:B,A202,'Payments Received'!C:C)</f>
        <v>0</v>
      </c>
      <c r="E202" t="str">
        <f t="shared" si="3"/>
        <v>OK</v>
      </c>
    </row>
    <row r="203" spans="4:5" x14ac:dyDescent="0.3">
      <c r="D203">
        <f>SUMIF('Sales Entry'!B:B,A203,'Sales Entry'!H:H)-SUMIF('Payments Received'!B:B,A203,'Payments Received'!C:C)</f>
        <v>0</v>
      </c>
      <c r="E203" t="str">
        <f t="shared" si="3"/>
        <v>OK</v>
      </c>
    </row>
    <row r="204" spans="4:5" x14ac:dyDescent="0.3">
      <c r="D204">
        <f>SUMIF('Sales Entry'!B:B,A204,'Sales Entry'!H:H)-SUMIF('Payments Received'!B:B,A204,'Payments Received'!C:C)</f>
        <v>0</v>
      </c>
      <c r="E204" t="str">
        <f t="shared" si="3"/>
        <v>OK</v>
      </c>
    </row>
    <row r="205" spans="4:5" x14ac:dyDescent="0.3">
      <c r="D205">
        <f>SUMIF('Sales Entry'!B:B,A205,'Sales Entry'!H:H)-SUMIF('Payments Received'!B:B,A205,'Payments Received'!C:C)</f>
        <v>0</v>
      </c>
      <c r="E205" t="str">
        <f t="shared" si="3"/>
        <v>OK</v>
      </c>
    </row>
    <row r="206" spans="4:5" x14ac:dyDescent="0.3">
      <c r="D206">
        <f>SUMIF('Sales Entry'!B:B,A206,'Sales Entry'!H:H)-SUMIF('Payments Received'!B:B,A206,'Payments Received'!C:C)</f>
        <v>0</v>
      </c>
      <c r="E206" t="str">
        <f t="shared" si="3"/>
        <v>OK</v>
      </c>
    </row>
    <row r="207" spans="4:5" x14ac:dyDescent="0.3">
      <c r="D207">
        <f>SUMIF('Sales Entry'!B:B,A207,'Sales Entry'!H:H)-SUMIF('Payments Received'!B:B,A207,'Payments Received'!C:C)</f>
        <v>0</v>
      </c>
      <c r="E207" t="str">
        <f t="shared" si="3"/>
        <v>OK</v>
      </c>
    </row>
    <row r="208" spans="4:5" x14ac:dyDescent="0.3">
      <c r="D208">
        <f>SUMIF('Sales Entry'!B:B,A208,'Sales Entry'!H:H)-SUMIF('Payments Received'!B:B,A208,'Payments Received'!C:C)</f>
        <v>0</v>
      </c>
      <c r="E208" t="str">
        <f t="shared" si="3"/>
        <v>OK</v>
      </c>
    </row>
    <row r="209" spans="4:5" x14ac:dyDescent="0.3">
      <c r="D209">
        <f>SUMIF('Sales Entry'!B:B,A209,'Sales Entry'!H:H)-SUMIF('Payments Received'!B:B,A209,'Payments Received'!C:C)</f>
        <v>0</v>
      </c>
      <c r="E209" t="str">
        <f t="shared" si="3"/>
        <v>OK</v>
      </c>
    </row>
    <row r="210" spans="4:5" x14ac:dyDescent="0.3">
      <c r="D210">
        <f>SUMIF('Sales Entry'!B:B,A210,'Sales Entry'!H:H)-SUMIF('Payments Received'!B:B,A210,'Payments Received'!C:C)</f>
        <v>0</v>
      </c>
      <c r="E210" t="str">
        <f t="shared" si="3"/>
        <v>OK</v>
      </c>
    </row>
    <row r="211" spans="4:5" x14ac:dyDescent="0.3">
      <c r="D211">
        <f>SUMIF('Sales Entry'!B:B,A211,'Sales Entry'!H:H)-SUMIF('Payments Received'!B:B,A211,'Payments Received'!C:C)</f>
        <v>0</v>
      </c>
      <c r="E211" t="str">
        <f t="shared" si="3"/>
        <v>OK</v>
      </c>
    </row>
    <row r="212" spans="4:5" x14ac:dyDescent="0.3">
      <c r="D212">
        <f>SUMIF('Sales Entry'!B:B,A212,'Sales Entry'!H:H)-SUMIF('Payments Received'!B:B,A212,'Payments Received'!C:C)</f>
        <v>0</v>
      </c>
      <c r="E212" t="str">
        <f t="shared" si="3"/>
        <v>OK</v>
      </c>
    </row>
    <row r="213" spans="4:5" x14ac:dyDescent="0.3">
      <c r="D213">
        <f>SUMIF('Sales Entry'!B:B,A213,'Sales Entry'!H:H)-SUMIF('Payments Received'!B:B,A213,'Payments Received'!C:C)</f>
        <v>0</v>
      </c>
      <c r="E213" t="str">
        <f t="shared" si="3"/>
        <v>OK</v>
      </c>
    </row>
    <row r="214" spans="4:5" x14ac:dyDescent="0.3">
      <c r="D214">
        <f>SUMIF('Sales Entry'!B:B,A214,'Sales Entry'!H:H)-SUMIF('Payments Received'!B:B,A214,'Payments Received'!C:C)</f>
        <v>0</v>
      </c>
      <c r="E214" t="str">
        <f t="shared" si="3"/>
        <v>OK</v>
      </c>
    </row>
    <row r="215" spans="4:5" x14ac:dyDescent="0.3">
      <c r="D215">
        <f>SUMIF('Sales Entry'!B:B,A215,'Sales Entry'!H:H)-SUMIF('Payments Received'!B:B,A215,'Payments Received'!C:C)</f>
        <v>0</v>
      </c>
      <c r="E215" t="str">
        <f t="shared" si="3"/>
        <v>OK</v>
      </c>
    </row>
    <row r="216" spans="4:5" x14ac:dyDescent="0.3">
      <c r="D216">
        <f>SUMIF('Sales Entry'!B:B,A216,'Sales Entry'!H:H)-SUMIF('Payments Received'!B:B,A216,'Payments Received'!C:C)</f>
        <v>0</v>
      </c>
      <c r="E216" t="str">
        <f t="shared" si="3"/>
        <v>OK</v>
      </c>
    </row>
    <row r="217" spans="4:5" x14ac:dyDescent="0.3">
      <c r="D217">
        <f>SUMIF('Sales Entry'!B:B,A217,'Sales Entry'!H:H)-SUMIF('Payments Received'!B:B,A217,'Payments Received'!C:C)</f>
        <v>0</v>
      </c>
      <c r="E217" t="str">
        <f t="shared" si="3"/>
        <v>OK</v>
      </c>
    </row>
    <row r="218" spans="4:5" x14ac:dyDescent="0.3">
      <c r="D218">
        <f>SUMIF('Sales Entry'!B:B,A218,'Sales Entry'!H:H)-SUMIF('Payments Received'!B:B,A218,'Payments Received'!C:C)</f>
        <v>0</v>
      </c>
      <c r="E218" t="str">
        <f t="shared" si="3"/>
        <v>OK</v>
      </c>
    </row>
    <row r="219" spans="4:5" x14ac:dyDescent="0.3">
      <c r="D219">
        <f>SUMIF('Sales Entry'!B:B,A219,'Sales Entry'!H:H)-SUMIF('Payments Received'!B:B,A219,'Payments Received'!C:C)</f>
        <v>0</v>
      </c>
      <c r="E219" t="str">
        <f t="shared" si="3"/>
        <v>OK</v>
      </c>
    </row>
    <row r="220" spans="4:5" x14ac:dyDescent="0.3">
      <c r="D220">
        <f>SUMIF('Sales Entry'!B:B,A220,'Sales Entry'!H:H)-SUMIF('Payments Received'!B:B,A220,'Payments Received'!C:C)</f>
        <v>0</v>
      </c>
      <c r="E220" t="str">
        <f t="shared" si="3"/>
        <v>OK</v>
      </c>
    </row>
    <row r="221" spans="4:5" x14ac:dyDescent="0.3">
      <c r="D221">
        <f>SUMIF('Sales Entry'!B:B,A221,'Sales Entry'!H:H)-SUMIF('Payments Received'!B:B,A221,'Payments Received'!C:C)</f>
        <v>0</v>
      </c>
      <c r="E221" t="str">
        <f t="shared" si="3"/>
        <v>OK</v>
      </c>
    </row>
    <row r="222" spans="4:5" x14ac:dyDescent="0.3">
      <c r="D222">
        <f>SUMIF('Sales Entry'!B:B,A222,'Sales Entry'!H:H)-SUMIF('Payments Received'!B:B,A222,'Payments Received'!C:C)</f>
        <v>0</v>
      </c>
      <c r="E222" t="str">
        <f t="shared" si="3"/>
        <v>OK</v>
      </c>
    </row>
    <row r="223" spans="4:5" x14ac:dyDescent="0.3">
      <c r="D223">
        <f>SUMIF('Sales Entry'!B:B,A223,'Sales Entry'!H:H)-SUMIF('Payments Received'!B:B,A223,'Payments Received'!C:C)</f>
        <v>0</v>
      </c>
      <c r="E223" t="str">
        <f t="shared" si="3"/>
        <v>OK</v>
      </c>
    </row>
    <row r="224" spans="4:5" x14ac:dyDescent="0.3">
      <c r="D224">
        <f>SUMIF('Sales Entry'!B:B,A224,'Sales Entry'!H:H)-SUMIF('Payments Received'!B:B,A224,'Payments Received'!C:C)</f>
        <v>0</v>
      </c>
      <c r="E224" t="str">
        <f t="shared" si="3"/>
        <v>OK</v>
      </c>
    </row>
    <row r="225" spans="4:5" x14ac:dyDescent="0.3">
      <c r="D225">
        <f>SUMIF('Sales Entry'!B:B,A225,'Sales Entry'!H:H)-SUMIF('Payments Received'!B:B,A225,'Payments Received'!C:C)</f>
        <v>0</v>
      </c>
      <c r="E225" t="str">
        <f t="shared" si="3"/>
        <v>OK</v>
      </c>
    </row>
    <row r="226" spans="4:5" x14ac:dyDescent="0.3">
      <c r="D226">
        <f>SUMIF('Sales Entry'!B:B,A226,'Sales Entry'!H:H)-SUMIF('Payments Received'!B:B,A226,'Payments Received'!C:C)</f>
        <v>0</v>
      </c>
      <c r="E226" t="str">
        <f t="shared" si="3"/>
        <v>OK</v>
      </c>
    </row>
    <row r="227" spans="4:5" x14ac:dyDescent="0.3">
      <c r="D227">
        <f>SUMIF('Sales Entry'!B:B,A227,'Sales Entry'!H:H)-SUMIF('Payments Received'!B:B,A227,'Payments Received'!C:C)</f>
        <v>0</v>
      </c>
      <c r="E227" t="str">
        <f t="shared" si="3"/>
        <v>OK</v>
      </c>
    </row>
    <row r="228" spans="4:5" x14ac:dyDescent="0.3">
      <c r="D228">
        <f>SUMIF('Sales Entry'!B:B,A228,'Sales Entry'!H:H)-SUMIF('Payments Received'!B:B,A228,'Payments Received'!C:C)</f>
        <v>0</v>
      </c>
      <c r="E228" t="str">
        <f t="shared" si="3"/>
        <v>OK</v>
      </c>
    </row>
    <row r="229" spans="4:5" x14ac:dyDescent="0.3">
      <c r="D229">
        <f>SUMIF('Sales Entry'!B:B,A229,'Sales Entry'!H:H)-SUMIF('Payments Received'!B:B,A229,'Payments Received'!C:C)</f>
        <v>0</v>
      </c>
      <c r="E229" t="str">
        <f t="shared" si="3"/>
        <v>OK</v>
      </c>
    </row>
    <row r="230" spans="4:5" x14ac:dyDescent="0.3">
      <c r="D230">
        <f>SUMIF('Sales Entry'!B:B,A230,'Sales Entry'!H:H)-SUMIF('Payments Received'!B:B,A230,'Payments Received'!C:C)</f>
        <v>0</v>
      </c>
      <c r="E230" t="str">
        <f t="shared" si="3"/>
        <v>OK</v>
      </c>
    </row>
    <row r="231" spans="4:5" x14ac:dyDescent="0.3">
      <c r="D231">
        <f>SUMIF('Sales Entry'!B:B,A231,'Sales Entry'!H:H)-SUMIF('Payments Received'!B:B,A231,'Payments Received'!C:C)</f>
        <v>0</v>
      </c>
      <c r="E231" t="str">
        <f t="shared" si="3"/>
        <v>OK</v>
      </c>
    </row>
    <row r="232" spans="4:5" x14ac:dyDescent="0.3">
      <c r="D232">
        <f>SUMIF('Sales Entry'!B:B,A232,'Sales Entry'!H:H)-SUMIF('Payments Received'!B:B,A232,'Payments Received'!C:C)</f>
        <v>0</v>
      </c>
      <c r="E232" t="str">
        <f t="shared" si="3"/>
        <v>OK</v>
      </c>
    </row>
    <row r="233" spans="4:5" x14ac:dyDescent="0.3">
      <c r="D233">
        <f>SUMIF('Sales Entry'!B:B,A233,'Sales Entry'!H:H)-SUMIF('Payments Received'!B:B,A233,'Payments Received'!C:C)</f>
        <v>0</v>
      </c>
      <c r="E233" t="str">
        <f t="shared" si="3"/>
        <v>OK</v>
      </c>
    </row>
    <row r="234" spans="4:5" x14ac:dyDescent="0.3">
      <c r="D234">
        <f>SUMIF('Sales Entry'!B:B,A234,'Sales Entry'!H:H)-SUMIF('Payments Received'!B:B,A234,'Payments Received'!C:C)</f>
        <v>0</v>
      </c>
      <c r="E234" t="str">
        <f t="shared" si="3"/>
        <v>OK</v>
      </c>
    </row>
    <row r="235" spans="4:5" x14ac:dyDescent="0.3">
      <c r="D235">
        <f>SUMIF('Sales Entry'!B:B,A235,'Sales Entry'!H:H)-SUMIF('Payments Received'!B:B,A235,'Payments Received'!C:C)</f>
        <v>0</v>
      </c>
      <c r="E235" t="str">
        <f t="shared" si="3"/>
        <v>OK</v>
      </c>
    </row>
    <row r="236" spans="4:5" x14ac:dyDescent="0.3">
      <c r="D236">
        <f>SUMIF('Sales Entry'!B:B,A236,'Sales Entry'!H:H)-SUMIF('Payments Received'!B:B,A236,'Payments Received'!C:C)</f>
        <v>0</v>
      </c>
      <c r="E236" t="str">
        <f t="shared" si="3"/>
        <v>OK</v>
      </c>
    </row>
    <row r="237" spans="4:5" x14ac:dyDescent="0.3">
      <c r="D237">
        <f>SUMIF('Sales Entry'!B:B,A237,'Sales Entry'!H:H)-SUMIF('Payments Received'!B:B,A237,'Payments Received'!C:C)</f>
        <v>0</v>
      </c>
      <c r="E237" t="str">
        <f t="shared" si="3"/>
        <v>OK</v>
      </c>
    </row>
    <row r="238" spans="4:5" x14ac:dyDescent="0.3">
      <c r="D238">
        <f>SUMIF('Sales Entry'!B:B,A238,'Sales Entry'!H:H)-SUMIF('Payments Received'!B:B,A238,'Payments Received'!C:C)</f>
        <v>0</v>
      </c>
      <c r="E238" t="str">
        <f t="shared" si="3"/>
        <v>OK</v>
      </c>
    </row>
    <row r="239" spans="4:5" x14ac:dyDescent="0.3">
      <c r="D239">
        <f>SUMIF('Sales Entry'!B:B,A239,'Sales Entry'!H:H)-SUMIF('Payments Received'!B:B,A239,'Payments Received'!C:C)</f>
        <v>0</v>
      </c>
      <c r="E239" t="str">
        <f t="shared" si="3"/>
        <v>OK</v>
      </c>
    </row>
    <row r="240" spans="4:5" x14ac:dyDescent="0.3">
      <c r="D240">
        <f>SUMIF('Sales Entry'!B:B,A240,'Sales Entry'!H:H)-SUMIF('Payments Received'!B:B,A240,'Payments Received'!C:C)</f>
        <v>0</v>
      </c>
      <c r="E240" t="str">
        <f t="shared" si="3"/>
        <v>OK</v>
      </c>
    </row>
    <row r="241" spans="4:5" x14ac:dyDescent="0.3">
      <c r="D241">
        <f>SUMIF('Sales Entry'!B:B,A241,'Sales Entry'!H:H)-SUMIF('Payments Received'!B:B,A241,'Payments Received'!C:C)</f>
        <v>0</v>
      </c>
      <c r="E241" t="str">
        <f t="shared" si="3"/>
        <v>OK</v>
      </c>
    </row>
    <row r="242" spans="4:5" x14ac:dyDescent="0.3">
      <c r="D242">
        <f>SUMIF('Sales Entry'!B:B,A242,'Sales Entry'!H:H)-SUMIF('Payments Received'!B:B,A242,'Payments Received'!C:C)</f>
        <v>0</v>
      </c>
      <c r="E242" t="str">
        <f t="shared" si="3"/>
        <v>OK</v>
      </c>
    </row>
    <row r="243" spans="4:5" x14ac:dyDescent="0.3">
      <c r="D243">
        <f>SUMIF('Sales Entry'!B:B,A243,'Sales Entry'!H:H)-SUMIF('Payments Received'!B:B,A243,'Payments Received'!C:C)</f>
        <v>0</v>
      </c>
      <c r="E243" t="str">
        <f t="shared" si="3"/>
        <v>OK</v>
      </c>
    </row>
    <row r="244" spans="4:5" x14ac:dyDescent="0.3">
      <c r="D244">
        <f>SUMIF('Sales Entry'!B:B,A244,'Sales Entry'!H:H)-SUMIF('Payments Received'!B:B,A244,'Payments Received'!C:C)</f>
        <v>0</v>
      </c>
      <c r="E244" t="str">
        <f t="shared" si="3"/>
        <v>OK</v>
      </c>
    </row>
    <row r="245" spans="4:5" x14ac:dyDescent="0.3">
      <c r="D245">
        <f>SUMIF('Sales Entry'!B:B,A245,'Sales Entry'!H:H)-SUMIF('Payments Received'!B:B,A245,'Payments Received'!C:C)</f>
        <v>0</v>
      </c>
      <c r="E245" t="str">
        <f t="shared" si="3"/>
        <v>OK</v>
      </c>
    </row>
    <row r="246" spans="4:5" x14ac:dyDescent="0.3">
      <c r="D246">
        <f>SUMIF('Sales Entry'!B:B,A246,'Sales Entry'!H:H)-SUMIF('Payments Received'!B:B,A246,'Payments Received'!C:C)</f>
        <v>0</v>
      </c>
      <c r="E246" t="str">
        <f t="shared" si="3"/>
        <v>OK</v>
      </c>
    </row>
    <row r="247" spans="4:5" x14ac:dyDescent="0.3">
      <c r="D247">
        <f>SUMIF('Sales Entry'!B:B,A247,'Sales Entry'!H:H)-SUMIF('Payments Received'!B:B,A247,'Payments Received'!C:C)</f>
        <v>0</v>
      </c>
      <c r="E247" t="str">
        <f t="shared" si="3"/>
        <v>OK</v>
      </c>
    </row>
    <row r="248" spans="4:5" x14ac:dyDescent="0.3">
      <c r="D248">
        <f>SUMIF('Sales Entry'!B:B,A248,'Sales Entry'!H:H)-SUMIF('Payments Received'!B:B,A248,'Payments Received'!C:C)</f>
        <v>0</v>
      </c>
      <c r="E248" t="str">
        <f t="shared" si="3"/>
        <v>OK</v>
      </c>
    </row>
    <row r="249" spans="4:5" x14ac:dyDescent="0.3">
      <c r="D249">
        <f>SUMIF('Sales Entry'!B:B,A249,'Sales Entry'!H:H)-SUMIF('Payments Received'!B:B,A249,'Payments Received'!C:C)</f>
        <v>0</v>
      </c>
      <c r="E249" t="str">
        <f t="shared" si="3"/>
        <v>OK</v>
      </c>
    </row>
    <row r="250" spans="4:5" x14ac:dyDescent="0.3">
      <c r="D250">
        <f>SUMIF('Sales Entry'!B:B,A250,'Sales Entry'!H:H)-SUMIF('Payments Received'!B:B,A250,'Payments Received'!C:C)</f>
        <v>0</v>
      </c>
      <c r="E250" t="str">
        <f t="shared" si="3"/>
        <v>OK</v>
      </c>
    </row>
    <row r="251" spans="4:5" x14ac:dyDescent="0.3">
      <c r="D251">
        <f>SUMIF('Sales Entry'!B:B,A251,'Sales Entry'!H:H)-SUMIF('Payments Received'!B:B,A251,'Payments Received'!C:C)</f>
        <v>0</v>
      </c>
      <c r="E251" t="str">
        <f t="shared" si="3"/>
        <v>OK</v>
      </c>
    </row>
    <row r="252" spans="4:5" x14ac:dyDescent="0.3">
      <c r="D252">
        <f>SUMIF('Sales Entry'!B:B,A252,'Sales Entry'!H:H)-SUMIF('Payments Received'!B:B,A252,'Payments Received'!C:C)</f>
        <v>0</v>
      </c>
      <c r="E252" t="str">
        <f t="shared" si="3"/>
        <v>OK</v>
      </c>
    </row>
    <row r="253" spans="4:5" x14ac:dyDescent="0.3">
      <c r="D253">
        <f>SUMIF('Sales Entry'!B:B,A253,'Sales Entry'!H:H)-SUMIF('Payments Received'!B:B,A253,'Payments Received'!C:C)</f>
        <v>0</v>
      </c>
      <c r="E253" t="str">
        <f t="shared" si="3"/>
        <v>OK</v>
      </c>
    </row>
    <row r="254" spans="4:5" x14ac:dyDescent="0.3">
      <c r="D254">
        <f>SUMIF('Sales Entry'!B:B,A254,'Sales Entry'!H:H)-SUMIF('Payments Received'!B:B,A254,'Payments Received'!C:C)</f>
        <v>0</v>
      </c>
      <c r="E254" t="str">
        <f t="shared" si="3"/>
        <v>OK</v>
      </c>
    </row>
    <row r="255" spans="4:5" x14ac:dyDescent="0.3">
      <c r="D255">
        <f>SUMIF('Sales Entry'!B:B,A255,'Sales Entry'!H:H)-SUMIF('Payments Received'!B:B,A255,'Payments Received'!C:C)</f>
        <v>0</v>
      </c>
      <c r="E255" t="str">
        <f t="shared" si="3"/>
        <v>OK</v>
      </c>
    </row>
    <row r="256" spans="4:5" x14ac:dyDescent="0.3">
      <c r="D256">
        <f>SUMIF('Sales Entry'!B:B,A256,'Sales Entry'!H:H)-SUMIF('Payments Received'!B:B,A256,'Payments Received'!C:C)</f>
        <v>0</v>
      </c>
      <c r="E256" t="str">
        <f t="shared" si="3"/>
        <v>OK</v>
      </c>
    </row>
    <row r="257" spans="4:5" x14ac:dyDescent="0.3">
      <c r="D257">
        <f>SUMIF('Sales Entry'!B:B,A257,'Sales Entry'!H:H)-SUMIF('Payments Received'!B:B,A257,'Payments Received'!C:C)</f>
        <v>0</v>
      </c>
      <c r="E257" t="str">
        <f t="shared" si="3"/>
        <v>OK</v>
      </c>
    </row>
    <row r="258" spans="4:5" x14ac:dyDescent="0.3">
      <c r="D258">
        <f>SUMIF('Sales Entry'!B:B,A258,'Sales Entry'!H:H)-SUMIF('Payments Received'!B:B,A258,'Payments Received'!C:C)</f>
        <v>0</v>
      </c>
      <c r="E258" t="str">
        <f t="shared" ref="E258:E321" si="4">IF(D258&gt;C258,"OVER LIMIT","OK")</f>
        <v>OK</v>
      </c>
    </row>
    <row r="259" spans="4:5" x14ac:dyDescent="0.3">
      <c r="D259">
        <f>SUMIF('Sales Entry'!B:B,A259,'Sales Entry'!H:H)-SUMIF('Payments Received'!B:B,A259,'Payments Received'!C:C)</f>
        <v>0</v>
      </c>
      <c r="E259" t="str">
        <f t="shared" si="4"/>
        <v>OK</v>
      </c>
    </row>
    <row r="260" spans="4:5" x14ac:dyDescent="0.3">
      <c r="D260">
        <f>SUMIF('Sales Entry'!B:B,A260,'Sales Entry'!H:H)-SUMIF('Payments Received'!B:B,A260,'Payments Received'!C:C)</f>
        <v>0</v>
      </c>
      <c r="E260" t="str">
        <f t="shared" si="4"/>
        <v>OK</v>
      </c>
    </row>
    <row r="261" spans="4:5" x14ac:dyDescent="0.3">
      <c r="D261">
        <f>SUMIF('Sales Entry'!B:B,A261,'Sales Entry'!H:H)-SUMIF('Payments Received'!B:B,A261,'Payments Received'!C:C)</f>
        <v>0</v>
      </c>
      <c r="E261" t="str">
        <f t="shared" si="4"/>
        <v>OK</v>
      </c>
    </row>
    <row r="262" spans="4:5" x14ac:dyDescent="0.3">
      <c r="D262">
        <f>SUMIF('Sales Entry'!B:B,A262,'Sales Entry'!H:H)-SUMIF('Payments Received'!B:B,A262,'Payments Received'!C:C)</f>
        <v>0</v>
      </c>
      <c r="E262" t="str">
        <f t="shared" si="4"/>
        <v>OK</v>
      </c>
    </row>
    <row r="263" spans="4:5" x14ac:dyDescent="0.3">
      <c r="D263">
        <f>SUMIF('Sales Entry'!B:B,A263,'Sales Entry'!H:H)-SUMIF('Payments Received'!B:B,A263,'Payments Received'!C:C)</f>
        <v>0</v>
      </c>
      <c r="E263" t="str">
        <f t="shared" si="4"/>
        <v>OK</v>
      </c>
    </row>
    <row r="264" spans="4:5" x14ac:dyDescent="0.3">
      <c r="D264">
        <f>SUMIF('Sales Entry'!B:B,A264,'Sales Entry'!H:H)-SUMIF('Payments Received'!B:B,A264,'Payments Received'!C:C)</f>
        <v>0</v>
      </c>
      <c r="E264" t="str">
        <f t="shared" si="4"/>
        <v>OK</v>
      </c>
    </row>
    <row r="265" spans="4:5" x14ac:dyDescent="0.3">
      <c r="D265">
        <f>SUMIF('Sales Entry'!B:B,A265,'Sales Entry'!H:H)-SUMIF('Payments Received'!B:B,A265,'Payments Received'!C:C)</f>
        <v>0</v>
      </c>
      <c r="E265" t="str">
        <f t="shared" si="4"/>
        <v>OK</v>
      </c>
    </row>
    <row r="266" spans="4:5" x14ac:dyDescent="0.3">
      <c r="D266">
        <f>SUMIF('Sales Entry'!B:B,A266,'Sales Entry'!H:H)-SUMIF('Payments Received'!B:B,A266,'Payments Received'!C:C)</f>
        <v>0</v>
      </c>
      <c r="E266" t="str">
        <f t="shared" si="4"/>
        <v>OK</v>
      </c>
    </row>
    <row r="267" spans="4:5" x14ac:dyDescent="0.3">
      <c r="D267">
        <f>SUMIF('Sales Entry'!B:B,A267,'Sales Entry'!H:H)-SUMIF('Payments Received'!B:B,A267,'Payments Received'!C:C)</f>
        <v>0</v>
      </c>
      <c r="E267" t="str">
        <f t="shared" si="4"/>
        <v>OK</v>
      </c>
    </row>
    <row r="268" spans="4:5" x14ac:dyDescent="0.3">
      <c r="D268">
        <f>SUMIF('Sales Entry'!B:B,A268,'Sales Entry'!H:H)-SUMIF('Payments Received'!B:B,A268,'Payments Received'!C:C)</f>
        <v>0</v>
      </c>
      <c r="E268" t="str">
        <f t="shared" si="4"/>
        <v>OK</v>
      </c>
    </row>
    <row r="269" spans="4:5" x14ac:dyDescent="0.3">
      <c r="D269">
        <f>SUMIF('Sales Entry'!B:B,A269,'Sales Entry'!H:H)-SUMIF('Payments Received'!B:B,A269,'Payments Received'!C:C)</f>
        <v>0</v>
      </c>
      <c r="E269" t="str">
        <f t="shared" si="4"/>
        <v>OK</v>
      </c>
    </row>
    <row r="270" spans="4:5" x14ac:dyDescent="0.3">
      <c r="D270">
        <f>SUMIF('Sales Entry'!B:B,A270,'Sales Entry'!H:H)-SUMIF('Payments Received'!B:B,A270,'Payments Received'!C:C)</f>
        <v>0</v>
      </c>
      <c r="E270" t="str">
        <f t="shared" si="4"/>
        <v>OK</v>
      </c>
    </row>
    <row r="271" spans="4:5" x14ac:dyDescent="0.3">
      <c r="D271">
        <f>SUMIF('Sales Entry'!B:B,A271,'Sales Entry'!H:H)-SUMIF('Payments Received'!B:B,A271,'Payments Received'!C:C)</f>
        <v>0</v>
      </c>
      <c r="E271" t="str">
        <f t="shared" si="4"/>
        <v>OK</v>
      </c>
    </row>
    <row r="272" spans="4:5" x14ac:dyDescent="0.3">
      <c r="D272">
        <f>SUMIF('Sales Entry'!B:B,A272,'Sales Entry'!H:H)-SUMIF('Payments Received'!B:B,A272,'Payments Received'!C:C)</f>
        <v>0</v>
      </c>
      <c r="E272" t="str">
        <f t="shared" si="4"/>
        <v>OK</v>
      </c>
    </row>
    <row r="273" spans="4:5" x14ac:dyDescent="0.3">
      <c r="D273">
        <f>SUMIF('Sales Entry'!B:B,A273,'Sales Entry'!H:H)-SUMIF('Payments Received'!B:B,A273,'Payments Received'!C:C)</f>
        <v>0</v>
      </c>
      <c r="E273" t="str">
        <f t="shared" si="4"/>
        <v>OK</v>
      </c>
    </row>
    <row r="274" spans="4:5" x14ac:dyDescent="0.3">
      <c r="D274">
        <f>SUMIF('Sales Entry'!B:B,A274,'Sales Entry'!H:H)-SUMIF('Payments Received'!B:B,A274,'Payments Received'!C:C)</f>
        <v>0</v>
      </c>
      <c r="E274" t="str">
        <f t="shared" si="4"/>
        <v>OK</v>
      </c>
    </row>
    <row r="275" spans="4:5" x14ac:dyDescent="0.3">
      <c r="D275">
        <f>SUMIF('Sales Entry'!B:B,A275,'Sales Entry'!H:H)-SUMIF('Payments Received'!B:B,A275,'Payments Received'!C:C)</f>
        <v>0</v>
      </c>
      <c r="E275" t="str">
        <f t="shared" si="4"/>
        <v>OK</v>
      </c>
    </row>
    <row r="276" spans="4:5" x14ac:dyDescent="0.3">
      <c r="D276">
        <f>SUMIF('Sales Entry'!B:B,A276,'Sales Entry'!H:H)-SUMIF('Payments Received'!B:B,A276,'Payments Received'!C:C)</f>
        <v>0</v>
      </c>
      <c r="E276" t="str">
        <f t="shared" si="4"/>
        <v>OK</v>
      </c>
    </row>
    <row r="277" spans="4:5" x14ac:dyDescent="0.3">
      <c r="D277">
        <f>SUMIF('Sales Entry'!B:B,A277,'Sales Entry'!H:H)-SUMIF('Payments Received'!B:B,A277,'Payments Received'!C:C)</f>
        <v>0</v>
      </c>
      <c r="E277" t="str">
        <f t="shared" si="4"/>
        <v>OK</v>
      </c>
    </row>
    <row r="278" spans="4:5" x14ac:dyDescent="0.3">
      <c r="D278">
        <f>SUMIF('Sales Entry'!B:B,A278,'Sales Entry'!H:H)-SUMIF('Payments Received'!B:B,A278,'Payments Received'!C:C)</f>
        <v>0</v>
      </c>
      <c r="E278" t="str">
        <f t="shared" si="4"/>
        <v>OK</v>
      </c>
    </row>
    <row r="279" spans="4:5" x14ac:dyDescent="0.3">
      <c r="D279">
        <f>SUMIF('Sales Entry'!B:B,A279,'Sales Entry'!H:H)-SUMIF('Payments Received'!B:B,A279,'Payments Received'!C:C)</f>
        <v>0</v>
      </c>
      <c r="E279" t="str">
        <f t="shared" si="4"/>
        <v>OK</v>
      </c>
    </row>
    <row r="280" spans="4:5" x14ac:dyDescent="0.3">
      <c r="D280">
        <f>SUMIF('Sales Entry'!B:B,A280,'Sales Entry'!H:H)-SUMIF('Payments Received'!B:B,A280,'Payments Received'!C:C)</f>
        <v>0</v>
      </c>
      <c r="E280" t="str">
        <f t="shared" si="4"/>
        <v>OK</v>
      </c>
    </row>
    <row r="281" spans="4:5" x14ac:dyDescent="0.3">
      <c r="D281">
        <f>SUMIF('Sales Entry'!B:B,A281,'Sales Entry'!H:H)-SUMIF('Payments Received'!B:B,A281,'Payments Received'!C:C)</f>
        <v>0</v>
      </c>
      <c r="E281" t="str">
        <f t="shared" si="4"/>
        <v>OK</v>
      </c>
    </row>
    <row r="282" spans="4:5" x14ac:dyDescent="0.3">
      <c r="D282">
        <f>SUMIF('Sales Entry'!B:B,A282,'Sales Entry'!H:H)-SUMIF('Payments Received'!B:B,A282,'Payments Received'!C:C)</f>
        <v>0</v>
      </c>
      <c r="E282" t="str">
        <f t="shared" si="4"/>
        <v>OK</v>
      </c>
    </row>
    <row r="283" spans="4:5" x14ac:dyDescent="0.3">
      <c r="D283">
        <f>SUMIF('Sales Entry'!B:B,A283,'Sales Entry'!H:H)-SUMIF('Payments Received'!B:B,A283,'Payments Received'!C:C)</f>
        <v>0</v>
      </c>
      <c r="E283" t="str">
        <f t="shared" si="4"/>
        <v>OK</v>
      </c>
    </row>
    <row r="284" spans="4:5" x14ac:dyDescent="0.3">
      <c r="D284">
        <f>SUMIF('Sales Entry'!B:B,A284,'Sales Entry'!H:H)-SUMIF('Payments Received'!B:B,A284,'Payments Received'!C:C)</f>
        <v>0</v>
      </c>
      <c r="E284" t="str">
        <f t="shared" si="4"/>
        <v>OK</v>
      </c>
    </row>
    <row r="285" spans="4:5" x14ac:dyDescent="0.3">
      <c r="D285">
        <f>SUMIF('Sales Entry'!B:B,A285,'Sales Entry'!H:H)-SUMIF('Payments Received'!B:B,A285,'Payments Received'!C:C)</f>
        <v>0</v>
      </c>
      <c r="E285" t="str">
        <f t="shared" si="4"/>
        <v>OK</v>
      </c>
    </row>
    <row r="286" spans="4:5" x14ac:dyDescent="0.3">
      <c r="D286">
        <f>SUMIF('Sales Entry'!B:B,A286,'Sales Entry'!H:H)-SUMIF('Payments Received'!B:B,A286,'Payments Received'!C:C)</f>
        <v>0</v>
      </c>
      <c r="E286" t="str">
        <f t="shared" si="4"/>
        <v>OK</v>
      </c>
    </row>
    <row r="287" spans="4:5" x14ac:dyDescent="0.3">
      <c r="D287">
        <f>SUMIF('Sales Entry'!B:B,A287,'Sales Entry'!H:H)-SUMIF('Payments Received'!B:B,A287,'Payments Received'!C:C)</f>
        <v>0</v>
      </c>
      <c r="E287" t="str">
        <f t="shared" si="4"/>
        <v>OK</v>
      </c>
    </row>
    <row r="288" spans="4:5" x14ac:dyDescent="0.3">
      <c r="D288">
        <f>SUMIF('Sales Entry'!B:B,A288,'Sales Entry'!H:H)-SUMIF('Payments Received'!B:B,A288,'Payments Received'!C:C)</f>
        <v>0</v>
      </c>
      <c r="E288" t="str">
        <f t="shared" si="4"/>
        <v>OK</v>
      </c>
    </row>
    <row r="289" spans="4:5" x14ac:dyDescent="0.3">
      <c r="D289">
        <f>SUMIF('Sales Entry'!B:B,A289,'Sales Entry'!H:H)-SUMIF('Payments Received'!B:B,A289,'Payments Received'!C:C)</f>
        <v>0</v>
      </c>
      <c r="E289" t="str">
        <f t="shared" si="4"/>
        <v>OK</v>
      </c>
    </row>
    <row r="290" spans="4:5" x14ac:dyDescent="0.3">
      <c r="D290">
        <f>SUMIF('Sales Entry'!B:B,A290,'Sales Entry'!H:H)-SUMIF('Payments Received'!B:B,A290,'Payments Received'!C:C)</f>
        <v>0</v>
      </c>
      <c r="E290" t="str">
        <f t="shared" si="4"/>
        <v>OK</v>
      </c>
    </row>
    <row r="291" spans="4:5" x14ac:dyDescent="0.3">
      <c r="D291">
        <f>SUMIF('Sales Entry'!B:B,A291,'Sales Entry'!H:H)-SUMIF('Payments Received'!B:B,A291,'Payments Received'!C:C)</f>
        <v>0</v>
      </c>
      <c r="E291" t="str">
        <f t="shared" si="4"/>
        <v>OK</v>
      </c>
    </row>
    <row r="292" spans="4:5" x14ac:dyDescent="0.3">
      <c r="D292">
        <f>SUMIF('Sales Entry'!B:B,A292,'Sales Entry'!H:H)-SUMIF('Payments Received'!B:B,A292,'Payments Received'!C:C)</f>
        <v>0</v>
      </c>
      <c r="E292" t="str">
        <f t="shared" si="4"/>
        <v>OK</v>
      </c>
    </row>
    <row r="293" spans="4:5" x14ac:dyDescent="0.3">
      <c r="D293">
        <f>SUMIF('Sales Entry'!B:B,A293,'Sales Entry'!H:H)-SUMIF('Payments Received'!B:B,A293,'Payments Received'!C:C)</f>
        <v>0</v>
      </c>
      <c r="E293" t="str">
        <f t="shared" si="4"/>
        <v>OK</v>
      </c>
    </row>
    <row r="294" spans="4:5" x14ac:dyDescent="0.3">
      <c r="D294">
        <f>SUMIF('Sales Entry'!B:B,A294,'Sales Entry'!H:H)-SUMIF('Payments Received'!B:B,A294,'Payments Received'!C:C)</f>
        <v>0</v>
      </c>
      <c r="E294" t="str">
        <f t="shared" si="4"/>
        <v>OK</v>
      </c>
    </row>
    <row r="295" spans="4:5" x14ac:dyDescent="0.3">
      <c r="D295">
        <f>SUMIF('Sales Entry'!B:B,A295,'Sales Entry'!H:H)-SUMIF('Payments Received'!B:B,A295,'Payments Received'!C:C)</f>
        <v>0</v>
      </c>
      <c r="E295" t="str">
        <f t="shared" si="4"/>
        <v>OK</v>
      </c>
    </row>
    <row r="296" spans="4:5" x14ac:dyDescent="0.3">
      <c r="D296">
        <f>SUMIF('Sales Entry'!B:B,A296,'Sales Entry'!H:H)-SUMIF('Payments Received'!B:B,A296,'Payments Received'!C:C)</f>
        <v>0</v>
      </c>
      <c r="E296" t="str">
        <f t="shared" si="4"/>
        <v>OK</v>
      </c>
    </row>
    <row r="297" spans="4:5" x14ac:dyDescent="0.3">
      <c r="D297">
        <f>SUMIF('Sales Entry'!B:B,A297,'Sales Entry'!H:H)-SUMIF('Payments Received'!B:B,A297,'Payments Received'!C:C)</f>
        <v>0</v>
      </c>
      <c r="E297" t="str">
        <f t="shared" si="4"/>
        <v>OK</v>
      </c>
    </row>
    <row r="298" spans="4:5" x14ac:dyDescent="0.3">
      <c r="D298">
        <f>SUMIF('Sales Entry'!B:B,A298,'Sales Entry'!H:H)-SUMIF('Payments Received'!B:B,A298,'Payments Received'!C:C)</f>
        <v>0</v>
      </c>
      <c r="E298" t="str">
        <f t="shared" si="4"/>
        <v>OK</v>
      </c>
    </row>
    <row r="299" spans="4:5" x14ac:dyDescent="0.3">
      <c r="D299">
        <f>SUMIF('Sales Entry'!B:B,A299,'Sales Entry'!H:H)-SUMIF('Payments Received'!B:B,A299,'Payments Received'!C:C)</f>
        <v>0</v>
      </c>
      <c r="E299" t="str">
        <f t="shared" si="4"/>
        <v>OK</v>
      </c>
    </row>
    <row r="300" spans="4:5" x14ac:dyDescent="0.3">
      <c r="D300">
        <f>SUMIF('Sales Entry'!B:B,A300,'Sales Entry'!H:H)-SUMIF('Payments Received'!B:B,A300,'Payments Received'!C:C)</f>
        <v>0</v>
      </c>
      <c r="E300" t="str">
        <f t="shared" si="4"/>
        <v>OK</v>
      </c>
    </row>
    <row r="301" spans="4:5" x14ac:dyDescent="0.3">
      <c r="D301">
        <f>SUMIF('Sales Entry'!B:B,A301,'Sales Entry'!H:H)-SUMIF('Payments Received'!B:B,A301,'Payments Received'!C:C)</f>
        <v>0</v>
      </c>
      <c r="E301" t="str">
        <f t="shared" si="4"/>
        <v>OK</v>
      </c>
    </row>
    <row r="302" spans="4:5" x14ac:dyDescent="0.3">
      <c r="D302">
        <f>SUMIF('Sales Entry'!B:B,A302,'Sales Entry'!H:H)-SUMIF('Payments Received'!B:B,A302,'Payments Received'!C:C)</f>
        <v>0</v>
      </c>
      <c r="E302" t="str">
        <f t="shared" si="4"/>
        <v>OK</v>
      </c>
    </row>
    <row r="303" spans="4:5" x14ac:dyDescent="0.3">
      <c r="D303">
        <f>SUMIF('Sales Entry'!B:B,A303,'Sales Entry'!H:H)-SUMIF('Payments Received'!B:B,A303,'Payments Received'!C:C)</f>
        <v>0</v>
      </c>
      <c r="E303" t="str">
        <f t="shared" si="4"/>
        <v>OK</v>
      </c>
    </row>
    <row r="304" spans="4:5" x14ac:dyDescent="0.3">
      <c r="D304">
        <f>SUMIF('Sales Entry'!B:B,A304,'Sales Entry'!H:H)-SUMIF('Payments Received'!B:B,A304,'Payments Received'!C:C)</f>
        <v>0</v>
      </c>
      <c r="E304" t="str">
        <f t="shared" si="4"/>
        <v>OK</v>
      </c>
    </row>
    <row r="305" spans="4:5" x14ac:dyDescent="0.3">
      <c r="D305">
        <f>SUMIF('Sales Entry'!B:B,A305,'Sales Entry'!H:H)-SUMIF('Payments Received'!B:B,A305,'Payments Received'!C:C)</f>
        <v>0</v>
      </c>
      <c r="E305" t="str">
        <f t="shared" si="4"/>
        <v>OK</v>
      </c>
    </row>
    <row r="306" spans="4:5" x14ac:dyDescent="0.3">
      <c r="D306">
        <f>SUMIF('Sales Entry'!B:B,A306,'Sales Entry'!H:H)-SUMIF('Payments Received'!B:B,A306,'Payments Received'!C:C)</f>
        <v>0</v>
      </c>
      <c r="E306" t="str">
        <f t="shared" si="4"/>
        <v>OK</v>
      </c>
    </row>
    <row r="307" spans="4:5" x14ac:dyDescent="0.3">
      <c r="D307">
        <f>SUMIF('Sales Entry'!B:B,A307,'Sales Entry'!H:H)-SUMIF('Payments Received'!B:B,A307,'Payments Received'!C:C)</f>
        <v>0</v>
      </c>
      <c r="E307" t="str">
        <f t="shared" si="4"/>
        <v>OK</v>
      </c>
    </row>
    <row r="308" spans="4:5" x14ac:dyDescent="0.3">
      <c r="D308">
        <f>SUMIF('Sales Entry'!B:B,A308,'Sales Entry'!H:H)-SUMIF('Payments Received'!B:B,A308,'Payments Received'!C:C)</f>
        <v>0</v>
      </c>
      <c r="E308" t="str">
        <f t="shared" si="4"/>
        <v>OK</v>
      </c>
    </row>
    <row r="309" spans="4:5" x14ac:dyDescent="0.3">
      <c r="D309">
        <f>SUMIF('Sales Entry'!B:B,A309,'Sales Entry'!H:H)-SUMIF('Payments Received'!B:B,A309,'Payments Received'!C:C)</f>
        <v>0</v>
      </c>
      <c r="E309" t="str">
        <f t="shared" si="4"/>
        <v>OK</v>
      </c>
    </row>
    <row r="310" spans="4:5" x14ac:dyDescent="0.3">
      <c r="D310">
        <f>SUMIF('Sales Entry'!B:B,A310,'Sales Entry'!H:H)-SUMIF('Payments Received'!B:B,A310,'Payments Received'!C:C)</f>
        <v>0</v>
      </c>
      <c r="E310" t="str">
        <f t="shared" si="4"/>
        <v>OK</v>
      </c>
    </row>
    <row r="311" spans="4:5" x14ac:dyDescent="0.3">
      <c r="D311">
        <f>SUMIF('Sales Entry'!B:B,A311,'Sales Entry'!H:H)-SUMIF('Payments Received'!B:B,A311,'Payments Received'!C:C)</f>
        <v>0</v>
      </c>
      <c r="E311" t="str">
        <f t="shared" si="4"/>
        <v>OK</v>
      </c>
    </row>
    <row r="312" spans="4:5" x14ac:dyDescent="0.3">
      <c r="D312">
        <f>SUMIF('Sales Entry'!B:B,A312,'Sales Entry'!H:H)-SUMIF('Payments Received'!B:B,A312,'Payments Received'!C:C)</f>
        <v>0</v>
      </c>
      <c r="E312" t="str">
        <f t="shared" si="4"/>
        <v>OK</v>
      </c>
    </row>
    <row r="313" spans="4:5" x14ac:dyDescent="0.3">
      <c r="D313">
        <f>SUMIF('Sales Entry'!B:B,A313,'Sales Entry'!H:H)-SUMIF('Payments Received'!B:B,A313,'Payments Received'!C:C)</f>
        <v>0</v>
      </c>
      <c r="E313" t="str">
        <f t="shared" si="4"/>
        <v>OK</v>
      </c>
    </row>
    <row r="314" spans="4:5" x14ac:dyDescent="0.3">
      <c r="D314">
        <f>SUMIF('Sales Entry'!B:B,A314,'Sales Entry'!H:H)-SUMIF('Payments Received'!B:B,A314,'Payments Received'!C:C)</f>
        <v>0</v>
      </c>
      <c r="E314" t="str">
        <f t="shared" si="4"/>
        <v>OK</v>
      </c>
    </row>
    <row r="315" spans="4:5" x14ac:dyDescent="0.3">
      <c r="D315">
        <f>SUMIF('Sales Entry'!B:B,A315,'Sales Entry'!H:H)-SUMIF('Payments Received'!B:B,A315,'Payments Received'!C:C)</f>
        <v>0</v>
      </c>
      <c r="E315" t="str">
        <f t="shared" si="4"/>
        <v>OK</v>
      </c>
    </row>
    <row r="316" spans="4:5" x14ac:dyDescent="0.3">
      <c r="D316">
        <f>SUMIF('Sales Entry'!B:B,A316,'Sales Entry'!H:H)-SUMIF('Payments Received'!B:B,A316,'Payments Received'!C:C)</f>
        <v>0</v>
      </c>
      <c r="E316" t="str">
        <f t="shared" si="4"/>
        <v>OK</v>
      </c>
    </row>
    <row r="317" spans="4:5" x14ac:dyDescent="0.3">
      <c r="D317">
        <f>SUMIF('Sales Entry'!B:B,A317,'Sales Entry'!H:H)-SUMIF('Payments Received'!B:B,A317,'Payments Received'!C:C)</f>
        <v>0</v>
      </c>
      <c r="E317" t="str">
        <f t="shared" si="4"/>
        <v>OK</v>
      </c>
    </row>
    <row r="318" spans="4:5" x14ac:dyDescent="0.3">
      <c r="D318">
        <f>SUMIF('Sales Entry'!B:B,A318,'Sales Entry'!H:H)-SUMIF('Payments Received'!B:B,A318,'Payments Received'!C:C)</f>
        <v>0</v>
      </c>
      <c r="E318" t="str">
        <f t="shared" si="4"/>
        <v>OK</v>
      </c>
    </row>
    <row r="319" spans="4:5" x14ac:dyDescent="0.3">
      <c r="D319">
        <f>SUMIF('Sales Entry'!B:B,A319,'Sales Entry'!H:H)-SUMIF('Payments Received'!B:B,A319,'Payments Received'!C:C)</f>
        <v>0</v>
      </c>
      <c r="E319" t="str">
        <f t="shared" si="4"/>
        <v>OK</v>
      </c>
    </row>
    <row r="320" spans="4:5" x14ac:dyDescent="0.3">
      <c r="D320">
        <f>SUMIF('Sales Entry'!B:B,A320,'Sales Entry'!H:H)-SUMIF('Payments Received'!B:B,A320,'Payments Received'!C:C)</f>
        <v>0</v>
      </c>
      <c r="E320" t="str">
        <f t="shared" si="4"/>
        <v>OK</v>
      </c>
    </row>
    <row r="321" spans="4:5" x14ac:dyDescent="0.3">
      <c r="D321">
        <f>SUMIF('Sales Entry'!B:B,A321,'Sales Entry'!H:H)-SUMIF('Payments Received'!B:B,A321,'Payments Received'!C:C)</f>
        <v>0</v>
      </c>
      <c r="E321" t="str">
        <f t="shared" si="4"/>
        <v>OK</v>
      </c>
    </row>
    <row r="322" spans="4:5" x14ac:dyDescent="0.3">
      <c r="D322">
        <f>SUMIF('Sales Entry'!B:B,A322,'Sales Entry'!H:H)-SUMIF('Payments Received'!B:B,A322,'Payments Received'!C:C)</f>
        <v>0</v>
      </c>
      <c r="E322" t="str">
        <f t="shared" ref="E322:E385" si="5">IF(D322&gt;C322,"OVER LIMIT","OK")</f>
        <v>OK</v>
      </c>
    </row>
    <row r="323" spans="4:5" x14ac:dyDescent="0.3">
      <c r="D323">
        <f>SUMIF('Sales Entry'!B:B,A323,'Sales Entry'!H:H)-SUMIF('Payments Received'!B:B,A323,'Payments Received'!C:C)</f>
        <v>0</v>
      </c>
      <c r="E323" t="str">
        <f t="shared" si="5"/>
        <v>OK</v>
      </c>
    </row>
    <row r="324" spans="4:5" x14ac:dyDescent="0.3">
      <c r="D324">
        <f>SUMIF('Sales Entry'!B:B,A324,'Sales Entry'!H:H)-SUMIF('Payments Received'!B:B,A324,'Payments Received'!C:C)</f>
        <v>0</v>
      </c>
      <c r="E324" t="str">
        <f t="shared" si="5"/>
        <v>OK</v>
      </c>
    </row>
    <row r="325" spans="4:5" x14ac:dyDescent="0.3">
      <c r="D325">
        <f>SUMIF('Sales Entry'!B:B,A325,'Sales Entry'!H:H)-SUMIF('Payments Received'!B:B,A325,'Payments Received'!C:C)</f>
        <v>0</v>
      </c>
      <c r="E325" t="str">
        <f t="shared" si="5"/>
        <v>OK</v>
      </c>
    </row>
    <row r="326" spans="4:5" x14ac:dyDescent="0.3">
      <c r="D326">
        <f>SUMIF('Sales Entry'!B:B,A326,'Sales Entry'!H:H)-SUMIF('Payments Received'!B:B,A326,'Payments Received'!C:C)</f>
        <v>0</v>
      </c>
      <c r="E326" t="str">
        <f t="shared" si="5"/>
        <v>OK</v>
      </c>
    </row>
    <row r="327" spans="4:5" x14ac:dyDescent="0.3">
      <c r="D327">
        <f>SUMIF('Sales Entry'!B:B,A327,'Sales Entry'!H:H)-SUMIF('Payments Received'!B:B,A327,'Payments Received'!C:C)</f>
        <v>0</v>
      </c>
      <c r="E327" t="str">
        <f t="shared" si="5"/>
        <v>OK</v>
      </c>
    </row>
    <row r="328" spans="4:5" x14ac:dyDescent="0.3">
      <c r="D328">
        <f>SUMIF('Sales Entry'!B:B,A328,'Sales Entry'!H:H)-SUMIF('Payments Received'!B:B,A328,'Payments Received'!C:C)</f>
        <v>0</v>
      </c>
      <c r="E328" t="str">
        <f t="shared" si="5"/>
        <v>OK</v>
      </c>
    </row>
    <row r="329" spans="4:5" x14ac:dyDescent="0.3">
      <c r="D329">
        <f>SUMIF('Sales Entry'!B:B,A329,'Sales Entry'!H:H)-SUMIF('Payments Received'!B:B,A329,'Payments Received'!C:C)</f>
        <v>0</v>
      </c>
      <c r="E329" t="str">
        <f t="shared" si="5"/>
        <v>OK</v>
      </c>
    </row>
    <row r="330" spans="4:5" x14ac:dyDescent="0.3">
      <c r="D330">
        <f>SUMIF('Sales Entry'!B:B,A330,'Sales Entry'!H:H)-SUMIF('Payments Received'!B:B,A330,'Payments Received'!C:C)</f>
        <v>0</v>
      </c>
      <c r="E330" t="str">
        <f t="shared" si="5"/>
        <v>OK</v>
      </c>
    </row>
    <row r="331" spans="4:5" x14ac:dyDescent="0.3">
      <c r="D331">
        <f>SUMIF('Sales Entry'!B:B,A331,'Sales Entry'!H:H)-SUMIF('Payments Received'!B:B,A331,'Payments Received'!C:C)</f>
        <v>0</v>
      </c>
      <c r="E331" t="str">
        <f t="shared" si="5"/>
        <v>OK</v>
      </c>
    </row>
    <row r="332" spans="4:5" x14ac:dyDescent="0.3">
      <c r="D332">
        <f>SUMIF('Sales Entry'!B:B,A332,'Sales Entry'!H:H)-SUMIF('Payments Received'!B:B,A332,'Payments Received'!C:C)</f>
        <v>0</v>
      </c>
      <c r="E332" t="str">
        <f t="shared" si="5"/>
        <v>OK</v>
      </c>
    </row>
    <row r="333" spans="4:5" x14ac:dyDescent="0.3">
      <c r="D333">
        <f>SUMIF('Sales Entry'!B:B,A333,'Sales Entry'!H:H)-SUMIF('Payments Received'!B:B,A333,'Payments Received'!C:C)</f>
        <v>0</v>
      </c>
      <c r="E333" t="str">
        <f t="shared" si="5"/>
        <v>OK</v>
      </c>
    </row>
    <row r="334" spans="4:5" x14ac:dyDescent="0.3">
      <c r="D334">
        <f>SUMIF('Sales Entry'!B:B,A334,'Sales Entry'!H:H)-SUMIF('Payments Received'!B:B,A334,'Payments Received'!C:C)</f>
        <v>0</v>
      </c>
      <c r="E334" t="str">
        <f t="shared" si="5"/>
        <v>OK</v>
      </c>
    </row>
    <row r="335" spans="4:5" x14ac:dyDescent="0.3">
      <c r="D335">
        <f>SUMIF('Sales Entry'!B:B,A335,'Sales Entry'!H:H)-SUMIF('Payments Received'!B:B,A335,'Payments Received'!C:C)</f>
        <v>0</v>
      </c>
      <c r="E335" t="str">
        <f t="shared" si="5"/>
        <v>OK</v>
      </c>
    </row>
    <row r="336" spans="4:5" x14ac:dyDescent="0.3">
      <c r="D336">
        <f>SUMIF('Sales Entry'!B:B,A336,'Sales Entry'!H:H)-SUMIF('Payments Received'!B:B,A336,'Payments Received'!C:C)</f>
        <v>0</v>
      </c>
      <c r="E336" t="str">
        <f t="shared" si="5"/>
        <v>OK</v>
      </c>
    </row>
    <row r="337" spans="4:5" x14ac:dyDescent="0.3">
      <c r="D337">
        <f>SUMIF('Sales Entry'!B:B,A337,'Sales Entry'!H:H)-SUMIF('Payments Received'!B:B,A337,'Payments Received'!C:C)</f>
        <v>0</v>
      </c>
      <c r="E337" t="str">
        <f t="shared" si="5"/>
        <v>OK</v>
      </c>
    </row>
    <row r="338" spans="4:5" x14ac:dyDescent="0.3">
      <c r="D338">
        <f>SUMIF('Sales Entry'!B:B,A338,'Sales Entry'!H:H)-SUMIF('Payments Received'!B:B,A338,'Payments Received'!C:C)</f>
        <v>0</v>
      </c>
      <c r="E338" t="str">
        <f t="shared" si="5"/>
        <v>OK</v>
      </c>
    </row>
    <row r="339" spans="4:5" x14ac:dyDescent="0.3">
      <c r="D339">
        <f>SUMIF('Sales Entry'!B:B,A339,'Sales Entry'!H:H)-SUMIF('Payments Received'!B:B,A339,'Payments Received'!C:C)</f>
        <v>0</v>
      </c>
      <c r="E339" t="str">
        <f t="shared" si="5"/>
        <v>OK</v>
      </c>
    </row>
    <row r="340" spans="4:5" x14ac:dyDescent="0.3">
      <c r="D340">
        <f>SUMIF('Sales Entry'!B:B,A340,'Sales Entry'!H:H)-SUMIF('Payments Received'!B:B,A340,'Payments Received'!C:C)</f>
        <v>0</v>
      </c>
      <c r="E340" t="str">
        <f t="shared" si="5"/>
        <v>OK</v>
      </c>
    </row>
    <row r="341" spans="4:5" x14ac:dyDescent="0.3">
      <c r="D341">
        <f>SUMIF('Sales Entry'!B:B,A341,'Sales Entry'!H:H)-SUMIF('Payments Received'!B:B,A341,'Payments Received'!C:C)</f>
        <v>0</v>
      </c>
      <c r="E341" t="str">
        <f t="shared" si="5"/>
        <v>OK</v>
      </c>
    </row>
    <row r="342" spans="4:5" x14ac:dyDescent="0.3">
      <c r="D342">
        <f>SUMIF('Sales Entry'!B:B,A342,'Sales Entry'!H:H)-SUMIF('Payments Received'!B:B,A342,'Payments Received'!C:C)</f>
        <v>0</v>
      </c>
      <c r="E342" t="str">
        <f t="shared" si="5"/>
        <v>OK</v>
      </c>
    </row>
    <row r="343" spans="4:5" x14ac:dyDescent="0.3">
      <c r="D343">
        <f>SUMIF('Sales Entry'!B:B,A343,'Sales Entry'!H:H)-SUMIF('Payments Received'!B:B,A343,'Payments Received'!C:C)</f>
        <v>0</v>
      </c>
      <c r="E343" t="str">
        <f t="shared" si="5"/>
        <v>OK</v>
      </c>
    </row>
    <row r="344" spans="4:5" x14ac:dyDescent="0.3">
      <c r="D344">
        <f>SUMIF('Sales Entry'!B:B,A344,'Sales Entry'!H:H)-SUMIF('Payments Received'!B:B,A344,'Payments Received'!C:C)</f>
        <v>0</v>
      </c>
      <c r="E344" t="str">
        <f t="shared" si="5"/>
        <v>OK</v>
      </c>
    </row>
    <row r="345" spans="4:5" x14ac:dyDescent="0.3">
      <c r="D345">
        <f>SUMIF('Sales Entry'!B:B,A345,'Sales Entry'!H:H)-SUMIF('Payments Received'!B:B,A345,'Payments Received'!C:C)</f>
        <v>0</v>
      </c>
      <c r="E345" t="str">
        <f t="shared" si="5"/>
        <v>OK</v>
      </c>
    </row>
    <row r="346" spans="4:5" x14ac:dyDescent="0.3">
      <c r="D346">
        <f>SUMIF('Sales Entry'!B:B,A346,'Sales Entry'!H:H)-SUMIF('Payments Received'!B:B,A346,'Payments Received'!C:C)</f>
        <v>0</v>
      </c>
      <c r="E346" t="str">
        <f t="shared" si="5"/>
        <v>OK</v>
      </c>
    </row>
    <row r="347" spans="4:5" x14ac:dyDescent="0.3">
      <c r="D347">
        <f>SUMIF('Sales Entry'!B:B,A347,'Sales Entry'!H:H)-SUMIF('Payments Received'!B:B,A347,'Payments Received'!C:C)</f>
        <v>0</v>
      </c>
      <c r="E347" t="str">
        <f t="shared" si="5"/>
        <v>OK</v>
      </c>
    </row>
    <row r="348" spans="4:5" x14ac:dyDescent="0.3">
      <c r="D348">
        <f>SUMIF('Sales Entry'!B:B,A348,'Sales Entry'!H:H)-SUMIF('Payments Received'!B:B,A348,'Payments Received'!C:C)</f>
        <v>0</v>
      </c>
      <c r="E348" t="str">
        <f t="shared" si="5"/>
        <v>OK</v>
      </c>
    </row>
    <row r="349" spans="4:5" x14ac:dyDescent="0.3">
      <c r="D349">
        <f>SUMIF('Sales Entry'!B:B,A349,'Sales Entry'!H:H)-SUMIF('Payments Received'!B:B,A349,'Payments Received'!C:C)</f>
        <v>0</v>
      </c>
      <c r="E349" t="str">
        <f t="shared" si="5"/>
        <v>OK</v>
      </c>
    </row>
    <row r="350" spans="4:5" x14ac:dyDescent="0.3">
      <c r="D350">
        <f>SUMIF('Sales Entry'!B:B,A350,'Sales Entry'!H:H)-SUMIF('Payments Received'!B:B,A350,'Payments Received'!C:C)</f>
        <v>0</v>
      </c>
      <c r="E350" t="str">
        <f t="shared" si="5"/>
        <v>OK</v>
      </c>
    </row>
    <row r="351" spans="4:5" x14ac:dyDescent="0.3">
      <c r="D351">
        <f>SUMIF('Sales Entry'!B:B,A351,'Sales Entry'!H:H)-SUMIF('Payments Received'!B:B,A351,'Payments Received'!C:C)</f>
        <v>0</v>
      </c>
      <c r="E351" t="str">
        <f t="shared" si="5"/>
        <v>OK</v>
      </c>
    </row>
    <row r="352" spans="4:5" x14ac:dyDescent="0.3">
      <c r="D352">
        <f>SUMIF('Sales Entry'!B:B,A352,'Sales Entry'!H:H)-SUMIF('Payments Received'!B:B,A352,'Payments Received'!C:C)</f>
        <v>0</v>
      </c>
      <c r="E352" t="str">
        <f t="shared" si="5"/>
        <v>OK</v>
      </c>
    </row>
    <row r="353" spans="4:5" x14ac:dyDescent="0.3">
      <c r="D353">
        <f>SUMIF('Sales Entry'!B:B,A353,'Sales Entry'!H:H)-SUMIF('Payments Received'!B:B,A353,'Payments Received'!C:C)</f>
        <v>0</v>
      </c>
      <c r="E353" t="str">
        <f t="shared" si="5"/>
        <v>OK</v>
      </c>
    </row>
    <row r="354" spans="4:5" x14ac:dyDescent="0.3">
      <c r="D354">
        <f>SUMIF('Sales Entry'!B:B,A354,'Sales Entry'!H:H)-SUMIF('Payments Received'!B:B,A354,'Payments Received'!C:C)</f>
        <v>0</v>
      </c>
      <c r="E354" t="str">
        <f t="shared" si="5"/>
        <v>OK</v>
      </c>
    </row>
    <row r="355" spans="4:5" x14ac:dyDescent="0.3">
      <c r="D355">
        <f>SUMIF('Sales Entry'!B:B,A355,'Sales Entry'!H:H)-SUMIF('Payments Received'!B:B,A355,'Payments Received'!C:C)</f>
        <v>0</v>
      </c>
      <c r="E355" t="str">
        <f t="shared" si="5"/>
        <v>OK</v>
      </c>
    </row>
    <row r="356" spans="4:5" x14ac:dyDescent="0.3">
      <c r="D356">
        <f>SUMIF('Sales Entry'!B:B,A356,'Sales Entry'!H:H)-SUMIF('Payments Received'!B:B,A356,'Payments Received'!C:C)</f>
        <v>0</v>
      </c>
      <c r="E356" t="str">
        <f t="shared" si="5"/>
        <v>OK</v>
      </c>
    </row>
    <row r="357" spans="4:5" x14ac:dyDescent="0.3">
      <c r="D357">
        <f>SUMIF('Sales Entry'!B:B,A357,'Sales Entry'!H:H)-SUMIF('Payments Received'!B:B,A357,'Payments Received'!C:C)</f>
        <v>0</v>
      </c>
      <c r="E357" t="str">
        <f t="shared" si="5"/>
        <v>OK</v>
      </c>
    </row>
    <row r="358" spans="4:5" x14ac:dyDescent="0.3">
      <c r="D358">
        <f>SUMIF('Sales Entry'!B:B,A358,'Sales Entry'!H:H)-SUMIF('Payments Received'!B:B,A358,'Payments Received'!C:C)</f>
        <v>0</v>
      </c>
      <c r="E358" t="str">
        <f t="shared" si="5"/>
        <v>OK</v>
      </c>
    </row>
    <row r="359" spans="4:5" x14ac:dyDescent="0.3">
      <c r="D359">
        <f>SUMIF('Sales Entry'!B:B,A359,'Sales Entry'!H:H)-SUMIF('Payments Received'!B:B,A359,'Payments Received'!C:C)</f>
        <v>0</v>
      </c>
      <c r="E359" t="str">
        <f t="shared" si="5"/>
        <v>OK</v>
      </c>
    </row>
    <row r="360" spans="4:5" x14ac:dyDescent="0.3">
      <c r="D360">
        <f>SUMIF('Sales Entry'!B:B,A360,'Sales Entry'!H:H)-SUMIF('Payments Received'!B:B,A360,'Payments Received'!C:C)</f>
        <v>0</v>
      </c>
      <c r="E360" t="str">
        <f t="shared" si="5"/>
        <v>OK</v>
      </c>
    </row>
    <row r="361" spans="4:5" x14ac:dyDescent="0.3">
      <c r="D361">
        <f>SUMIF('Sales Entry'!B:B,A361,'Sales Entry'!H:H)-SUMIF('Payments Received'!B:B,A361,'Payments Received'!C:C)</f>
        <v>0</v>
      </c>
      <c r="E361" t="str">
        <f t="shared" si="5"/>
        <v>OK</v>
      </c>
    </row>
    <row r="362" spans="4:5" x14ac:dyDescent="0.3">
      <c r="D362">
        <f>SUMIF('Sales Entry'!B:B,A362,'Sales Entry'!H:H)-SUMIF('Payments Received'!B:B,A362,'Payments Received'!C:C)</f>
        <v>0</v>
      </c>
      <c r="E362" t="str">
        <f t="shared" si="5"/>
        <v>OK</v>
      </c>
    </row>
    <row r="363" spans="4:5" x14ac:dyDescent="0.3">
      <c r="D363">
        <f>SUMIF('Sales Entry'!B:B,A363,'Sales Entry'!H:H)-SUMIF('Payments Received'!B:B,A363,'Payments Received'!C:C)</f>
        <v>0</v>
      </c>
      <c r="E363" t="str">
        <f t="shared" si="5"/>
        <v>OK</v>
      </c>
    </row>
    <row r="364" spans="4:5" x14ac:dyDescent="0.3">
      <c r="D364">
        <f>SUMIF('Sales Entry'!B:B,A364,'Sales Entry'!H:H)-SUMIF('Payments Received'!B:B,A364,'Payments Received'!C:C)</f>
        <v>0</v>
      </c>
      <c r="E364" t="str">
        <f t="shared" si="5"/>
        <v>OK</v>
      </c>
    </row>
    <row r="365" spans="4:5" x14ac:dyDescent="0.3">
      <c r="D365">
        <f>SUMIF('Sales Entry'!B:B,A365,'Sales Entry'!H:H)-SUMIF('Payments Received'!B:B,A365,'Payments Received'!C:C)</f>
        <v>0</v>
      </c>
      <c r="E365" t="str">
        <f t="shared" si="5"/>
        <v>OK</v>
      </c>
    </row>
    <row r="366" spans="4:5" x14ac:dyDescent="0.3">
      <c r="D366">
        <f>SUMIF('Sales Entry'!B:B,A366,'Sales Entry'!H:H)-SUMIF('Payments Received'!B:B,A366,'Payments Received'!C:C)</f>
        <v>0</v>
      </c>
      <c r="E366" t="str">
        <f t="shared" si="5"/>
        <v>OK</v>
      </c>
    </row>
    <row r="367" spans="4:5" x14ac:dyDescent="0.3">
      <c r="D367">
        <f>SUMIF('Sales Entry'!B:B,A367,'Sales Entry'!H:H)-SUMIF('Payments Received'!B:B,A367,'Payments Received'!C:C)</f>
        <v>0</v>
      </c>
      <c r="E367" t="str">
        <f t="shared" si="5"/>
        <v>OK</v>
      </c>
    </row>
    <row r="368" spans="4:5" x14ac:dyDescent="0.3">
      <c r="D368">
        <f>SUMIF('Sales Entry'!B:B,A368,'Sales Entry'!H:H)-SUMIF('Payments Received'!B:B,A368,'Payments Received'!C:C)</f>
        <v>0</v>
      </c>
      <c r="E368" t="str">
        <f t="shared" si="5"/>
        <v>OK</v>
      </c>
    </row>
    <row r="369" spans="4:5" x14ac:dyDescent="0.3">
      <c r="D369">
        <f>SUMIF('Sales Entry'!B:B,A369,'Sales Entry'!H:H)-SUMIF('Payments Received'!B:B,A369,'Payments Received'!C:C)</f>
        <v>0</v>
      </c>
      <c r="E369" t="str">
        <f t="shared" si="5"/>
        <v>OK</v>
      </c>
    </row>
    <row r="370" spans="4:5" x14ac:dyDescent="0.3">
      <c r="D370">
        <f>SUMIF('Sales Entry'!B:B,A370,'Sales Entry'!H:H)-SUMIF('Payments Received'!B:B,A370,'Payments Received'!C:C)</f>
        <v>0</v>
      </c>
      <c r="E370" t="str">
        <f t="shared" si="5"/>
        <v>OK</v>
      </c>
    </row>
    <row r="371" spans="4:5" x14ac:dyDescent="0.3">
      <c r="D371">
        <f>SUMIF('Sales Entry'!B:B,A371,'Sales Entry'!H:H)-SUMIF('Payments Received'!B:B,A371,'Payments Received'!C:C)</f>
        <v>0</v>
      </c>
      <c r="E371" t="str">
        <f t="shared" si="5"/>
        <v>OK</v>
      </c>
    </row>
    <row r="372" spans="4:5" x14ac:dyDescent="0.3">
      <c r="D372">
        <f>SUMIF('Sales Entry'!B:B,A372,'Sales Entry'!H:H)-SUMIF('Payments Received'!B:B,A372,'Payments Received'!C:C)</f>
        <v>0</v>
      </c>
      <c r="E372" t="str">
        <f t="shared" si="5"/>
        <v>OK</v>
      </c>
    </row>
    <row r="373" spans="4:5" x14ac:dyDescent="0.3">
      <c r="D373">
        <f>SUMIF('Sales Entry'!B:B,A373,'Sales Entry'!H:H)-SUMIF('Payments Received'!B:B,A373,'Payments Received'!C:C)</f>
        <v>0</v>
      </c>
      <c r="E373" t="str">
        <f t="shared" si="5"/>
        <v>OK</v>
      </c>
    </row>
    <row r="374" spans="4:5" x14ac:dyDescent="0.3">
      <c r="D374">
        <f>SUMIF('Sales Entry'!B:B,A374,'Sales Entry'!H:H)-SUMIF('Payments Received'!B:B,A374,'Payments Received'!C:C)</f>
        <v>0</v>
      </c>
      <c r="E374" t="str">
        <f t="shared" si="5"/>
        <v>OK</v>
      </c>
    </row>
    <row r="375" spans="4:5" x14ac:dyDescent="0.3">
      <c r="D375">
        <f>SUMIF('Sales Entry'!B:B,A375,'Sales Entry'!H:H)-SUMIF('Payments Received'!B:B,A375,'Payments Received'!C:C)</f>
        <v>0</v>
      </c>
      <c r="E375" t="str">
        <f t="shared" si="5"/>
        <v>OK</v>
      </c>
    </row>
    <row r="376" spans="4:5" x14ac:dyDescent="0.3">
      <c r="D376">
        <f>SUMIF('Sales Entry'!B:B,A376,'Sales Entry'!H:H)-SUMIF('Payments Received'!B:B,A376,'Payments Received'!C:C)</f>
        <v>0</v>
      </c>
      <c r="E376" t="str">
        <f t="shared" si="5"/>
        <v>OK</v>
      </c>
    </row>
    <row r="377" spans="4:5" x14ac:dyDescent="0.3">
      <c r="D377">
        <f>SUMIF('Sales Entry'!B:B,A377,'Sales Entry'!H:H)-SUMIF('Payments Received'!B:B,A377,'Payments Received'!C:C)</f>
        <v>0</v>
      </c>
      <c r="E377" t="str">
        <f t="shared" si="5"/>
        <v>OK</v>
      </c>
    </row>
    <row r="378" spans="4:5" x14ac:dyDescent="0.3">
      <c r="D378">
        <f>SUMIF('Sales Entry'!B:B,A378,'Sales Entry'!H:H)-SUMIF('Payments Received'!B:B,A378,'Payments Received'!C:C)</f>
        <v>0</v>
      </c>
      <c r="E378" t="str">
        <f t="shared" si="5"/>
        <v>OK</v>
      </c>
    </row>
    <row r="379" spans="4:5" x14ac:dyDescent="0.3">
      <c r="D379">
        <f>SUMIF('Sales Entry'!B:B,A379,'Sales Entry'!H:H)-SUMIF('Payments Received'!B:B,A379,'Payments Received'!C:C)</f>
        <v>0</v>
      </c>
      <c r="E379" t="str">
        <f t="shared" si="5"/>
        <v>OK</v>
      </c>
    </row>
    <row r="380" spans="4:5" x14ac:dyDescent="0.3">
      <c r="D380">
        <f>SUMIF('Sales Entry'!B:B,A380,'Sales Entry'!H:H)-SUMIF('Payments Received'!B:B,A380,'Payments Received'!C:C)</f>
        <v>0</v>
      </c>
      <c r="E380" t="str">
        <f t="shared" si="5"/>
        <v>OK</v>
      </c>
    </row>
    <row r="381" spans="4:5" x14ac:dyDescent="0.3">
      <c r="D381">
        <f>SUMIF('Sales Entry'!B:B,A381,'Sales Entry'!H:H)-SUMIF('Payments Received'!B:B,A381,'Payments Received'!C:C)</f>
        <v>0</v>
      </c>
      <c r="E381" t="str">
        <f t="shared" si="5"/>
        <v>OK</v>
      </c>
    </row>
    <row r="382" spans="4:5" x14ac:dyDescent="0.3">
      <c r="D382">
        <f>SUMIF('Sales Entry'!B:B,A382,'Sales Entry'!H:H)-SUMIF('Payments Received'!B:B,A382,'Payments Received'!C:C)</f>
        <v>0</v>
      </c>
      <c r="E382" t="str">
        <f t="shared" si="5"/>
        <v>OK</v>
      </c>
    </row>
    <row r="383" spans="4:5" x14ac:dyDescent="0.3">
      <c r="D383">
        <f>SUMIF('Sales Entry'!B:B,A383,'Sales Entry'!H:H)-SUMIF('Payments Received'!B:B,A383,'Payments Received'!C:C)</f>
        <v>0</v>
      </c>
      <c r="E383" t="str">
        <f t="shared" si="5"/>
        <v>OK</v>
      </c>
    </row>
    <row r="384" spans="4:5" x14ac:dyDescent="0.3">
      <c r="D384">
        <f>SUMIF('Sales Entry'!B:B,A384,'Sales Entry'!H:H)-SUMIF('Payments Received'!B:B,A384,'Payments Received'!C:C)</f>
        <v>0</v>
      </c>
      <c r="E384" t="str">
        <f t="shared" si="5"/>
        <v>OK</v>
      </c>
    </row>
    <row r="385" spans="4:5" x14ac:dyDescent="0.3">
      <c r="D385">
        <f>SUMIF('Sales Entry'!B:B,A385,'Sales Entry'!H:H)-SUMIF('Payments Received'!B:B,A385,'Payments Received'!C:C)</f>
        <v>0</v>
      </c>
      <c r="E385" t="str">
        <f t="shared" si="5"/>
        <v>OK</v>
      </c>
    </row>
    <row r="386" spans="4:5" x14ac:dyDescent="0.3">
      <c r="D386">
        <f>SUMIF('Sales Entry'!B:B,A386,'Sales Entry'!H:H)-SUMIF('Payments Received'!B:B,A386,'Payments Received'!C:C)</f>
        <v>0</v>
      </c>
      <c r="E386" t="str">
        <f t="shared" ref="E386:E449" si="6">IF(D386&gt;C386,"OVER LIMIT","OK")</f>
        <v>OK</v>
      </c>
    </row>
    <row r="387" spans="4:5" x14ac:dyDescent="0.3">
      <c r="D387">
        <f>SUMIF('Sales Entry'!B:B,A387,'Sales Entry'!H:H)-SUMIF('Payments Received'!B:B,A387,'Payments Received'!C:C)</f>
        <v>0</v>
      </c>
      <c r="E387" t="str">
        <f t="shared" si="6"/>
        <v>OK</v>
      </c>
    </row>
    <row r="388" spans="4:5" x14ac:dyDescent="0.3">
      <c r="D388">
        <f>SUMIF('Sales Entry'!B:B,A388,'Sales Entry'!H:H)-SUMIF('Payments Received'!B:B,A388,'Payments Received'!C:C)</f>
        <v>0</v>
      </c>
      <c r="E388" t="str">
        <f t="shared" si="6"/>
        <v>OK</v>
      </c>
    </row>
    <row r="389" spans="4:5" x14ac:dyDescent="0.3">
      <c r="D389">
        <f>SUMIF('Sales Entry'!B:B,A389,'Sales Entry'!H:H)-SUMIF('Payments Received'!B:B,A389,'Payments Received'!C:C)</f>
        <v>0</v>
      </c>
      <c r="E389" t="str">
        <f t="shared" si="6"/>
        <v>OK</v>
      </c>
    </row>
    <row r="390" spans="4:5" x14ac:dyDescent="0.3">
      <c r="D390">
        <f>SUMIF('Sales Entry'!B:B,A390,'Sales Entry'!H:H)-SUMIF('Payments Received'!B:B,A390,'Payments Received'!C:C)</f>
        <v>0</v>
      </c>
      <c r="E390" t="str">
        <f t="shared" si="6"/>
        <v>OK</v>
      </c>
    </row>
    <row r="391" spans="4:5" x14ac:dyDescent="0.3">
      <c r="D391">
        <f>SUMIF('Sales Entry'!B:B,A391,'Sales Entry'!H:H)-SUMIF('Payments Received'!B:B,A391,'Payments Received'!C:C)</f>
        <v>0</v>
      </c>
      <c r="E391" t="str">
        <f t="shared" si="6"/>
        <v>OK</v>
      </c>
    </row>
    <row r="392" spans="4:5" x14ac:dyDescent="0.3">
      <c r="D392">
        <f>SUMIF('Sales Entry'!B:B,A392,'Sales Entry'!H:H)-SUMIF('Payments Received'!B:B,A392,'Payments Received'!C:C)</f>
        <v>0</v>
      </c>
      <c r="E392" t="str">
        <f t="shared" si="6"/>
        <v>OK</v>
      </c>
    </row>
    <row r="393" spans="4:5" x14ac:dyDescent="0.3">
      <c r="D393">
        <f>SUMIF('Sales Entry'!B:B,A393,'Sales Entry'!H:H)-SUMIF('Payments Received'!B:B,A393,'Payments Received'!C:C)</f>
        <v>0</v>
      </c>
      <c r="E393" t="str">
        <f t="shared" si="6"/>
        <v>OK</v>
      </c>
    </row>
    <row r="394" spans="4:5" x14ac:dyDescent="0.3">
      <c r="D394">
        <f>SUMIF('Sales Entry'!B:B,A394,'Sales Entry'!H:H)-SUMIF('Payments Received'!B:B,A394,'Payments Received'!C:C)</f>
        <v>0</v>
      </c>
      <c r="E394" t="str">
        <f t="shared" si="6"/>
        <v>OK</v>
      </c>
    </row>
    <row r="395" spans="4:5" x14ac:dyDescent="0.3">
      <c r="D395">
        <f>SUMIF('Sales Entry'!B:B,A395,'Sales Entry'!H:H)-SUMIF('Payments Received'!B:B,A395,'Payments Received'!C:C)</f>
        <v>0</v>
      </c>
      <c r="E395" t="str">
        <f t="shared" si="6"/>
        <v>OK</v>
      </c>
    </row>
    <row r="396" spans="4:5" x14ac:dyDescent="0.3">
      <c r="D396">
        <f>SUMIF('Sales Entry'!B:B,A396,'Sales Entry'!H:H)-SUMIF('Payments Received'!B:B,A396,'Payments Received'!C:C)</f>
        <v>0</v>
      </c>
      <c r="E396" t="str">
        <f t="shared" si="6"/>
        <v>OK</v>
      </c>
    </row>
    <row r="397" spans="4:5" x14ac:dyDescent="0.3">
      <c r="D397">
        <f>SUMIF('Sales Entry'!B:B,A397,'Sales Entry'!H:H)-SUMIF('Payments Received'!B:B,A397,'Payments Received'!C:C)</f>
        <v>0</v>
      </c>
      <c r="E397" t="str">
        <f t="shared" si="6"/>
        <v>OK</v>
      </c>
    </row>
    <row r="398" spans="4:5" x14ac:dyDescent="0.3">
      <c r="D398">
        <f>SUMIF('Sales Entry'!B:B,A398,'Sales Entry'!H:H)-SUMIF('Payments Received'!B:B,A398,'Payments Received'!C:C)</f>
        <v>0</v>
      </c>
      <c r="E398" t="str">
        <f t="shared" si="6"/>
        <v>OK</v>
      </c>
    </row>
    <row r="399" spans="4:5" x14ac:dyDescent="0.3">
      <c r="D399">
        <f>SUMIF('Sales Entry'!B:B,A399,'Sales Entry'!H:H)-SUMIF('Payments Received'!B:B,A399,'Payments Received'!C:C)</f>
        <v>0</v>
      </c>
      <c r="E399" t="str">
        <f t="shared" si="6"/>
        <v>OK</v>
      </c>
    </row>
    <row r="400" spans="4:5" x14ac:dyDescent="0.3">
      <c r="D400">
        <f>SUMIF('Sales Entry'!B:B,A400,'Sales Entry'!H:H)-SUMIF('Payments Received'!B:B,A400,'Payments Received'!C:C)</f>
        <v>0</v>
      </c>
      <c r="E400" t="str">
        <f t="shared" si="6"/>
        <v>OK</v>
      </c>
    </row>
    <row r="401" spans="4:5" x14ac:dyDescent="0.3">
      <c r="D401">
        <f>SUMIF('Sales Entry'!B:B,A401,'Sales Entry'!H:H)-SUMIF('Payments Received'!B:B,A401,'Payments Received'!C:C)</f>
        <v>0</v>
      </c>
      <c r="E401" t="str">
        <f t="shared" si="6"/>
        <v>OK</v>
      </c>
    </row>
    <row r="402" spans="4:5" x14ac:dyDescent="0.3">
      <c r="D402">
        <f>SUMIF('Sales Entry'!B:B,A402,'Sales Entry'!H:H)-SUMIF('Payments Received'!B:B,A402,'Payments Received'!C:C)</f>
        <v>0</v>
      </c>
      <c r="E402" t="str">
        <f t="shared" si="6"/>
        <v>OK</v>
      </c>
    </row>
    <row r="403" spans="4:5" x14ac:dyDescent="0.3">
      <c r="D403">
        <f>SUMIF('Sales Entry'!B:B,A403,'Sales Entry'!H:H)-SUMIF('Payments Received'!B:B,A403,'Payments Received'!C:C)</f>
        <v>0</v>
      </c>
      <c r="E403" t="str">
        <f t="shared" si="6"/>
        <v>OK</v>
      </c>
    </row>
    <row r="404" spans="4:5" x14ac:dyDescent="0.3">
      <c r="D404">
        <f>SUMIF('Sales Entry'!B:B,A404,'Sales Entry'!H:H)-SUMIF('Payments Received'!B:B,A404,'Payments Received'!C:C)</f>
        <v>0</v>
      </c>
      <c r="E404" t="str">
        <f t="shared" si="6"/>
        <v>OK</v>
      </c>
    </row>
    <row r="405" spans="4:5" x14ac:dyDescent="0.3">
      <c r="D405">
        <f>SUMIF('Sales Entry'!B:B,A405,'Sales Entry'!H:H)-SUMIF('Payments Received'!B:B,A405,'Payments Received'!C:C)</f>
        <v>0</v>
      </c>
      <c r="E405" t="str">
        <f t="shared" si="6"/>
        <v>OK</v>
      </c>
    </row>
    <row r="406" spans="4:5" x14ac:dyDescent="0.3">
      <c r="D406">
        <f>SUMIF('Sales Entry'!B:B,A406,'Sales Entry'!H:H)-SUMIF('Payments Received'!B:B,A406,'Payments Received'!C:C)</f>
        <v>0</v>
      </c>
      <c r="E406" t="str">
        <f t="shared" si="6"/>
        <v>OK</v>
      </c>
    </row>
    <row r="407" spans="4:5" x14ac:dyDescent="0.3">
      <c r="D407">
        <f>SUMIF('Sales Entry'!B:B,A407,'Sales Entry'!H:H)-SUMIF('Payments Received'!B:B,A407,'Payments Received'!C:C)</f>
        <v>0</v>
      </c>
      <c r="E407" t="str">
        <f t="shared" si="6"/>
        <v>OK</v>
      </c>
    </row>
    <row r="408" spans="4:5" x14ac:dyDescent="0.3">
      <c r="D408">
        <f>SUMIF('Sales Entry'!B:B,A408,'Sales Entry'!H:H)-SUMIF('Payments Received'!B:B,A408,'Payments Received'!C:C)</f>
        <v>0</v>
      </c>
      <c r="E408" t="str">
        <f t="shared" si="6"/>
        <v>OK</v>
      </c>
    </row>
    <row r="409" spans="4:5" x14ac:dyDescent="0.3">
      <c r="D409">
        <f>SUMIF('Sales Entry'!B:B,A409,'Sales Entry'!H:H)-SUMIF('Payments Received'!B:B,A409,'Payments Received'!C:C)</f>
        <v>0</v>
      </c>
      <c r="E409" t="str">
        <f t="shared" si="6"/>
        <v>OK</v>
      </c>
    </row>
    <row r="410" spans="4:5" x14ac:dyDescent="0.3">
      <c r="D410">
        <f>SUMIF('Sales Entry'!B:B,A410,'Sales Entry'!H:H)-SUMIF('Payments Received'!B:B,A410,'Payments Received'!C:C)</f>
        <v>0</v>
      </c>
      <c r="E410" t="str">
        <f t="shared" si="6"/>
        <v>OK</v>
      </c>
    </row>
    <row r="411" spans="4:5" x14ac:dyDescent="0.3">
      <c r="D411">
        <f>SUMIF('Sales Entry'!B:B,A411,'Sales Entry'!H:H)-SUMIF('Payments Received'!B:B,A411,'Payments Received'!C:C)</f>
        <v>0</v>
      </c>
      <c r="E411" t="str">
        <f t="shared" si="6"/>
        <v>OK</v>
      </c>
    </row>
    <row r="412" spans="4:5" x14ac:dyDescent="0.3">
      <c r="D412">
        <f>SUMIF('Sales Entry'!B:B,A412,'Sales Entry'!H:H)-SUMIF('Payments Received'!B:B,A412,'Payments Received'!C:C)</f>
        <v>0</v>
      </c>
      <c r="E412" t="str">
        <f t="shared" si="6"/>
        <v>OK</v>
      </c>
    </row>
    <row r="413" spans="4:5" x14ac:dyDescent="0.3">
      <c r="D413">
        <f>SUMIF('Sales Entry'!B:B,A413,'Sales Entry'!H:H)-SUMIF('Payments Received'!B:B,A413,'Payments Received'!C:C)</f>
        <v>0</v>
      </c>
      <c r="E413" t="str">
        <f t="shared" si="6"/>
        <v>OK</v>
      </c>
    </row>
    <row r="414" spans="4:5" x14ac:dyDescent="0.3">
      <c r="D414">
        <f>SUMIF('Sales Entry'!B:B,A414,'Sales Entry'!H:H)-SUMIF('Payments Received'!B:B,A414,'Payments Received'!C:C)</f>
        <v>0</v>
      </c>
      <c r="E414" t="str">
        <f t="shared" si="6"/>
        <v>OK</v>
      </c>
    </row>
    <row r="415" spans="4:5" x14ac:dyDescent="0.3">
      <c r="D415">
        <f>SUMIF('Sales Entry'!B:B,A415,'Sales Entry'!H:H)-SUMIF('Payments Received'!B:B,A415,'Payments Received'!C:C)</f>
        <v>0</v>
      </c>
      <c r="E415" t="str">
        <f t="shared" si="6"/>
        <v>OK</v>
      </c>
    </row>
    <row r="416" spans="4:5" x14ac:dyDescent="0.3">
      <c r="D416">
        <f>SUMIF('Sales Entry'!B:B,A416,'Sales Entry'!H:H)-SUMIF('Payments Received'!B:B,A416,'Payments Received'!C:C)</f>
        <v>0</v>
      </c>
      <c r="E416" t="str">
        <f t="shared" si="6"/>
        <v>OK</v>
      </c>
    </row>
    <row r="417" spans="4:5" x14ac:dyDescent="0.3">
      <c r="D417">
        <f>SUMIF('Sales Entry'!B:B,A417,'Sales Entry'!H:H)-SUMIF('Payments Received'!B:B,A417,'Payments Received'!C:C)</f>
        <v>0</v>
      </c>
      <c r="E417" t="str">
        <f t="shared" si="6"/>
        <v>OK</v>
      </c>
    </row>
    <row r="418" spans="4:5" x14ac:dyDescent="0.3">
      <c r="D418">
        <f>SUMIF('Sales Entry'!B:B,A418,'Sales Entry'!H:H)-SUMIF('Payments Received'!B:B,A418,'Payments Received'!C:C)</f>
        <v>0</v>
      </c>
      <c r="E418" t="str">
        <f t="shared" si="6"/>
        <v>OK</v>
      </c>
    </row>
    <row r="419" spans="4:5" x14ac:dyDescent="0.3">
      <c r="D419">
        <f>SUMIF('Sales Entry'!B:B,A419,'Sales Entry'!H:H)-SUMIF('Payments Received'!B:B,A419,'Payments Received'!C:C)</f>
        <v>0</v>
      </c>
      <c r="E419" t="str">
        <f t="shared" si="6"/>
        <v>OK</v>
      </c>
    </row>
    <row r="420" spans="4:5" x14ac:dyDescent="0.3">
      <c r="D420">
        <f>SUMIF('Sales Entry'!B:B,A420,'Sales Entry'!H:H)-SUMIF('Payments Received'!B:B,A420,'Payments Received'!C:C)</f>
        <v>0</v>
      </c>
      <c r="E420" t="str">
        <f t="shared" si="6"/>
        <v>OK</v>
      </c>
    </row>
    <row r="421" spans="4:5" x14ac:dyDescent="0.3">
      <c r="D421">
        <f>SUMIF('Sales Entry'!B:B,A421,'Sales Entry'!H:H)-SUMIF('Payments Received'!B:B,A421,'Payments Received'!C:C)</f>
        <v>0</v>
      </c>
      <c r="E421" t="str">
        <f t="shared" si="6"/>
        <v>OK</v>
      </c>
    </row>
    <row r="422" spans="4:5" x14ac:dyDescent="0.3">
      <c r="D422">
        <f>SUMIF('Sales Entry'!B:B,A422,'Sales Entry'!H:H)-SUMIF('Payments Received'!B:B,A422,'Payments Received'!C:C)</f>
        <v>0</v>
      </c>
      <c r="E422" t="str">
        <f t="shared" si="6"/>
        <v>OK</v>
      </c>
    </row>
    <row r="423" spans="4:5" x14ac:dyDescent="0.3">
      <c r="D423">
        <f>SUMIF('Sales Entry'!B:B,A423,'Sales Entry'!H:H)-SUMIF('Payments Received'!B:B,A423,'Payments Received'!C:C)</f>
        <v>0</v>
      </c>
      <c r="E423" t="str">
        <f t="shared" si="6"/>
        <v>OK</v>
      </c>
    </row>
    <row r="424" spans="4:5" x14ac:dyDescent="0.3">
      <c r="D424">
        <f>SUMIF('Sales Entry'!B:B,A424,'Sales Entry'!H:H)-SUMIF('Payments Received'!B:B,A424,'Payments Received'!C:C)</f>
        <v>0</v>
      </c>
      <c r="E424" t="str">
        <f t="shared" si="6"/>
        <v>OK</v>
      </c>
    </row>
    <row r="425" spans="4:5" x14ac:dyDescent="0.3">
      <c r="D425">
        <f>SUMIF('Sales Entry'!B:B,A425,'Sales Entry'!H:H)-SUMIF('Payments Received'!B:B,A425,'Payments Received'!C:C)</f>
        <v>0</v>
      </c>
      <c r="E425" t="str">
        <f t="shared" si="6"/>
        <v>OK</v>
      </c>
    </row>
    <row r="426" spans="4:5" x14ac:dyDescent="0.3">
      <c r="D426">
        <f>SUMIF('Sales Entry'!B:B,A426,'Sales Entry'!H:H)-SUMIF('Payments Received'!B:B,A426,'Payments Received'!C:C)</f>
        <v>0</v>
      </c>
      <c r="E426" t="str">
        <f t="shared" si="6"/>
        <v>OK</v>
      </c>
    </row>
    <row r="427" spans="4:5" x14ac:dyDescent="0.3">
      <c r="D427">
        <f>SUMIF('Sales Entry'!B:B,A427,'Sales Entry'!H:H)-SUMIF('Payments Received'!B:B,A427,'Payments Received'!C:C)</f>
        <v>0</v>
      </c>
      <c r="E427" t="str">
        <f t="shared" si="6"/>
        <v>OK</v>
      </c>
    </row>
    <row r="428" spans="4:5" x14ac:dyDescent="0.3">
      <c r="D428">
        <f>SUMIF('Sales Entry'!B:B,A428,'Sales Entry'!H:H)-SUMIF('Payments Received'!B:B,A428,'Payments Received'!C:C)</f>
        <v>0</v>
      </c>
      <c r="E428" t="str">
        <f t="shared" si="6"/>
        <v>OK</v>
      </c>
    </row>
    <row r="429" spans="4:5" x14ac:dyDescent="0.3">
      <c r="D429">
        <f>SUMIF('Sales Entry'!B:B,A429,'Sales Entry'!H:H)-SUMIF('Payments Received'!B:B,A429,'Payments Received'!C:C)</f>
        <v>0</v>
      </c>
      <c r="E429" t="str">
        <f t="shared" si="6"/>
        <v>OK</v>
      </c>
    </row>
    <row r="430" spans="4:5" x14ac:dyDescent="0.3">
      <c r="D430">
        <f>SUMIF('Sales Entry'!B:B,A430,'Sales Entry'!H:H)-SUMIF('Payments Received'!B:B,A430,'Payments Received'!C:C)</f>
        <v>0</v>
      </c>
      <c r="E430" t="str">
        <f t="shared" si="6"/>
        <v>OK</v>
      </c>
    </row>
    <row r="431" spans="4:5" x14ac:dyDescent="0.3">
      <c r="D431">
        <f>SUMIF('Sales Entry'!B:B,A431,'Sales Entry'!H:H)-SUMIF('Payments Received'!B:B,A431,'Payments Received'!C:C)</f>
        <v>0</v>
      </c>
      <c r="E431" t="str">
        <f t="shared" si="6"/>
        <v>OK</v>
      </c>
    </row>
    <row r="432" spans="4:5" x14ac:dyDescent="0.3">
      <c r="D432">
        <f>SUMIF('Sales Entry'!B:B,A432,'Sales Entry'!H:H)-SUMIF('Payments Received'!B:B,A432,'Payments Received'!C:C)</f>
        <v>0</v>
      </c>
      <c r="E432" t="str">
        <f t="shared" si="6"/>
        <v>OK</v>
      </c>
    </row>
    <row r="433" spans="4:5" x14ac:dyDescent="0.3">
      <c r="D433">
        <f>SUMIF('Sales Entry'!B:B,A433,'Sales Entry'!H:H)-SUMIF('Payments Received'!B:B,A433,'Payments Received'!C:C)</f>
        <v>0</v>
      </c>
      <c r="E433" t="str">
        <f t="shared" si="6"/>
        <v>OK</v>
      </c>
    </row>
    <row r="434" spans="4:5" x14ac:dyDescent="0.3">
      <c r="D434">
        <f>SUMIF('Sales Entry'!B:B,A434,'Sales Entry'!H:H)-SUMIF('Payments Received'!B:B,A434,'Payments Received'!C:C)</f>
        <v>0</v>
      </c>
      <c r="E434" t="str">
        <f t="shared" si="6"/>
        <v>OK</v>
      </c>
    </row>
    <row r="435" spans="4:5" x14ac:dyDescent="0.3">
      <c r="D435">
        <f>SUMIF('Sales Entry'!B:B,A435,'Sales Entry'!H:H)-SUMIF('Payments Received'!B:B,A435,'Payments Received'!C:C)</f>
        <v>0</v>
      </c>
      <c r="E435" t="str">
        <f t="shared" si="6"/>
        <v>OK</v>
      </c>
    </row>
    <row r="436" spans="4:5" x14ac:dyDescent="0.3">
      <c r="D436">
        <f>SUMIF('Sales Entry'!B:B,A436,'Sales Entry'!H:H)-SUMIF('Payments Received'!B:B,A436,'Payments Received'!C:C)</f>
        <v>0</v>
      </c>
      <c r="E436" t="str">
        <f t="shared" si="6"/>
        <v>OK</v>
      </c>
    </row>
    <row r="437" spans="4:5" x14ac:dyDescent="0.3">
      <c r="D437">
        <f>SUMIF('Sales Entry'!B:B,A437,'Sales Entry'!H:H)-SUMIF('Payments Received'!B:B,A437,'Payments Received'!C:C)</f>
        <v>0</v>
      </c>
      <c r="E437" t="str">
        <f t="shared" si="6"/>
        <v>OK</v>
      </c>
    </row>
    <row r="438" spans="4:5" x14ac:dyDescent="0.3">
      <c r="D438">
        <f>SUMIF('Sales Entry'!B:B,A438,'Sales Entry'!H:H)-SUMIF('Payments Received'!B:B,A438,'Payments Received'!C:C)</f>
        <v>0</v>
      </c>
      <c r="E438" t="str">
        <f t="shared" si="6"/>
        <v>OK</v>
      </c>
    </row>
    <row r="439" spans="4:5" x14ac:dyDescent="0.3">
      <c r="D439">
        <f>SUMIF('Sales Entry'!B:B,A439,'Sales Entry'!H:H)-SUMIF('Payments Received'!B:B,A439,'Payments Received'!C:C)</f>
        <v>0</v>
      </c>
      <c r="E439" t="str">
        <f t="shared" si="6"/>
        <v>OK</v>
      </c>
    </row>
    <row r="440" spans="4:5" x14ac:dyDescent="0.3">
      <c r="D440">
        <f>SUMIF('Sales Entry'!B:B,A440,'Sales Entry'!H:H)-SUMIF('Payments Received'!B:B,A440,'Payments Received'!C:C)</f>
        <v>0</v>
      </c>
      <c r="E440" t="str">
        <f t="shared" si="6"/>
        <v>OK</v>
      </c>
    </row>
    <row r="441" spans="4:5" x14ac:dyDescent="0.3">
      <c r="D441">
        <f>SUMIF('Sales Entry'!B:B,A441,'Sales Entry'!H:H)-SUMIF('Payments Received'!B:B,A441,'Payments Received'!C:C)</f>
        <v>0</v>
      </c>
      <c r="E441" t="str">
        <f t="shared" si="6"/>
        <v>OK</v>
      </c>
    </row>
    <row r="442" spans="4:5" x14ac:dyDescent="0.3">
      <c r="D442">
        <f>SUMIF('Sales Entry'!B:B,A442,'Sales Entry'!H:H)-SUMIF('Payments Received'!B:B,A442,'Payments Received'!C:C)</f>
        <v>0</v>
      </c>
      <c r="E442" t="str">
        <f t="shared" si="6"/>
        <v>OK</v>
      </c>
    </row>
    <row r="443" spans="4:5" x14ac:dyDescent="0.3">
      <c r="D443">
        <f>SUMIF('Sales Entry'!B:B,A443,'Sales Entry'!H:H)-SUMIF('Payments Received'!B:B,A443,'Payments Received'!C:C)</f>
        <v>0</v>
      </c>
      <c r="E443" t="str">
        <f t="shared" si="6"/>
        <v>OK</v>
      </c>
    </row>
    <row r="444" spans="4:5" x14ac:dyDescent="0.3">
      <c r="D444">
        <f>SUMIF('Sales Entry'!B:B,A444,'Sales Entry'!H:H)-SUMIF('Payments Received'!B:B,A444,'Payments Received'!C:C)</f>
        <v>0</v>
      </c>
      <c r="E444" t="str">
        <f t="shared" si="6"/>
        <v>OK</v>
      </c>
    </row>
    <row r="445" spans="4:5" x14ac:dyDescent="0.3">
      <c r="D445">
        <f>SUMIF('Sales Entry'!B:B,A445,'Sales Entry'!H:H)-SUMIF('Payments Received'!B:B,A445,'Payments Received'!C:C)</f>
        <v>0</v>
      </c>
      <c r="E445" t="str">
        <f t="shared" si="6"/>
        <v>OK</v>
      </c>
    </row>
    <row r="446" spans="4:5" x14ac:dyDescent="0.3">
      <c r="D446">
        <f>SUMIF('Sales Entry'!B:B,A446,'Sales Entry'!H:H)-SUMIF('Payments Received'!B:B,A446,'Payments Received'!C:C)</f>
        <v>0</v>
      </c>
      <c r="E446" t="str">
        <f t="shared" si="6"/>
        <v>OK</v>
      </c>
    </row>
    <row r="447" spans="4:5" x14ac:dyDescent="0.3">
      <c r="D447">
        <f>SUMIF('Sales Entry'!B:B,A447,'Sales Entry'!H:H)-SUMIF('Payments Received'!B:B,A447,'Payments Received'!C:C)</f>
        <v>0</v>
      </c>
      <c r="E447" t="str">
        <f t="shared" si="6"/>
        <v>OK</v>
      </c>
    </row>
    <row r="448" spans="4:5" x14ac:dyDescent="0.3">
      <c r="D448">
        <f>SUMIF('Sales Entry'!B:B,A448,'Sales Entry'!H:H)-SUMIF('Payments Received'!B:B,A448,'Payments Received'!C:C)</f>
        <v>0</v>
      </c>
      <c r="E448" t="str">
        <f t="shared" si="6"/>
        <v>OK</v>
      </c>
    </row>
    <row r="449" spans="4:5" x14ac:dyDescent="0.3">
      <c r="D449">
        <f>SUMIF('Sales Entry'!B:B,A449,'Sales Entry'!H:H)-SUMIF('Payments Received'!B:B,A449,'Payments Received'!C:C)</f>
        <v>0</v>
      </c>
      <c r="E449" t="str">
        <f t="shared" si="6"/>
        <v>OK</v>
      </c>
    </row>
    <row r="450" spans="4:5" x14ac:dyDescent="0.3">
      <c r="D450">
        <f>SUMIF('Sales Entry'!B:B,A450,'Sales Entry'!H:H)-SUMIF('Payments Received'!B:B,A450,'Payments Received'!C:C)</f>
        <v>0</v>
      </c>
      <c r="E450" t="str">
        <f t="shared" ref="E450:E513" si="7">IF(D450&gt;C450,"OVER LIMIT","OK")</f>
        <v>OK</v>
      </c>
    </row>
    <row r="451" spans="4:5" x14ac:dyDescent="0.3">
      <c r="D451">
        <f>SUMIF('Sales Entry'!B:B,A451,'Sales Entry'!H:H)-SUMIF('Payments Received'!B:B,A451,'Payments Received'!C:C)</f>
        <v>0</v>
      </c>
      <c r="E451" t="str">
        <f t="shared" si="7"/>
        <v>OK</v>
      </c>
    </row>
    <row r="452" spans="4:5" x14ac:dyDescent="0.3">
      <c r="D452">
        <f>SUMIF('Sales Entry'!B:B,A452,'Sales Entry'!H:H)-SUMIF('Payments Received'!B:B,A452,'Payments Received'!C:C)</f>
        <v>0</v>
      </c>
      <c r="E452" t="str">
        <f t="shared" si="7"/>
        <v>OK</v>
      </c>
    </row>
    <row r="453" spans="4:5" x14ac:dyDescent="0.3">
      <c r="D453">
        <f>SUMIF('Sales Entry'!B:B,A453,'Sales Entry'!H:H)-SUMIF('Payments Received'!B:B,A453,'Payments Received'!C:C)</f>
        <v>0</v>
      </c>
      <c r="E453" t="str">
        <f t="shared" si="7"/>
        <v>OK</v>
      </c>
    </row>
    <row r="454" spans="4:5" x14ac:dyDescent="0.3">
      <c r="D454">
        <f>SUMIF('Sales Entry'!B:B,A454,'Sales Entry'!H:H)-SUMIF('Payments Received'!B:B,A454,'Payments Received'!C:C)</f>
        <v>0</v>
      </c>
      <c r="E454" t="str">
        <f t="shared" si="7"/>
        <v>OK</v>
      </c>
    </row>
    <row r="455" spans="4:5" x14ac:dyDescent="0.3">
      <c r="D455">
        <f>SUMIF('Sales Entry'!B:B,A455,'Sales Entry'!H:H)-SUMIF('Payments Received'!B:B,A455,'Payments Received'!C:C)</f>
        <v>0</v>
      </c>
      <c r="E455" t="str">
        <f t="shared" si="7"/>
        <v>OK</v>
      </c>
    </row>
    <row r="456" spans="4:5" x14ac:dyDescent="0.3">
      <c r="D456">
        <f>SUMIF('Sales Entry'!B:B,A456,'Sales Entry'!H:H)-SUMIF('Payments Received'!B:B,A456,'Payments Received'!C:C)</f>
        <v>0</v>
      </c>
      <c r="E456" t="str">
        <f t="shared" si="7"/>
        <v>OK</v>
      </c>
    </row>
    <row r="457" spans="4:5" x14ac:dyDescent="0.3">
      <c r="D457">
        <f>SUMIF('Sales Entry'!B:B,A457,'Sales Entry'!H:H)-SUMIF('Payments Received'!B:B,A457,'Payments Received'!C:C)</f>
        <v>0</v>
      </c>
      <c r="E457" t="str">
        <f t="shared" si="7"/>
        <v>OK</v>
      </c>
    </row>
    <row r="458" spans="4:5" x14ac:dyDescent="0.3">
      <c r="D458">
        <f>SUMIF('Sales Entry'!B:B,A458,'Sales Entry'!H:H)-SUMIF('Payments Received'!B:B,A458,'Payments Received'!C:C)</f>
        <v>0</v>
      </c>
      <c r="E458" t="str">
        <f t="shared" si="7"/>
        <v>OK</v>
      </c>
    </row>
    <row r="459" spans="4:5" x14ac:dyDescent="0.3">
      <c r="D459">
        <f>SUMIF('Sales Entry'!B:B,A459,'Sales Entry'!H:H)-SUMIF('Payments Received'!B:B,A459,'Payments Received'!C:C)</f>
        <v>0</v>
      </c>
      <c r="E459" t="str">
        <f t="shared" si="7"/>
        <v>OK</v>
      </c>
    </row>
    <row r="460" spans="4:5" x14ac:dyDescent="0.3">
      <c r="D460">
        <f>SUMIF('Sales Entry'!B:B,A460,'Sales Entry'!H:H)-SUMIF('Payments Received'!B:B,A460,'Payments Received'!C:C)</f>
        <v>0</v>
      </c>
      <c r="E460" t="str">
        <f t="shared" si="7"/>
        <v>OK</v>
      </c>
    </row>
    <row r="461" spans="4:5" x14ac:dyDescent="0.3">
      <c r="D461">
        <f>SUMIF('Sales Entry'!B:B,A461,'Sales Entry'!H:H)-SUMIF('Payments Received'!B:B,A461,'Payments Received'!C:C)</f>
        <v>0</v>
      </c>
      <c r="E461" t="str">
        <f t="shared" si="7"/>
        <v>OK</v>
      </c>
    </row>
    <row r="462" spans="4:5" x14ac:dyDescent="0.3">
      <c r="D462">
        <f>SUMIF('Sales Entry'!B:B,A462,'Sales Entry'!H:H)-SUMIF('Payments Received'!B:B,A462,'Payments Received'!C:C)</f>
        <v>0</v>
      </c>
      <c r="E462" t="str">
        <f t="shared" si="7"/>
        <v>OK</v>
      </c>
    </row>
    <row r="463" spans="4:5" x14ac:dyDescent="0.3">
      <c r="D463">
        <f>SUMIF('Sales Entry'!B:B,A463,'Sales Entry'!H:H)-SUMIF('Payments Received'!B:B,A463,'Payments Received'!C:C)</f>
        <v>0</v>
      </c>
      <c r="E463" t="str">
        <f t="shared" si="7"/>
        <v>OK</v>
      </c>
    </row>
    <row r="464" spans="4:5" x14ac:dyDescent="0.3">
      <c r="D464">
        <f>SUMIF('Sales Entry'!B:B,A464,'Sales Entry'!H:H)-SUMIF('Payments Received'!B:B,A464,'Payments Received'!C:C)</f>
        <v>0</v>
      </c>
      <c r="E464" t="str">
        <f t="shared" si="7"/>
        <v>OK</v>
      </c>
    </row>
    <row r="465" spans="4:5" x14ac:dyDescent="0.3">
      <c r="D465">
        <f>SUMIF('Sales Entry'!B:B,A465,'Sales Entry'!H:H)-SUMIF('Payments Received'!B:B,A465,'Payments Received'!C:C)</f>
        <v>0</v>
      </c>
      <c r="E465" t="str">
        <f t="shared" si="7"/>
        <v>OK</v>
      </c>
    </row>
    <row r="466" spans="4:5" x14ac:dyDescent="0.3">
      <c r="D466">
        <f>SUMIF('Sales Entry'!B:B,A466,'Sales Entry'!H:H)-SUMIF('Payments Received'!B:B,A466,'Payments Received'!C:C)</f>
        <v>0</v>
      </c>
      <c r="E466" t="str">
        <f t="shared" si="7"/>
        <v>OK</v>
      </c>
    </row>
    <row r="467" spans="4:5" x14ac:dyDescent="0.3">
      <c r="D467">
        <f>SUMIF('Sales Entry'!B:B,A467,'Sales Entry'!H:H)-SUMIF('Payments Received'!B:B,A467,'Payments Received'!C:C)</f>
        <v>0</v>
      </c>
      <c r="E467" t="str">
        <f t="shared" si="7"/>
        <v>OK</v>
      </c>
    </row>
    <row r="468" spans="4:5" x14ac:dyDescent="0.3">
      <c r="D468">
        <f>SUMIF('Sales Entry'!B:B,A468,'Sales Entry'!H:H)-SUMIF('Payments Received'!B:B,A468,'Payments Received'!C:C)</f>
        <v>0</v>
      </c>
      <c r="E468" t="str">
        <f t="shared" si="7"/>
        <v>OK</v>
      </c>
    </row>
    <row r="469" spans="4:5" x14ac:dyDescent="0.3">
      <c r="D469">
        <f>SUMIF('Sales Entry'!B:B,A469,'Sales Entry'!H:H)-SUMIF('Payments Received'!B:B,A469,'Payments Received'!C:C)</f>
        <v>0</v>
      </c>
      <c r="E469" t="str">
        <f t="shared" si="7"/>
        <v>OK</v>
      </c>
    </row>
    <row r="470" spans="4:5" x14ac:dyDescent="0.3">
      <c r="D470">
        <f>SUMIF('Sales Entry'!B:B,A470,'Sales Entry'!H:H)-SUMIF('Payments Received'!B:B,A470,'Payments Received'!C:C)</f>
        <v>0</v>
      </c>
      <c r="E470" t="str">
        <f t="shared" si="7"/>
        <v>OK</v>
      </c>
    </row>
    <row r="471" spans="4:5" x14ac:dyDescent="0.3">
      <c r="D471">
        <f>SUMIF('Sales Entry'!B:B,A471,'Sales Entry'!H:H)-SUMIF('Payments Received'!B:B,A471,'Payments Received'!C:C)</f>
        <v>0</v>
      </c>
      <c r="E471" t="str">
        <f t="shared" si="7"/>
        <v>OK</v>
      </c>
    </row>
    <row r="472" spans="4:5" x14ac:dyDescent="0.3">
      <c r="D472">
        <f>SUMIF('Sales Entry'!B:B,A472,'Sales Entry'!H:H)-SUMIF('Payments Received'!B:B,A472,'Payments Received'!C:C)</f>
        <v>0</v>
      </c>
      <c r="E472" t="str">
        <f t="shared" si="7"/>
        <v>OK</v>
      </c>
    </row>
    <row r="473" spans="4:5" x14ac:dyDescent="0.3">
      <c r="D473">
        <f>SUMIF('Sales Entry'!B:B,A473,'Sales Entry'!H:H)-SUMIF('Payments Received'!B:B,A473,'Payments Received'!C:C)</f>
        <v>0</v>
      </c>
      <c r="E473" t="str">
        <f t="shared" si="7"/>
        <v>OK</v>
      </c>
    </row>
    <row r="474" spans="4:5" x14ac:dyDescent="0.3">
      <c r="D474">
        <f>SUMIF('Sales Entry'!B:B,A474,'Sales Entry'!H:H)-SUMIF('Payments Received'!B:B,A474,'Payments Received'!C:C)</f>
        <v>0</v>
      </c>
      <c r="E474" t="str">
        <f t="shared" si="7"/>
        <v>OK</v>
      </c>
    </row>
    <row r="475" spans="4:5" x14ac:dyDescent="0.3">
      <c r="D475">
        <f>SUMIF('Sales Entry'!B:B,A475,'Sales Entry'!H:H)-SUMIF('Payments Received'!B:B,A475,'Payments Received'!C:C)</f>
        <v>0</v>
      </c>
      <c r="E475" t="str">
        <f t="shared" si="7"/>
        <v>OK</v>
      </c>
    </row>
    <row r="476" spans="4:5" x14ac:dyDescent="0.3">
      <c r="D476">
        <f>SUMIF('Sales Entry'!B:B,A476,'Sales Entry'!H:H)-SUMIF('Payments Received'!B:B,A476,'Payments Received'!C:C)</f>
        <v>0</v>
      </c>
      <c r="E476" t="str">
        <f t="shared" si="7"/>
        <v>OK</v>
      </c>
    </row>
    <row r="477" spans="4:5" x14ac:dyDescent="0.3">
      <c r="D477">
        <f>SUMIF('Sales Entry'!B:B,A477,'Sales Entry'!H:H)-SUMIF('Payments Received'!B:B,A477,'Payments Received'!C:C)</f>
        <v>0</v>
      </c>
      <c r="E477" t="str">
        <f t="shared" si="7"/>
        <v>OK</v>
      </c>
    </row>
    <row r="478" spans="4:5" x14ac:dyDescent="0.3">
      <c r="D478">
        <f>SUMIF('Sales Entry'!B:B,A478,'Sales Entry'!H:H)-SUMIF('Payments Received'!B:B,A478,'Payments Received'!C:C)</f>
        <v>0</v>
      </c>
      <c r="E478" t="str">
        <f t="shared" si="7"/>
        <v>OK</v>
      </c>
    </row>
    <row r="479" spans="4:5" x14ac:dyDescent="0.3">
      <c r="D479">
        <f>SUMIF('Sales Entry'!B:B,A479,'Sales Entry'!H:H)-SUMIF('Payments Received'!B:B,A479,'Payments Received'!C:C)</f>
        <v>0</v>
      </c>
      <c r="E479" t="str">
        <f t="shared" si="7"/>
        <v>OK</v>
      </c>
    </row>
    <row r="480" spans="4:5" x14ac:dyDescent="0.3">
      <c r="D480">
        <f>SUMIF('Sales Entry'!B:B,A480,'Sales Entry'!H:H)-SUMIF('Payments Received'!B:B,A480,'Payments Received'!C:C)</f>
        <v>0</v>
      </c>
      <c r="E480" t="str">
        <f t="shared" si="7"/>
        <v>OK</v>
      </c>
    </row>
    <row r="481" spans="4:5" x14ac:dyDescent="0.3">
      <c r="D481">
        <f>SUMIF('Sales Entry'!B:B,A481,'Sales Entry'!H:H)-SUMIF('Payments Received'!B:B,A481,'Payments Received'!C:C)</f>
        <v>0</v>
      </c>
      <c r="E481" t="str">
        <f t="shared" si="7"/>
        <v>OK</v>
      </c>
    </row>
    <row r="482" spans="4:5" x14ac:dyDescent="0.3">
      <c r="D482">
        <f>SUMIF('Sales Entry'!B:B,A482,'Sales Entry'!H:H)-SUMIF('Payments Received'!B:B,A482,'Payments Received'!C:C)</f>
        <v>0</v>
      </c>
      <c r="E482" t="str">
        <f t="shared" si="7"/>
        <v>OK</v>
      </c>
    </row>
    <row r="483" spans="4:5" x14ac:dyDescent="0.3">
      <c r="D483">
        <f>SUMIF('Sales Entry'!B:B,A483,'Sales Entry'!H:H)-SUMIF('Payments Received'!B:B,A483,'Payments Received'!C:C)</f>
        <v>0</v>
      </c>
      <c r="E483" t="str">
        <f t="shared" si="7"/>
        <v>OK</v>
      </c>
    </row>
    <row r="484" spans="4:5" x14ac:dyDescent="0.3">
      <c r="D484">
        <f>SUMIF('Sales Entry'!B:B,A484,'Sales Entry'!H:H)-SUMIF('Payments Received'!B:B,A484,'Payments Received'!C:C)</f>
        <v>0</v>
      </c>
      <c r="E484" t="str">
        <f t="shared" si="7"/>
        <v>OK</v>
      </c>
    </row>
    <row r="485" spans="4:5" x14ac:dyDescent="0.3">
      <c r="D485">
        <f>SUMIF('Sales Entry'!B:B,A485,'Sales Entry'!H:H)-SUMIF('Payments Received'!B:B,A485,'Payments Received'!C:C)</f>
        <v>0</v>
      </c>
      <c r="E485" t="str">
        <f t="shared" si="7"/>
        <v>OK</v>
      </c>
    </row>
    <row r="486" spans="4:5" x14ac:dyDescent="0.3">
      <c r="D486">
        <f>SUMIF('Sales Entry'!B:B,A486,'Sales Entry'!H:H)-SUMIF('Payments Received'!B:B,A486,'Payments Received'!C:C)</f>
        <v>0</v>
      </c>
      <c r="E486" t="str">
        <f t="shared" si="7"/>
        <v>OK</v>
      </c>
    </row>
    <row r="487" spans="4:5" x14ac:dyDescent="0.3">
      <c r="D487">
        <f>SUMIF('Sales Entry'!B:B,A487,'Sales Entry'!H:H)-SUMIF('Payments Received'!B:B,A487,'Payments Received'!C:C)</f>
        <v>0</v>
      </c>
      <c r="E487" t="str">
        <f t="shared" si="7"/>
        <v>OK</v>
      </c>
    </row>
    <row r="488" spans="4:5" x14ac:dyDescent="0.3">
      <c r="D488">
        <f>SUMIF('Sales Entry'!B:B,A488,'Sales Entry'!H:H)-SUMIF('Payments Received'!B:B,A488,'Payments Received'!C:C)</f>
        <v>0</v>
      </c>
      <c r="E488" t="str">
        <f t="shared" si="7"/>
        <v>OK</v>
      </c>
    </row>
    <row r="489" spans="4:5" x14ac:dyDescent="0.3">
      <c r="D489">
        <f>SUMIF('Sales Entry'!B:B,A489,'Sales Entry'!H:H)-SUMIF('Payments Received'!B:B,A489,'Payments Received'!C:C)</f>
        <v>0</v>
      </c>
      <c r="E489" t="str">
        <f t="shared" si="7"/>
        <v>OK</v>
      </c>
    </row>
    <row r="490" spans="4:5" x14ac:dyDescent="0.3">
      <c r="D490">
        <f>SUMIF('Sales Entry'!B:B,A490,'Sales Entry'!H:H)-SUMIF('Payments Received'!B:B,A490,'Payments Received'!C:C)</f>
        <v>0</v>
      </c>
      <c r="E490" t="str">
        <f t="shared" si="7"/>
        <v>OK</v>
      </c>
    </row>
    <row r="491" spans="4:5" x14ac:dyDescent="0.3">
      <c r="D491">
        <f>SUMIF('Sales Entry'!B:B,A491,'Sales Entry'!H:H)-SUMIF('Payments Received'!B:B,A491,'Payments Received'!C:C)</f>
        <v>0</v>
      </c>
      <c r="E491" t="str">
        <f t="shared" si="7"/>
        <v>OK</v>
      </c>
    </row>
    <row r="492" spans="4:5" x14ac:dyDescent="0.3">
      <c r="D492">
        <f>SUMIF('Sales Entry'!B:B,A492,'Sales Entry'!H:H)-SUMIF('Payments Received'!B:B,A492,'Payments Received'!C:C)</f>
        <v>0</v>
      </c>
      <c r="E492" t="str">
        <f t="shared" si="7"/>
        <v>OK</v>
      </c>
    </row>
    <row r="493" spans="4:5" x14ac:dyDescent="0.3">
      <c r="D493">
        <f>SUMIF('Sales Entry'!B:B,A493,'Sales Entry'!H:H)-SUMIF('Payments Received'!B:B,A493,'Payments Received'!C:C)</f>
        <v>0</v>
      </c>
      <c r="E493" t="str">
        <f t="shared" si="7"/>
        <v>OK</v>
      </c>
    </row>
    <row r="494" spans="4:5" x14ac:dyDescent="0.3">
      <c r="D494">
        <f>SUMIF('Sales Entry'!B:B,A494,'Sales Entry'!H:H)-SUMIF('Payments Received'!B:B,A494,'Payments Received'!C:C)</f>
        <v>0</v>
      </c>
      <c r="E494" t="str">
        <f t="shared" si="7"/>
        <v>OK</v>
      </c>
    </row>
    <row r="495" spans="4:5" x14ac:dyDescent="0.3">
      <c r="D495">
        <f>SUMIF('Sales Entry'!B:B,A495,'Sales Entry'!H:H)-SUMIF('Payments Received'!B:B,A495,'Payments Received'!C:C)</f>
        <v>0</v>
      </c>
      <c r="E495" t="str">
        <f t="shared" si="7"/>
        <v>OK</v>
      </c>
    </row>
    <row r="496" spans="4:5" x14ac:dyDescent="0.3">
      <c r="D496">
        <f>SUMIF('Sales Entry'!B:B,A496,'Sales Entry'!H:H)-SUMIF('Payments Received'!B:B,A496,'Payments Received'!C:C)</f>
        <v>0</v>
      </c>
      <c r="E496" t="str">
        <f t="shared" si="7"/>
        <v>OK</v>
      </c>
    </row>
    <row r="497" spans="4:5" x14ac:dyDescent="0.3">
      <c r="D497">
        <f>SUMIF('Sales Entry'!B:B,A497,'Sales Entry'!H:H)-SUMIF('Payments Received'!B:B,A497,'Payments Received'!C:C)</f>
        <v>0</v>
      </c>
      <c r="E497" t="str">
        <f t="shared" si="7"/>
        <v>OK</v>
      </c>
    </row>
    <row r="498" spans="4:5" x14ac:dyDescent="0.3">
      <c r="D498">
        <f>SUMIF('Sales Entry'!B:B,A498,'Sales Entry'!H:H)-SUMIF('Payments Received'!B:B,A498,'Payments Received'!C:C)</f>
        <v>0</v>
      </c>
      <c r="E498" t="str">
        <f t="shared" si="7"/>
        <v>OK</v>
      </c>
    </row>
    <row r="499" spans="4:5" x14ac:dyDescent="0.3">
      <c r="D499">
        <f>SUMIF('Sales Entry'!B:B,A499,'Sales Entry'!H:H)-SUMIF('Payments Received'!B:B,A499,'Payments Received'!C:C)</f>
        <v>0</v>
      </c>
      <c r="E499" t="str">
        <f t="shared" si="7"/>
        <v>OK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cols>
    <col min="1" max="1" width="13.44140625" bestFit="1" customWidth="1"/>
  </cols>
  <sheetData>
    <row r="1" spans="1:2" x14ac:dyDescent="0.3">
      <c r="A1" s="1" t="s">
        <v>5</v>
      </c>
      <c r="B1" s="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1</v>
      </c>
    </row>
    <row r="3" spans="1:2" x14ac:dyDescent="0.3">
      <c r="A3" t="s">
        <v>9</v>
      </c>
      <c r="B3">
        <v>1.2E-2</v>
      </c>
    </row>
    <row r="4" spans="1:2" x14ac:dyDescent="0.3">
      <c r="A4" t="s">
        <v>10</v>
      </c>
      <c r="B4">
        <v>4.1E-5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9"/>
  <sheetViews>
    <sheetView workbookViewId="0">
      <selection activeCell="E20" sqref="E20"/>
    </sheetView>
  </sheetViews>
  <sheetFormatPr defaultRowHeight="14.4" x14ac:dyDescent="0.3"/>
  <cols>
    <col min="1" max="1" width="8.109375" bestFit="1" customWidth="1"/>
    <col min="2" max="2" width="5.44140625" bestFit="1" customWidth="1"/>
    <col min="3" max="3" width="8.6640625" bestFit="1" customWidth="1"/>
    <col min="4" max="4" width="10.44140625" bestFit="1" customWidth="1"/>
    <col min="5" max="5" width="12.109375" bestFit="1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E2" t="str">
        <f>IF(COUNTIF('Sales Entry'!D:D,A2)&gt;0,"Sold","Available")</f>
        <v>Available</v>
      </c>
    </row>
    <row r="3" spans="1:5" x14ac:dyDescent="0.3">
      <c r="E3" t="str">
        <f>IF(COUNTIF('Sales Entry'!D:D,A3)&gt;0,"Sold","Available")</f>
        <v>Available</v>
      </c>
    </row>
    <row r="4" spans="1:5" x14ac:dyDescent="0.3">
      <c r="E4" t="str">
        <f>IF(COUNTIF('Sales Entry'!D:D,A4)&gt;0,"Sold","Available")</f>
        <v>Available</v>
      </c>
    </row>
    <row r="5" spans="1:5" x14ac:dyDescent="0.3">
      <c r="E5" t="str">
        <f>IF(COUNTIF('Sales Entry'!D:D,A5)&gt;0,"Sold","Available")</f>
        <v>Available</v>
      </c>
    </row>
    <row r="6" spans="1:5" x14ac:dyDescent="0.3">
      <c r="E6" t="str">
        <f>IF(COUNTIF('Sales Entry'!D:D,A6)&gt;0,"Sold","Available")</f>
        <v>Available</v>
      </c>
    </row>
    <row r="7" spans="1:5" x14ac:dyDescent="0.3">
      <c r="E7" t="str">
        <f>IF(COUNTIF('Sales Entry'!D:D,A7)&gt;0,"Sold","Available")</f>
        <v>Available</v>
      </c>
    </row>
    <row r="8" spans="1:5" x14ac:dyDescent="0.3">
      <c r="E8" t="str">
        <f>IF(COUNTIF('Sales Entry'!D:D,A8)&gt;0,"Sold","Available")</f>
        <v>Available</v>
      </c>
    </row>
    <row r="9" spans="1:5" x14ac:dyDescent="0.3">
      <c r="E9" t="str">
        <f>IF(COUNTIF('Sales Entry'!D:D,A9)&gt;0,"Sold","Available")</f>
        <v>Available</v>
      </c>
    </row>
    <row r="10" spans="1:5" x14ac:dyDescent="0.3">
      <c r="E10" t="str">
        <f>IF(COUNTIF('Sales Entry'!D:D,A10)&gt;0,"Sold","Available")</f>
        <v>Available</v>
      </c>
    </row>
    <row r="11" spans="1:5" x14ac:dyDescent="0.3">
      <c r="E11" t="str">
        <f>IF(COUNTIF('Sales Entry'!D:D,A11)&gt;0,"Sold","Available")</f>
        <v>Available</v>
      </c>
    </row>
    <row r="12" spans="1:5" x14ac:dyDescent="0.3">
      <c r="E12" t="str">
        <f>IF(COUNTIF('Sales Entry'!D:D,A12)&gt;0,"Sold","Available")</f>
        <v>Available</v>
      </c>
    </row>
    <row r="13" spans="1:5" x14ac:dyDescent="0.3">
      <c r="E13" t="str">
        <f>IF(COUNTIF('Sales Entry'!D:D,A13)&gt;0,"Sold","Available")</f>
        <v>Available</v>
      </c>
    </row>
    <row r="14" spans="1:5" x14ac:dyDescent="0.3">
      <c r="E14" t="str">
        <f>IF(COUNTIF('Sales Entry'!D:D,A14)&gt;0,"Sold","Available")</f>
        <v>Available</v>
      </c>
    </row>
    <row r="15" spans="1:5" x14ac:dyDescent="0.3">
      <c r="E15" t="str">
        <f>IF(COUNTIF('Sales Entry'!D:D,A15)&gt;0,"Sold","Available")</f>
        <v>Available</v>
      </c>
    </row>
    <row r="16" spans="1:5" x14ac:dyDescent="0.3">
      <c r="E16" t="str">
        <f>IF(COUNTIF('Sales Entry'!D:D,A16)&gt;0,"Sold","Available")</f>
        <v>Available</v>
      </c>
    </row>
    <row r="17" spans="5:5" x14ac:dyDescent="0.3">
      <c r="E17" t="str">
        <f>IF(COUNTIF('Sales Entry'!D:D,A17)&gt;0,"Sold","Available")</f>
        <v>Available</v>
      </c>
    </row>
    <row r="18" spans="5:5" x14ac:dyDescent="0.3">
      <c r="E18" t="str">
        <f>IF(COUNTIF('Sales Entry'!D:D,A18)&gt;0,"Sold","Available")</f>
        <v>Available</v>
      </c>
    </row>
    <row r="19" spans="5:5" x14ac:dyDescent="0.3">
      <c r="E19" t="str">
        <f>IF(COUNTIF('Sales Entry'!D:D,A19)&gt;0,"Sold","Available")</f>
        <v>Available</v>
      </c>
    </row>
    <row r="20" spans="5:5" x14ac:dyDescent="0.3">
      <c r="E20" t="str">
        <f>IF(COUNTIF('Sales Entry'!D:D,A20)&gt;0,"Sold","Available")</f>
        <v>Available</v>
      </c>
    </row>
    <row r="21" spans="5:5" x14ac:dyDescent="0.3">
      <c r="E21" t="str">
        <f>IF(COUNTIF('Sales Entry'!D:D,A21)&gt;0,"Sold","Available")</f>
        <v>Available</v>
      </c>
    </row>
    <row r="22" spans="5:5" x14ac:dyDescent="0.3">
      <c r="E22" t="str">
        <f>IF(COUNTIF('Sales Entry'!D:D,A22)&gt;0,"Sold","Available")</f>
        <v>Available</v>
      </c>
    </row>
    <row r="23" spans="5:5" x14ac:dyDescent="0.3">
      <c r="E23" t="str">
        <f>IF(COUNTIF('Sales Entry'!D:D,A23)&gt;0,"Sold","Available")</f>
        <v>Available</v>
      </c>
    </row>
    <row r="24" spans="5:5" x14ac:dyDescent="0.3">
      <c r="E24" t="str">
        <f>IF(COUNTIF('Sales Entry'!D:D,A24)&gt;0,"Sold","Available")</f>
        <v>Available</v>
      </c>
    </row>
    <row r="25" spans="5:5" x14ac:dyDescent="0.3">
      <c r="E25" t="str">
        <f>IF(COUNTIF('Sales Entry'!D:D,A25)&gt;0,"Sold","Available")</f>
        <v>Available</v>
      </c>
    </row>
    <row r="26" spans="5:5" x14ac:dyDescent="0.3">
      <c r="E26" t="str">
        <f>IF(COUNTIF('Sales Entry'!D:D,A26)&gt;0,"Sold","Available")</f>
        <v>Available</v>
      </c>
    </row>
    <row r="27" spans="5:5" x14ac:dyDescent="0.3">
      <c r="E27" t="str">
        <f>IF(COUNTIF('Sales Entry'!D:D,A27)&gt;0,"Sold","Available")</f>
        <v>Available</v>
      </c>
    </row>
    <row r="28" spans="5:5" x14ac:dyDescent="0.3">
      <c r="E28" t="str">
        <f>IF(COUNTIF('Sales Entry'!D:D,A28)&gt;0,"Sold","Available")</f>
        <v>Available</v>
      </c>
    </row>
    <row r="29" spans="5:5" x14ac:dyDescent="0.3">
      <c r="E29" t="str">
        <f>IF(COUNTIF('Sales Entry'!D:D,A29)&gt;0,"Sold","Available")</f>
        <v>Available</v>
      </c>
    </row>
    <row r="30" spans="5:5" x14ac:dyDescent="0.3">
      <c r="E30" t="str">
        <f>IF(COUNTIF('Sales Entry'!D:D,A30)&gt;0,"Sold","Available")</f>
        <v>Available</v>
      </c>
    </row>
    <row r="31" spans="5:5" x14ac:dyDescent="0.3">
      <c r="E31" t="str">
        <f>IF(COUNTIF('Sales Entry'!D:D,A31)&gt;0,"Sold","Available")</f>
        <v>Available</v>
      </c>
    </row>
    <row r="32" spans="5:5" x14ac:dyDescent="0.3">
      <c r="E32" t="str">
        <f>IF(COUNTIF('Sales Entry'!D:D,A32)&gt;0,"Sold","Available")</f>
        <v>Available</v>
      </c>
    </row>
    <row r="33" spans="5:5" x14ac:dyDescent="0.3">
      <c r="E33" t="str">
        <f>IF(COUNTIF('Sales Entry'!D:D,A33)&gt;0,"Sold","Available")</f>
        <v>Available</v>
      </c>
    </row>
    <row r="34" spans="5:5" x14ac:dyDescent="0.3">
      <c r="E34" t="str">
        <f>IF(COUNTIF('Sales Entry'!D:D,A34)&gt;0,"Sold","Available")</f>
        <v>Available</v>
      </c>
    </row>
    <row r="35" spans="5:5" x14ac:dyDescent="0.3">
      <c r="E35" t="str">
        <f>IF(COUNTIF('Sales Entry'!D:D,A35)&gt;0,"Sold","Available")</f>
        <v>Available</v>
      </c>
    </row>
    <row r="36" spans="5:5" x14ac:dyDescent="0.3">
      <c r="E36" t="str">
        <f>IF(COUNTIF('Sales Entry'!D:D,A36)&gt;0,"Sold","Available")</f>
        <v>Available</v>
      </c>
    </row>
    <row r="37" spans="5:5" x14ac:dyDescent="0.3">
      <c r="E37" t="str">
        <f>IF(COUNTIF('Sales Entry'!D:D,A37)&gt;0,"Sold","Available")</f>
        <v>Available</v>
      </c>
    </row>
    <row r="38" spans="5:5" x14ac:dyDescent="0.3">
      <c r="E38" t="str">
        <f>IF(COUNTIF('Sales Entry'!D:D,A38)&gt;0,"Sold","Available")</f>
        <v>Available</v>
      </c>
    </row>
    <row r="39" spans="5:5" x14ac:dyDescent="0.3">
      <c r="E39" t="str">
        <f>IF(COUNTIF('Sales Entry'!D:D,A39)&gt;0,"Sold","Available")</f>
        <v>Available</v>
      </c>
    </row>
    <row r="40" spans="5:5" x14ac:dyDescent="0.3">
      <c r="E40" t="str">
        <f>IF(COUNTIF('Sales Entry'!D:D,A40)&gt;0,"Sold","Available")</f>
        <v>Available</v>
      </c>
    </row>
    <row r="41" spans="5:5" x14ac:dyDescent="0.3">
      <c r="E41" t="str">
        <f>IF(COUNTIF('Sales Entry'!D:D,A41)&gt;0,"Sold","Available")</f>
        <v>Available</v>
      </c>
    </row>
    <row r="42" spans="5:5" x14ac:dyDescent="0.3">
      <c r="E42" t="str">
        <f>IF(COUNTIF('Sales Entry'!D:D,A42)&gt;0,"Sold","Available")</f>
        <v>Available</v>
      </c>
    </row>
    <row r="43" spans="5:5" x14ac:dyDescent="0.3">
      <c r="E43" t="str">
        <f>IF(COUNTIF('Sales Entry'!D:D,A43)&gt;0,"Sold","Available")</f>
        <v>Available</v>
      </c>
    </row>
    <row r="44" spans="5:5" x14ac:dyDescent="0.3">
      <c r="E44" t="str">
        <f>IF(COUNTIF('Sales Entry'!D:D,A44)&gt;0,"Sold","Available")</f>
        <v>Available</v>
      </c>
    </row>
    <row r="45" spans="5:5" x14ac:dyDescent="0.3">
      <c r="E45" t="str">
        <f>IF(COUNTIF('Sales Entry'!D:D,A45)&gt;0,"Sold","Available")</f>
        <v>Available</v>
      </c>
    </row>
    <row r="46" spans="5:5" x14ac:dyDescent="0.3">
      <c r="E46" t="str">
        <f>IF(COUNTIF('Sales Entry'!D:D,A46)&gt;0,"Sold","Available")</f>
        <v>Available</v>
      </c>
    </row>
    <row r="47" spans="5:5" x14ac:dyDescent="0.3">
      <c r="E47" t="str">
        <f>IF(COUNTIF('Sales Entry'!D:D,A47)&gt;0,"Sold","Available")</f>
        <v>Available</v>
      </c>
    </row>
    <row r="48" spans="5:5" x14ac:dyDescent="0.3">
      <c r="E48" t="str">
        <f>IF(COUNTIF('Sales Entry'!D:D,A48)&gt;0,"Sold","Available")</f>
        <v>Available</v>
      </c>
    </row>
    <row r="49" spans="5:5" x14ac:dyDescent="0.3">
      <c r="E49" t="str">
        <f>IF(COUNTIF('Sales Entry'!D:D,A49)&gt;0,"Sold","Available")</f>
        <v>Available</v>
      </c>
    </row>
    <row r="50" spans="5:5" x14ac:dyDescent="0.3">
      <c r="E50" t="str">
        <f>IF(COUNTIF('Sales Entry'!D:D,A50)&gt;0,"Sold","Available")</f>
        <v>Available</v>
      </c>
    </row>
    <row r="51" spans="5:5" x14ac:dyDescent="0.3">
      <c r="E51" t="str">
        <f>IF(COUNTIF('Sales Entry'!D:D,A51)&gt;0,"Sold","Available")</f>
        <v>Available</v>
      </c>
    </row>
    <row r="52" spans="5:5" x14ac:dyDescent="0.3">
      <c r="E52" t="str">
        <f>IF(COUNTIF('Sales Entry'!D:D,A52)&gt;0,"Sold","Available")</f>
        <v>Available</v>
      </c>
    </row>
    <row r="53" spans="5:5" x14ac:dyDescent="0.3">
      <c r="E53" t="str">
        <f>IF(COUNTIF('Sales Entry'!D:D,A53)&gt;0,"Sold","Available")</f>
        <v>Available</v>
      </c>
    </row>
    <row r="54" spans="5:5" x14ac:dyDescent="0.3">
      <c r="E54" t="str">
        <f>IF(COUNTIF('Sales Entry'!D:D,A54)&gt;0,"Sold","Available")</f>
        <v>Available</v>
      </c>
    </row>
    <row r="55" spans="5:5" x14ac:dyDescent="0.3">
      <c r="E55" t="str">
        <f>IF(COUNTIF('Sales Entry'!D:D,A55)&gt;0,"Sold","Available")</f>
        <v>Available</v>
      </c>
    </row>
    <row r="56" spans="5:5" x14ac:dyDescent="0.3">
      <c r="E56" t="str">
        <f>IF(COUNTIF('Sales Entry'!D:D,A56)&gt;0,"Sold","Available")</f>
        <v>Available</v>
      </c>
    </row>
    <row r="57" spans="5:5" x14ac:dyDescent="0.3">
      <c r="E57" t="str">
        <f>IF(COUNTIF('Sales Entry'!D:D,A57)&gt;0,"Sold","Available")</f>
        <v>Available</v>
      </c>
    </row>
    <row r="58" spans="5:5" x14ac:dyDescent="0.3">
      <c r="E58" t="str">
        <f>IF(COUNTIF('Sales Entry'!D:D,A58)&gt;0,"Sold","Available")</f>
        <v>Available</v>
      </c>
    </row>
    <row r="59" spans="5:5" x14ac:dyDescent="0.3">
      <c r="E59" t="str">
        <f>IF(COUNTIF('Sales Entry'!D:D,A59)&gt;0,"Sold","Available")</f>
        <v>Available</v>
      </c>
    </row>
    <row r="60" spans="5:5" x14ac:dyDescent="0.3">
      <c r="E60" t="str">
        <f>IF(COUNTIF('Sales Entry'!D:D,A60)&gt;0,"Sold","Available")</f>
        <v>Available</v>
      </c>
    </row>
    <row r="61" spans="5:5" x14ac:dyDescent="0.3">
      <c r="E61" t="str">
        <f>IF(COUNTIF('Sales Entry'!D:D,A61)&gt;0,"Sold","Available")</f>
        <v>Available</v>
      </c>
    </row>
    <row r="62" spans="5:5" x14ac:dyDescent="0.3">
      <c r="E62" t="str">
        <f>IF(COUNTIF('Sales Entry'!D:D,A62)&gt;0,"Sold","Available")</f>
        <v>Available</v>
      </c>
    </row>
    <row r="63" spans="5:5" x14ac:dyDescent="0.3">
      <c r="E63" t="str">
        <f>IF(COUNTIF('Sales Entry'!D:D,A63)&gt;0,"Sold","Available")</f>
        <v>Available</v>
      </c>
    </row>
    <row r="64" spans="5:5" x14ac:dyDescent="0.3">
      <c r="E64" t="str">
        <f>IF(COUNTIF('Sales Entry'!D:D,A64)&gt;0,"Sold","Available")</f>
        <v>Available</v>
      </c>
    </row>
    <row r="65" spans="5:5" x14ac:dyDescent="0.3">
      <c r="E65" t="str">
        <f>IF(COUNTIF('Sales Entry'!D:D,A65)&gt;0,"Sold","Available")</f>
        <v>Available</v>
      </c>
    </row>
    <row r="66" spans="5:5" x14ac:dyDescent="0.3">
      <c r="E66" t="str">
        <f>IF(COUNTIF('Sales Entry'!D:D,A66)&gt;0,"Sold","Available")</f>
        <v>Available</v>
      </c>
    </row>
    <row r="67" spans="5:5" x14ac:dyDescent="0.3">
      <c r="E67" t="str">
        <f>IF(COUNTIF('Sales Entry'!D:D,A67)&gt;0,"Sold","Available")</f>
        <v>Available</v>
      </c>
    </row>
    <row r="68" spans="5:5" x14ac:dyDescent="0.3">
      <c r="E68" t="str">
        <f>IF(COUNTIF('Sales Entry'!D:D,A68)&gt;0,"Sold","Available")</f>
        <v>Available</v>
      </c>
    </row>
    <row r="69" spans="5:5" x14ac:dyDescent="0.3">
      <c r="E69" t="str">
        <f>IF(COUNTIF('Sales Entry'!D:D,A69)&gt;0,"Sold","Available")</f>
        <v>Available</v>
      </c>
    </row>
    <row r="70" spans="5:5" x14ac:dyDescent="0.3">
      <c r="E70" t="str">
        <f>IF(COUNTIF('Sales Entry'!D:D,A70)&gt;0,"Sold","Available")</f>
        <v>Available</v>
      </c>
    </row>
    <row r="71" spans="5:5" x14ac:dyDescent="0.3">
      <c r="E71" t="str">
        <f>IF(COUNTIF('Sales Entry'!D:D,A71)&gt;0,"Sold","Available")</f>
        <v>Available</v>
      </c>
    </row>
    <row r="72" spans="5:5" x14ac:dyDescent="0.3">
      <c r="E72" t="str">
        <f>IF(COUNTIF('Sales Entry'!D:D,A72)&gt;0,"Sold","Available")</f>
        <v>Available</v>
      </c>
    </row>
    <row r="73" spans="5:5" x14ac:dyDescent="0.3">
      <c r="E73" t="str">
        <f>IF(COUNTIF('Sales Entry'!D:D,A73)&gt;0,"Sold","Available")</f>
        <v>Available</v>
      </c>
    </row>
    <row r="74" spans="5:5" x14ac:dyDescent="0.3">
      <c r="E74" t="str">
        <f>IF(COUNTIF('Sales Entry'!D:D,A74)&gt;0,"Sold","Available")</f>
        <v>Available</v>
      </c>
    </row>
    <row r="75" spans="5:5" x14ac:dyDescent="0.3">
      <c r="E75" t="str">
        <f>IF(COUNTIF('Sales Entry'!D:D,A75)&gt;0,"Sold","Available")</f>
        <v>Available</v>
      </c>
    </row>
    <row r="76" spans="5:5" x14ac:dyDescent="0.3">
      <c r="E76" t="str">
        <f>IF(COUNTIF('Sales Entry'!D:D,A76)&gt;0,"Sold","Available")</f>
        <v>Available</v>
      </c>
    </row>
    <row r="77" spans="5:5" x14ac:dyDescent="0.3">
      <c r="E77" t="str">
        <f>IF(COUNTIF('Sales Entry'!D:D,A77)&gt;0,"Sold","Available")</f>
        <v>Available</v>
      </c>
    </row>
    <row r="78" spans="5:5" x14ac:dyDescent="0.3">
      <c r="E78" t="str">
        <f>IF(COUNTIF('Sales Entry'!D:D,A78)&gt;0,"Sold","Available")</f>
        <v>Available</v>
      </c>
    </row>
    <row r="79" spans="5:5" x14ac:dyDescent="0.3">
      <c r="E79" t="str">
        <f>IF(COUNTIF('Sales Entry'!D:D,A79)&gt;0,"Sold","Available")</f>
        <v>Available</v>
      </c>
    </row>
    <row r="80" spans="5:5" x14ac:dyDescent="0.3">
      <c r="E80" t="str">
        <f>IF(COUNTIF('Sales Entry'!D:D,A80)&gt;0,"Sold","Available")</f>
        <v>Available</v>
      </c>
    </row>
    <row r="81" spans="5:5" x14ac:dyDescent="0.3">
      <c r="E81" t="str">
        <f>IF(COUNTIF('Sales Entry'!D:D,A81)&gt;0,"Sold","Available")</f>
        <v>Available</v>
      </c>
    </row>
    <row r="82" spans="5:5" x14ac:dyDescent="0.3">
      <c r="E82" t="str">
        <f>IF(COUNTIF('Sales Entry'!D:D,A82)&gt;0,"Sold","Available")</f>
        <v>Available</v>
      </c>
    </row>
    <row r="83" spans="5:5" x14ac:dyDescent="0.3">
      <c r="E83" t="str">
        <f>IF(COUNTIF('Sales Entry'!D:D,A83)&gt;0,"Sold","Available")</f>
        <v>Available</v>
      </c>
    </row>
    <row r="84" spans="5:5" x14ac:dyDescent="0.3">
      <c r="E84" t="str">
        <f>IF(COUNTIF('Sales Entry'!D:D,A84)&gt;0,"Sold","Available")</f>
        <v>Available</v>
      </c>
    </row>
    <row r="85" spans="5:5" x14ac:dyDescent="0.3">
      <c r="E85" t="str">
        <f>IF(COUNTIF('Sales Entry'!D:D,A85)&gt;0,"Sold","Available")</f>
        <v>Available</v>
      </c>
    </row>
    <row r="86" spans="5:5" x14ac:dyDescent="0.3">
      <c r="E86" t="str">
        <f>IF(COUNTIF('Sales Entry'!D:D,A86)&gt;0,"Sold","Available")</f>
        <v>Available</v>
      </c>
    </row>
    <row r="87" spans="5:5" x14ac:dyDescent="0.3">
      <c r="E87" t="str">
        <f>IF(COUNTIF('Sales Entry'!D:D,A87)&gt;0,"Sold","Available")</f>
        <v>Available</v>
      </c>
    </row>
    <row r="88" spans="5:5" x14ac:dyDescent="0.3">
      <c r="E88" t="str">
        <f>IF(COUNTIF('Sales Entry'!D:D,A88)&gt;0,"Sold","Available")</f>
        <v>Available</v>
      </c>
    </row>
    <row r="89" spans="5:5" x14ac:dyDescent="0.3">
      <c r="E89" t="str">
        <f>IF(COUNTIF('Sales Entry'!D:D,A89)&gt;0,"Sold","Available")</f>
        <v>Available</v>
      </c>
    </row>
    <row r="90" spans="5:5" x14ac:dyDescent="0.3">
      <c r="E90" t="str">
        <f>IF(COUNTIF('Sales Entry'!D:D,A90)&gt;0,"Sold","Available")</f>
        <v>Available</v>
      </c>
    </row>
    <row r="91" spans="5:5" x14ac:dyDescent="0.3">
      <c r="E91" t="str">
        <f>IF(COUNTIF('Sales Entry'!D:D,A91)&gt;0,"Sold","Available")</f>
        <v>Available</v>
      </c>
    </row>
    <row r="92" spans="5:5" x14ac:dyDescent="0.3">
      <c r="E92" t="str">
        <f>IF(COUNTIF('Sales Entry'!D:D,A92)&gt;0,"Sold","Available")</f>
        <v>Available</v>
      </c>
    </row>
    <row r="93" spans="5:5" x14ac:dyDescent="0.3">
      <c r="E93" t="str">
        <f>IF(COUNTIF('Sales Entry'!D:D,A93)&gt;0,"Sold","Available")</f>
        <v>Available</v>
      </c>
    </row>
    <row r="94" spans="5:5" x14ac:dyDescent="0.3">
      <c r="E94" t="str">
        <f>IF(COUNTIF('Sales Entry'!D:D,A94)&gt;0,"Sold","Available")</f>
        <v>Available</v>
      </c>
    </row>
    <row r="95" spans="5:5" x14ac:dyDescent="0.3">
      <c r="E95" t="str">
        <f>IF(COUNTIF('Sales Entry'!D:D,A95)&gt;0,"Sold","Available")</f>
        <v>Available</v>
      </c>
    </row>
    <row r="96" spans="5:5" x14ac:dyDescent="0.3">
      <c r="E96" t="str">
        <f>IF(COUNTIF('Sales Entry'!D:D,A96)&gt;0,"Sold","Available")</f>
        <v>Available</v>
      </c>
    </row>
    <row r="97" spans="5:5" x14ac:dyDescent="0.3">
      <c r="E97" t="str">
        <f>IF(COUNTIF('Sales Entry'!D:D,A97)&gt;0,"Sold","Available")</f>
        <v>Available</v>
      </c>
    </row>
    <row r="98" spans="5:5" x14ac:dyDescent="0.3">
      <c r="E98" t="str">
        <f>IF(COUNTIF('Sales Entry'!D:D,A98)&gt;0,"Sold","Available")</f>
        <v>Available</v>
      </c>
    </row>
    <row r="99" spans="5:5" x14ac:dyDescent="0.3">
      <c r="E99" t="str">
        <f>IF(COUNTIF('Sales Entry'!D:D,A99)&gt;0,"Sold","Available")</f>
        <v>Available</v>
      </c>
    </row>
    <row r="100" spans="5:5" x14ac:dyDescent="0.3">
      <c r="E100" t="str">
        <f>IF(COUNTIF('Sales Entry'!D:D,A100)&gt;0,"Sold","Available")</f>
        <v>Available</v>
      </c>
    </row>
    <row r="101" spans="5:5" x14ac:dyDescent="0.3">
      <c r="E101" t="str">
        <f>IF(COUNTIF('Sales Entry'!D:D,A101)&gt;0,"Sold","Available")</f>
        <v>Available</v>
      </c>
    </row>
    <row r="102" spans="5:5" x14ac:dyDescent="0.3">
      <c r="E102" t="str">
        <f>IF(COUNTIF('Sales Entry'!D:D,A102)&gt;0,"Sold","Available")</f>
        <v>Available</v>
      </c>
    </row>
    <row r="103" spans="5:5" x14ac:dyDescent="0.3">
      <c r="E103" t="str">
        <f>IF(COUNTIF('Sales Entry'!D:D,A103)&gt;0,"Sold","Available")</f>
        <v>Available</v>
      </c>
    </row>
    <row r="104" spans="5:5" x14ac:dyDescent="0.3">
      <c r="E104" t="str">
        <f>IF(COUNTIF('Sales Entry'!D:D,A104)&gt;0,"Sold","Available")</f>
        <v>Available</v>
      </c>
    </row>
    <row r="105" spans="5:5" x14ac:dyDescent="0.3">
      <c r="E105" t="str">
        <f>IF(COUNTIF('Sales Entry'!D:D,A105)&gt;0,"Sold","Available")</f>
        <v>Available</v>
      </c>
    </row>
    <row r="106" spans="5:5" x14ac:dyDescent="0.3">
      <c r="E106" t="str">
        <f>IF(COUNTIF('Sales Entry'!D:D,A106)&gt;0,"Sold","Available")</f>
        <v>Available</v>
      </c>
    </row>
    <row r="107" spans="5:5" x14ac:dyDescent="0.3">
      <c r="E107" t="str">
        <f>IF(COUNTIF('Sales Entry'!D:D,A107)&gt;0,"Sold","Available")</f>
        <v>Available</v>
      </c>
    </row>
    <row r="108" spans="5:5" x14ac:dyDescent="0.3">
      <c r="E108" t="str">
        <f>IF(COUNTIF('Sales Entry'!D:D,A108)&gt;0,"Sold","Available")</f>
        <v>Available</v>
      </c>
    </row>
    <row r="109" spans="5:5" x14ac:dyDescent="0.3">
      <c r="E109" t="str">
        <f>IF(COUNTIF('Sales Entry'!D:D,A109)&gt;0,"Sold","Available")</f>
        <v>Available</v>
      </c>
    </row>
    <row r="110" spans="5:5" x14ac:dyDescent="0.3">
      <c r="E110" t="str">
        <f>IF(COUNTIF('Sales Entry'!D:D,A110)&gt;0,"Sold","Available")</f>
        <v>Available</v>
      </c>
    </row>
    <row r="111" spans="5:5" x14ac:dyDescent="0.3">
      <c r="E111" t="str">
        <f>IF(COUNTIF('Sales Entry'!D:D,A111)&gt;0,"Sold","Available")</f>
        <v>Available</v>
      </c>
    </row>
    <row r="112" spans="5:5" x14ac:dyDescent="0.3">
      <c r="E112" t="str">
        <f>IF(COUNTIF('Sales Entry'!D:D,A112)&gt;0,"Sold","Available")</f>
        <v>Available</v>
      </c>
    </row>
    <row r="113" spans="5:5" x14ac:dyDescent="0.3">
      <c r="E113" t="str">
        <f>IF(COUNTIF('Sales Entry'!D:D,A113)&gt;0,"Sold","Available")</f>
        <v>Available</v>
      </c>
    </row>
    <row r="114" spans="5:5" x14ac:dyDescent="0.3">
      <c r="E114" t="str">
        <f>IF(COUNTIF('Sales Entry'!D:D,A114)&gt;0,"Sold","Available")</f>
        <v>Available</v>
      </c>
    </row>
    <row r="115" spans="5:5" x14ac:dyDescent="0.3">
      <c r="E115" t="str">
        <f>IF(COUNTIF('Sales Entry'!D:D,A115)&gt;0,"Sold","Available")</f>
        <v>Available</v>
      </c>
    </row>
    <row r="116" spans="5:5" x14ac:dyDescent="0.3">
      <c r="E116" t="str">
        <f>IF(COUNTIF('Sales Entry'!D:D,A116)&gt;0,"Sold","Available")</f>
        <v>Available</v>
      </c>
    </row>
    <row r="117" spans="5:5" x14ac:dyDescent="0.3">
      <c r="E117" t="str">
        <f>IF(COUNTIF('Sales Entry'!D:D,A117)&gt;0,"Sold","Available")</f>
        <v>Available</v>
      </c>
    </row>
    <row r="118" spans="5:5" x14ac:dyDescent="0.3">
      <c r="E118" t="str">
        <f>IF(COUNTIF('Sales Entry'!D:D,A118)&gt;0,"Sold","Available")</f>
        <v>Available</v>
      </c>
    </row>
    <row r="119" spans="5:5" x14ac:dyDescent="0.3">
      <c r="E119" t="str">
        <f>IF(COUNTIF('Sales Entry'!D:D,A119)&gt;0,"Sold","Available")</f>
        <v>Available</v>
      </c>
    </row>
    <row r="120" spans="5:5" x14ac:dyDescent="0.3">
      <c r="E120" t="str">
        <f>IF(COUNTIF('Sales Entry'!D:D,A120)&gt;0,"Sold","Available")</f>
        <v>Available</v>
      </c>
    </row>
    <row r="121" spans="5:5" x14ac:dyDescent="0.3">
      <c r="E121" t="str">
        <f>IF(COUNTIF('Sales Entry'!D:D,A121)&gt;0,"Sold","Available")</f>
        <v>Available</v>
      </c>
    </row>
    <row r="122" spans="5:5" x14ac:dyDescent="0.3">
      <c r="E122" t="str">
        <f>IF(COUNTIF('Sales Entry'!D:D,A122)&gt;0,"Sold","Available")</f>
        <v>Available</v>
      </c>
    </row>
    <row r="123" spans="5:5" x14ac:dyDescent="0.3">
      <c r="E123" t="str">
        <f>IF(COUNTIF('Sales Entry'!D:D,A123)&gt;0,"Sold","Available")</f>
        <v>Available</v>
      </c>
    </row>
    <row r="124" spans="5:5" x14ac:dyDescent="0.3">
      <c r="E124" t="str">
        <f>IF(COUNTIF('Sales Entry'!D:D,A124)&gt;0,"Sold","Available")</f>
        <v>Available</v>
      </c>
    </row>
    <row r="125" spans="5:5" x14ac:dyDescent="0.3">
      <c r="E125" t="str">
        <f>IF(COUNTIF('Sales Entry'!D:D,A125)&gt;0,"Sold","Available")</f>
        <v>Available</v>
      </c>
    </row>
    <row r="126" spans="5:5" x14ac:dyDescent="0.3">
      <c r="E126" t="str">
        <f>IF(COUNTIF('Sales Entry'!D:D,A126)&gt;0,"Sold","Available")</f>
        <v>Available</v>
      </c>
    </row>
    <row r="127" spans="5:5" x14ac:dyDescent="0.3">
      <c r="E127" t="str">
        <f>IF(COUNTIF('Sales Entry'!D:D,A127)&gt;0,"Sold","Available")</f>
        <v>Available</v>
      </c>
    </row>
    <row r="128" spans="5:5" x14ac:dyDescent="0.3">
      <c r="E128" t="str">
        <f>IF(COUNTIF('Sales Entry'!D:D,A128)&gt;0,"Sold","Available")</f>
        <v>Available</v>
      </c>
    </row>
    <row r="129" spans="5:5" x14ac:dyDescent="0.3">
      <c r="E129" t="str">
        <f>IF(COUNTIF('Sales Entry'!D:D,A129)&gt;0,"Sold","Available")</f>
        <v>Available</v>
      </c>
    </row>
    <row r="130" spans="5:5" x14ac:dyDescent="0.3">
      <c r="E130" t="str">
        <f>IF(COUNTIF('Sales Entry'!D:D,A130)&gt;0,"Sold","Available")</f>
        <v>Available</v>
      </c>
    </row>
    <row r="131" spans="5:5" x14ac:dyDescent="0.3">
      <c r="E131" t="str">
        <f>IF(COUNTIF('Sales Entry'!D:D,A131)&gt;0,"Sold","Available")</f>
        <v>Available</v>
      </c>
    </row>
    <row r="132" spans="5:5" x14ac:dyDescent="0.3">
      <c r="E132" t="str">
        <f>IF(COUNTIF('Sales Entry'!D:D,A132)&gt;0,"Sold","Available")</f>
        <v>Available</v>
      </c>
    </row>
    <row r="133" spans="5:5" x14ac:dyDescent="0.3">
      <c r="E133" t="str">
        <f>IF(COUNTIF('Sales Entry'!D:D,A133)&gt;0,"Sold","Available")</f>
        <v>Available</v>
      </c>
    </row>
    <row r="134" spans="5:5" x14ac:dyDescent="0.3">
      <c r="E134" t="str">
        <f>IF(COUNTIF('Sales Entry'!D:D,A134)&gt;0,"Sold","Available")</f>
        <v>Available</v>
      </c>
    </row>
    <row r="135" spans="5:5" x14ac:dyDescent="0.3">
      <c r="E135" t="str">
        <f>IF(COUNTIF('Sales Entry'!D:D,A135)&gt;0,"Sold","Available")</f>
        <v>Available</v>
      </c>
    </row>
    <row r="136" spans="5:5" x14ac:dyDescent="0.3">
      <c r="E136" t="str">
        <f>IF(COUNTIF('Sales Entry'!D:D,A136)&gt;0,"Sold","Available")</f>
        <v>Available</v>
      </c>
    </row>
    <row r="137" spans="5:5" x14ac:dyDescent="0.3">
      <c r="E137" t="str">
        <f>IF(COUNTIF('Sales Entry'!D:D,A137)&gt;0,"Sold","Available")</f>
        <v>Available</v>
      </c>
    </row>
    <row r="138" spans="5:5" x14ac:dyDescent="0.3">
      <c r="E138" t="str">
        <f>IF(COUNTIF('Sales Entry'!D:D,A138)&gt;0,"Sold","Available")</f>
        <v>Available</v>
      </c>
    </row>
    <row r="139" spans="5:5" x14ac:dyDescent="0.3">
      <c r="E139" t="str">
        <f>IF(COUNTIF('Sales Entry'!D:D,A139)&gt;0,"Sold","Available")</f>
        <v>Available</v>
      </c>
    </row>
    <row r="140" spans="5:5" x14ac:dyDescent="0.3">
      <c r="E140" t="str">
        <f>IF(COUNTIF('Sales Entry'!D:D,A140)&gt;0,"Sold","Available")</f>
        <v>Available</v>
      </c>
    </row>
    <row r="141" spans="5:5" x14ac:dyDescent="0.3">
      <c r="E141" t="str">
        <f>IF(COUNTIF('Sales Entry'!D:D,A141)&gt;0,"Sold","Available")</f>
        <v>Available</v>
      </c>
    </row>
    <row r="142" spans="5:5" x14ac:dyDescent="0.3">
      <c r="E142" t="str">
        <f>IF(COUNTIF('Sales Entry'!D:D,A142)&gt;0,"Sold","Available")</f>
        <v>Available</v>
      </c>
    </row>
    <row r="143" spans="5:5" x14ac:dyDescent="0.3">
      <c r="E143" t="str">
        <f>IF(COUNTIF('Sales Entry'!D:D,A143)&gt;0,"Sold","Available")</f>
        <v>Available</v>
      </c>
    </row>
    <row r="144" spans="5:5" x14ac:dyDescent="0.3">
      <c r="E144" t="str">
        <f>IF(COUNTIF('Sales Entry'!D:D,A144)&gt;0,"Sold","Available")</f>
        <v>Available</v>
      </c>
    </row>
    <row r="145" spans="5:5" x14ac:dyDescent="0.3">
      <c r="E145" t="str">
        <f>IF(COUNTIF('Sales Entry'!D:D,A145)&gt;0,"Sold","Available")</f>
        <v>Available</v>
      </c>
    </row>
    <row r="146" spans="5:5" x14ac:dyDescent="0.3">
      <c r="E146" t="str">
        <f>IF(COUNTIF('Sales Entry'!D:D,A146)&gt;0,"Sold","Available")</f>
        <v>Available</v>
      </c>
    </row>
    <row r="147" spans="5:5" x14ac:dyDescent="0.3">
      <c r="E147" t="str">
        <f>IF(COUNTIF('Sales Entry'!D:D,A147)&gt;0,"Sold","Available")</f>
        <v>Available</v>
      </c>
    </row>
    <row r="148" spans="5:5" x14ac:dyDescent="0.3">
      <c r="E148" t="str">
        <f>IF(COUNTIF('Sales Entry'!D:D,A148)&gt;0,"Sold","Available")</f>
        <v>Available</v>
      </c>
    </row>
    <row r="149" spans="5:5" x14ac:dyDescent="0.3">
      <c r="E149" t="str">
        <f>IF(COUNTIF('Sales Entry'!D:D,A149)&gt;0,"Sold","Available")</f>
        <v>Available</v>
      </c>
    </row>
    <row r="150" spans="5:5" x14ac:dyDescent="0.3">
      <c r="E150" t="str">
        <f>IF(COUNTIF('Sales Entry'!D:D,A150)&gt;0,"Sold","Available")</f>
        <v>Available</v>
      </c>
    </row>
    <row r="151" spans="5:5" x14ac:dyDescent="0.3">
      <c r="E151" t="str">
        <f>IF(COUNTIF('Sales Entry'!D:D,A151)&gt;0,"Sold","Available")</f>
        <v>Available</v>
      </c>
    </row>
    <row r="152" spans="5:5" x14ac:dyDescent="0.3">
      <c r="E152" t="str">
        <f>IF(COUNTIF('Sales Entry'!D:D,A152)&gt;0,"Sold","Available")</f>
        <v>Available</v>
      </c>
    </row>
    <row r="153" spans="5:5" x14ac:dyDescent="0.3">
      <c r="E153" t="str">
        <f>IF(COUNTIF('Sales Entry'!D:D,A153)&gt;0,"Sold","Available")</f>
        <v>Available</v>
      </c>
    </row>
    <row r="154" spans="5:5" x14ac:dyDescent="0.3">
      <c r="E154" t="str">
        <f>IF(COUNTIF('Sales Entry'!D:D,A154)&gt;0,"Sold","Available")</f>
        <v>Available</v>
      </c>
    </row>
    <row r="155" spans="5:5" x14ac:dyDescent="0.3">
      <c r="E155" t="str">
        <f>IF(COUNTIF('Sales Entry'!D:D,A155)&gt;0,"Sold","Available")</f>
        <v>Available</v>
      </c>
    </row>
    <row r="156" spans="5:5" x14ac:dyDescent="0.3">
      <c r="E156" t="str">
        <f>IF(COUNTIF('Sales Entry'!D:D,A156)&gt;0,"Sold","Available")</f>
        <v>Available</v>
      </c>
    </row>
    <row r="157" spans="5:5" x14ac:dyDescent="0.3">
      <c r="E157" t="str">
        <f>IF(COUNTIF('Sales Entry'!D:D,A157)&gt;0,"Sold","Available")</f>
        <v>Available</v>
      </c>
    </row>
    <row r="158" spans="5:5" x14ac:dyDescent="0.3">
      <c r="E158" t="str">
        <f>IF(COUNTIF('Sales Entry'!D:D,A158)&gt;0,"Sold","Available")</f>
        <v>Available</v>
      </c>
    </row>
    <row r="159" spans="5:5" x14ac:dyDescent="0.3">
      <c r="E159" t="str">
        <f>IF(COUNTIF('Sales Entry'!D:D,A159)&gt;0,"Sold","Available")</f>
        <v>Available</v>
      </c>
    </row>
    <row r="160" spans="5:5" x14ac:dyDescent="0.3">
      <c r="E160" t="str">
        <f>IF(COUNTIF('Sales Entry'!D:D,A160)&gt;0,"Sold","Available")</f>
        <v>Available</v>
      </c>
    </row>
    <row r="161" spans="5:5" x14ac:dyDescent="0.3">
      <c r="E161" t="str">
        <f>IF(COUNTIF('Sales Entry'!D:D,A161)&gt;0,"Sold","Available")</f>
        <v>Available</v>
      </c>
    </row>
    <row r="162" spans="5:5" x14ac:dyDescent="0.3">
      <c r="E162" t="str">
        <f>IF(COUNTIF('Sales Entry'!D:D,A162)&gt;0,"Sold","Available")</f>
        <v>Available</v>
      </c>
    </row>
    <row r="163" spans="5:5" x14ac:dyDescent="0.3">
      <c r="E163" t="str">
        <f>IF(COUNTIF('Sales Entry'!D:D,A163)&gt;0,"Sold","Available")</f>
        <v>Available</v>
      </c>
    </row>
    <row r="164" spans="5:5" x14ac:dyDescent="0.3">
      <c r="E164" t="str">
        <f>IF(COUNTIF('Sales Entry'!D:D,A164)&gt;0,"Sold","Available")</f>
        <v>Available</v>
      </c>
    </row>
    <row r="165" spans="5:5" x14ac:dyDescent="0.3">
      <c r="E165" t="str">
        <f>IF(COUNTIF('Sales Entry'!D:D,A165)&gt;0,"Sold","Available")</f>
        <v>Available</v>
      </c>
    </row>
    <row r="166" spans="5:5" x14ac:dyDescent="0.3">
      <c r="E166" t="str">
        <f>IF(COUNTIF('Sales Entry'!D:D,A166)&gt;0,"Sold","Available")</f>
        <v>Available</v>
      </c>
    </row>
    <row r="167" spans="5:5" x14ac:dyDescent="0.3">
      <c r="E167" t="str">
        <f>IF(COUNTIF('Sales Entry'!D:D,A167)&gt;0,"Sold","Available")</f>
        <v>Available</v>
      </c>
    </row>
    <row r="168" spans="5:5" x14ac:dyDescent="0.3">
      <c r="E168" t="str">
        <f>IF(COUNTIF('Sales Entry'!D:D,A168)&gt;0,"Sold","Available")</f>
        <v>Available</v>
      </c>
    </row>
    <row r="169" spans="5:5" x14ac:dyDescent="0.3">
      <c r="E169" t="str">
        <f>IF(COUNTIF('Sales Entry'!D:D,A169)&gt;0,"Sold","Available")</f>
        <v>Available</v>
      </c>
    </row>
    <row r="170" spans="5:5" x14ac:dyDescent="0.3">
      <c r="E170" t="str">
        <f>IF(COUNTIF('Sales Entry'!D:D,A170)&gt;0,"Sold","Available")</f>
        <v>Available</v>
      </c>
    </row>
    <row r="171" spans="5:5" x14ac:dyDescent="0.3">
      <c r="E171" t="str">
        <f>IF(COUNTIF('Sales Entry'!D:D,A171)&gt;0,"Sold","Available")</f>
        <v>Available</v>
      </c>
    </row>
    <row r="172" spans="5:5" x14ac:dyDescent="0.3">
      <c r="E172" t="str">
        <f>IF(COUNTIF('Sales Entry'!D:D,A172)&gt;0,"Sold","Available")</f>
        <v>Available</v>
      </c>
    </row>
    <row r="173" spans="5:5" x14ac:dyDescent="0.3">
      <c r="E173" t="str">
        <f>IF(COUNTIF('Sales Entry'!D:D,A173)&gt;0,"Sold","Available")</f>
        <v>Available</v>
      </c>
    </row>
    <row r="174" spans="5:5" x14ac:dyDescent="0.3">
      <c r="E174" t="str">
        <f>IF(COUNTIF('Sales Entry'!D:D,A174)&gt;0,"Sold","Available")</f>
        <v>Available</v>
      </c>
    </row>
    <row r="175" spans="5:5" x14ac:dyDescent="0.3">
      <c r="E175" t="str">
        <f>IF(COUNTIF('Sales Entry'!D:D,A175)&gt;0,"Sold","Available")</f>
        <v>Available</v>
      </c>
    </row>
    <row r="176" spans="5:5" x14ac:dyDescent="0.3">
      <c r="E176" t="str">
        <f>IF(COUNTIF('Sales Entry'!D:D,A176)&gt;0,"Sold","Available")</f>
        <v>Available</v>
      </c>
    </row>
    <row r="177" spans="5:5" x14ac:dyDescent="0.3">
      <c r="E177" t="str">
        <f>IF(COUNTIF('Sales Entry'!D:D,A177)&gt;0,"Sold","Available")</f>
        <v>Available</v>
      </c>
    </row>
    <row r="178" spans="5:5" x14ac:dyDescent="0.3">
      <c r="E178" t="str">
        <f>IF(COUNTIF('Sales Entry'!D:D,A178)&gt;0,"Sold","Available")</f>
        <v>Available</v>
      </c>
    </row>
    <row r="179" spans="5:5" x14ac:dyDescent="0.3">
      <c r="E179" t="str">
        <f>IF(COUNTIF('Sales Entry'!D:D,A179)&gt;0,"Sold","Available")</f>
        <v>Available</v>
      </c>
    </row>
    <row r="180" spans="5:5" x14ac:dyDescent="0.3">
      <c r="E180" t="str">
        <f>IF(COUNTIF('Sales Entry'!D:D,A180)&gt;0,"Sold","Available")</f>
        <v>Available</v>
      </c>
    </row>
    <row r="181" spans="5:5" x14ac:dyDescent="0.3">
      <c r="E181" t="str">
        <f>IF(COUNTIF('Sales Entry'!D:D,A181)&gt;0,"Sold","Available")</f>
        <v>Available</v>
      </c>
    </row>
    <row r="182" spans="5:5" x14ac:dyDescent="0.3">
      <c r="E182" t="str">
        <f>IF(COUNTIF('Sales Entry'!D:D,A182)&gt;0,"Sold","Available")</f>
        <v>Available</v>
      </c>
    </row>
    <row r="183" spans="5:5" x14ac:dyDescent="0.3">
      <c r="E183" t="str">
        <f>IF(COUNTIF('Sales Entry'!D:D,A183)&gt;0,"Sold","Available")</f>
        <v>Available</v>
      </c>
    </row>
    <row r="184" spans="5:5" x14ac:dyDescent="0.3">
      <c r="E184" t="str">
        <f>IF(COUNTIF('Sales Entry'!D:D,A184)&gt;0,"Sold","Available")</f>
        <v>Available</v>
      </c>
    </row>
    <row r="185" spans="5:5" x14ac:dyDescent="0.3">
      <c r="E185" t="str">
        <f>IF(COUNTIF('Sales Entry'!D:D,A185)&gt;0,"Sold","Available")</f>
        <v>Available</v>
      </c>
    </row>
    <row r="186" spans="5:5" x14ac:dyDescent="0.3">
      <c r="E186" t="str">
        <f>IF(COUNTIF('Sales Entry'!D:D,A186)&gt;0,"Sold","Available")</f>
        <v>Available</v>
      </c>
    </row>
    <row r="187" spans="5:5" x14ac:dyDescent="0.3">
      <c r="E187" t="str">
        <f>IF(COUNTIF('Sales Entry'!D:D,A187)&gt;0,"Sold","Available")</f>
        <v>Available</v>
      </c>
    </row>
    <row r="188" spans="5:5" x14ac:dyDescent="0.3">
      <c r="E188" t="str">
        <f>IF(COUNTIF('Sales Entry'!D:D,A188)&gt;0,"Sold","Available")</f>
        <v>Available</v>
      </c>
    </row>
    <row r="189" spans="5:5" x14ac:dyDescent="0.3">
      <c r="E189" t="str">
        <f>IF(COUNTIF('Sales Entry'!D:D,A189)&gt;0,"Sold","Available")</f>
        <v>Available</v>
      </c>
    </row>
    <row r="190" spans="5:5" x14ac:dyDescent="0.3">
      <c r="E190" t="str">
        <f>IF(COUNTIF('Sales Entry'!D:D,A190)&gt;0,"Sold","Available")</f>
        <v>Available</v>
      </c>
    </row>
    <row r="191" spans="5:5" x14ac:dyDescent="0.3">
      <c r="E191" t="str">
        <f>IF(COUNTIF('Sales Entry'!D:D,A191)&gt;0,"Sold","Available")</f>
        <v>Available</v>
      </c>
    </row>
    <row r="192" spans="5:5" x14ac:dyDescent="0.3">
      <c r="E192" t="str">
        <f>IF(COUNTIF('Sales Entry'!D:D,A192)&gt;0,"Sold","Available")</f>
        <v>Available</v>
      </c>
    </row>
    <row r="193" spans="5:5" x14ac:dyDescent="0.3">
      <c r="E193" t="str">
        <f>IF(COUNTIF('Sales Entry'!D:D,A193)&gt;0,"Sold","Available")</f>
        <v>Available</v>
      </c>
    </row>
    <row r="194" spans="5:5" x14ac:dyDescent="0.3">
      <c r="E194" t="str">
        <f>IF(COUNTIF('Sales Entry'!D:D,A194)&gt;0,"Sold","Available")</f>
        <v>Available</v>
      </c>
    </row>
    <row r="195" spans="5:5" x14ac:dyDescent="0.3">
      <c r="E195" t="str">
        <f>IF(COUNTIF('Sales Entry'!D:D,A195)&gt;0,"Sold","Available")</f>
        <v>Available</v>
      </c>
    </row>
    <row r="196" spans="5:5" x14ac:dyDescent="0.3">
      <c r="E196" t="str">
        <f>IF(COUNTIF('Sales Entry'!D:D,A196)&gt;0,"Sold","Available")</f>
        <v>Available</v>
      </c>
    </row>
    <row r="197" spans="5:5" x14ac:dyDescent="0.3">
      <c r="E197" t="str">
        <f>IF(COUNTIF('Sales Entry'!D:D,A197)&gt;0,"Sold","Available")</f>
        <v>Available</v>
      </c>
    </row>
    <row r="198" spans="5:5" x14ac:dyDescent="0.3">
      <c r="E198" t="str">
        <f>IF(COUNTIF('Sales Entry'!D:D,A198)&gt;0,"Sold","Available")</f>
        <v>Available</v>
      </c>
    </row>
    <row r="199" spans="5:5" x14ac:dyDescent="0.3">
      <c r="E199" t="str">
        <f>IF(COUNTIF('Sales Entry'!D:D,A199)&gt;0,"Sold","Available")</f>
        <v>Available</v>
      </c>
    </row>
    <row r="200" spans="5:5" x14ac:dyDescent="0.3">
      <c r="E200" t="str">
        <f>IF(COUNTIF('Sales Entry'!D:D,A200)&gt;0,"Sold","Available")</f>
        <v>Available</v>
      </c>
    </row>
    <row r="201" spans="5:5" x14ac:dyDescent="0.3">
      <c r="E201" t="str">
        <f>IF(COUNTIF('Sales Entry'!D:D,A201)&gt;0,"Sold","Available")</f>
        <v>Available</v>
      </c>
    </row>
    <row r="202" spans="5:5" x14ac:dyDescent="0.3">
      <c r="E202" t="str">
        <f>IF(COUNTIF('Sales Entry'!D:D,A202)&gt;0,"Sold","Available")</f>
        <v>Available</v>
      </c>
    </row>
    <row r="203" spans="5:5" x14ac:dyDescent="0.3">
      <c r="E203" t="str">
        <f>IF(COUNTIF('Sales Entry'!D:D,A203)&gt;0,"Sold","Available")</f>
        <v>Available</v>
      </c>
    </row>
    <row r="204" spans="5:5" x14ac:dyDescent="0.3">
      <c r="E204" t="str">
        <f>IF(COUNTIF('Sales Entry'!D:D,A204)&gt;0,"Sold","Available")</f>
        <v>Available</v>
      </c>
    </row>
    <row r="205" spans="5:5" x14ac:dyDescent="0.3">
      <c r="E205" t="str">
        <f>IF(COUNTIF('Sales Entry'!D:D,A205)&gt;0,"Sold","Available")</f>
        <v>Available</v>
      </c>
    </row>
    <row r="206" spans="5:5" x14ac:dyDescent="0.3">
      <c r="E206" t="str">
        <f>IF(COUNTIF('Sales Entry'!D:D,A206)&gt;0,"Sold","Available")</f>
        <v>Available</v>
      </c>
    </row>
    <row r="207" spans="5:5" x14ac:dyDescent="0.3">
      <c r="E207" t="str">
        <f>IF(COUNTIF('Sales Entry'!D:D,A207)&gt;0,"Sold","Available")</f>
        <v>Available</v>
      </c>
    </row>
    <row r="208" spans="5:5" x14ac:dyDescent="0.3">
      <c r="E208" t="str">
        <f>IF(COUNTIF('Sales Entry'!D:D,A208)&gt;0,"Sold","Available")</f>
        <v>Available</v>
      </c>
    </row>
    <row r="209" spans="5:5" x14ac:dyDescent="0.3">
      <c r="E209" t="str">
        <f>IF(COUNTIF('Sales Entry'!D:D,A209)&gt;0,"Sold","Available")</f>
        <v>Available</v>
      </c>
    </row>
    <row r="210" spans="5:5" x14ac:dyDescent="0.3">
      <c r="E210" t="str">
        <f>IF(COUNTIF('Sales Entry'!D:D,A210)&gt;0,"Sold","Available")</f>
        <v>Available</v>
      </c>
    </row>
    <row r="211" spans="5:5" x14ac:dyDescent="0.3">
      <c r="E211" t="str">
        <f>IF(COUNTIF('Sales Entry'!D:D,A211)&gt;0,"Sold","Available")</f>
        <v>Available</v>
      </c>
    </row>
    <row r="212" spans="5:5" x14ac:dyDescent="0.3">
      <c r="E212" t="str">
        <f>IF(COUNTIF('Sales Entry'!D:D,A212)&gt;0,"Sold","Available")</f>
        <v>Available</v>
      </c>
    </row>
    <row r="213" spans="5:5" x14ac:dyDescent="0.3">
      <c r="E213" t="str">
        <f>IF(COUNTIF('Sales Entry'!D:D,A213)&gt;0,"Sold","Available")</f>
        <v>Available</v>
      </c>
    </row>
    <row r="214" spans="5:5" x14ac:dyDescent="0.3">
      <c r="E214" t="str">
        <f>IF(COUNTIF('Sales Entry'!D:D,A214)&gt;0,"Sold","Available")</f>
        <v>Available</v>
      </c>
    </row>
    <row r="215" spans="5:5" x14ac:dyDescent="0.3">
      <c r="E215" t="str">
        <f>IF(COUNTIF('Sales Entry'!D:D,A215)&gt;0,"Sold","Available")</f>
        <v>Available</v>
      </c>
    </row>
    <row r="216" spans="5:5" x14ac:dyDescent="0.3">
      <c r="E216" t="str">
        <f>IF(COUNTIF('Sales Entry'!D:D,A216)&gt;0,"Sold","Available")</f>
        <v>Available</v>
      </c>
    </row>
    <row r="217" spans="5:5" x14ac:dyDescent="0.3">
      <c r="E217" t="str">
        <f>IF(COUNTIF('Sales Entry'!D:D,A217)&gt;0,"Sold","Available")</f>
        <v>Available</v>
      </c>
    </row>
    <row r="218" spans="5:5" x14ac:dyDescent="0.3">
      <c r="E218" t="str">
        <f>IF(COUNTIF('Sales Entry'!D:D,A218)&gt;0,"Sold","Available")</f>
        <v>Available</v>
      </c>
    </row>
    <row r="219" spans="5:5" x14ac:dyDescent="0.3">
      <c r="E219" t="str">
        <f>IF(COUNTIF('Sales Entry'!D:D,A219)&gt;0,"Sold","Available")</f>
        <v>Available</v>
      </c>
    </row>
    <row r="220" spans="5:5" x14ac:dyDescent="0.3">
      <c r="E220" t="str">
        <f>IF(COUNTIF('Sales Entry'!D:D,A220)&gt;0,"Sold","Available")</f>
        <v>Available</v>
      </c>
    </row>
    <row r="221" spans="5:5" x14ac:dyDescent="0.3">
      <c r="E221" t="str">
        <f>IF(COUNTIF('Sales Entry'!D:D,A221)&gt;0,"Sold","Available")</f>
        <v>Available</v>
      </c>
    </row>
    <row r="222" spans="5:5" x14ac:dyDescent="0.3">
      <c r="E222" t="str">
        <f>IF(COUNTIF('Sales Entry'!D:D,A222)&gt;0,"Sold","Available")</f>
        <v>Available</v>
      </c>
    </row>
    <row r="223" spans="5:5" x14ac:dyDescent="0.3">
      <c r="E223" t="str">
        <f>IF(COUNTIF('Sales Entry'!D:D,A223)&gt;0,"Sold","Available")</f>
        <v>Available</v>
      </c>
    </row>
    <row r="224" spans="5:5" x14ac:dyDescent="0.3">
      <c r="E224" t="str">
        <f>IF(COUNTIF('Sales Entry'!D:D,A224)&gt;0,"Sold","Available")</f>
        <v>Available</v>
      </c>
    </row>
    <row r="225" spans="5:5" x14ac:dyDescent="0.3">
      <c r="E225" t="str">
        <f>IF(COUNTIF('Sales Entry'!D:D,A225)&gt;0,"Sold","Available")</f>
        <v>Available</v>
      </c>
    </row>
    <row r="226" spans="5:5" x14ac:dyDescent="0.3">
      <c r="E226" t="str">
        <f>IF(COUNTIF('Sales Entry'!D:D,A226)&gt;0,"Sold","Available")</f>
        <v>Available</v>
      </c>
    </row>
    <row r="227" spans="5:5" x14ac:dyDescent="0.3">
      <c r="E227" t="str">
        <f>IF(COUNTIF('Sales Entry'!D:D,A227)&gt;0,"Sold","Available")</f>
        <v>Available</v>
      </c>
    </row>
    <row r="228" spans="5:5" x14ac:dyDescent="0.3">
      <c r="E228" t="str">
        <f>IF(COUNTIF('Sales Entry'!D:D,A228)&gt;0,"Sold","Available")</f>
        <v>Available</v>
      </c>
    </row>
    <row r="229" spans="5:5" x14ac:dyDescent="0.3">
      <c r="E229" t="str">
        <f>IF(COUNTIF('Sales Entry'!D:D,A229)&gt;0,"Sold","Available")</f>
        <v>Available</v>
      </c>
    </row>
    <row r="230" spans="5:5" x14ac:dyDescent="0.3">
      <c r="E230" t="str">
        <f>IF(COUNTIF('Sales Entry'!D:D,A230)&gt;0,"Sold","Available")</f>
        <v>Available</v>
      </c>
    </row>
    <row r="231" spans="5:5" x14ac:dyDescent="0.3">
      <c r="E231" t="str">
        <f>IF(COUNTIF('Sales Entry'!D:D,A231)&gt;0,"Sold","Available")</f>
        <v>Available</v>
      </c>
    </row>
    <row r="232" spans="5:5" x14ac:dyDescent="0.3">
      <c r="E232" t="str">
        <f>IF(COUNTIF('Sales Entry'!D:D,A232)&gt;0,"Sold","Available")</f>
        <v>Available</v>
      </c>
    </row>
    <row r="233" spans="5:5" x14ac:dyDescent="0.3">
      <c r="E233" t="str">
        <f>IF(COUNTIF('Sales Entry'!D:D,A233)&gt;0,"Sold","Available")</f>
        <v>Available</v>
      </c>
    </row>
    <row r="234" spans="5:5" x14ac:dyDescent="0.3">
      <c r="E234" t="str">
        <f>IF(COUNTIF('Sales Entry'!D:D,A234)&gt;0,"Sold","Available")</f>
        <v>Available</v>
      </c>
    </row>
    <row r="235" spans="5:5" x14ac:dyDescent="0.3">
      <c r="E235" t="str">
        <f>IF(COUNTIF('Sales Entry'!D:D,A235)&gt;0,"Sold","Available")</f>
        <v>Available</v>
      </c>
    </row>
    <row r="236" spans="5:5" x14ac:dyDescent="0.3">
      <c r="E236" t="str">
        <f>IF(COUNTIF('Sales Entry'!D:D,A236)&gt;0,"Sold","Available")</f>
        <v>Available</v>
      </c>
    </row>
    <row r="237" spans="5:5" x14ac:dyDescent="0.3">
      <c r="E237" t="str">
        <f>IF(COUNTIF('Sales Entry'!D:D,A237)&gt;0,"Sold","Available")</f>
        <v>Available</v>
      </c>
    </row>
    <row r="238" spans="5:5" x14ac:dyDescent="0.3">
      <c r="E238" t="str">
        <f>IF(COUNTIF('Sales Entry'!D:D,A238)&gt;0,"Sold","Available")</f>
        <v>Available</v>
      </c>
    </row>
    <row r="239" spans="5:5" x14ac:dyDescent="0.3">
      <c r="E239" t="str">
        <f>IF(COUNTIF('Sales Entry'!D:D,A239)&gt;0,"Sold","Available")</f>
        <v>Available</v>
      </c>
    </row>
    <row r="240" spans="5:5" x14ac:dyDescent="0.3">
      <c r="E240" t="str">
        <f>IF(COUNTIF('Sales Entry'!D:D,A240)&gt;0,"Sold","Available")</f>
        <v>Available</v>
      </c>
    </row>
    <row r="241" spans="5:5" x14ac:dyDescent="0.3">
      <c r="E241" t="str">
        <f>IF(COUNTIF('Sales Entry'!D:D,A241)&gt;0,"Sold","Available")</f>
        <v>Available</v>
      </c>
    </row>
    <row r="242" spans="5:5" x14ac:dyDescent="0.3">
      <c r="E242" t="str">
        <f>IF(COUNTIF('Sales Entry'!D:D,A242)&gt;0,"Sold","Available")</f>
        <v>Available</v>
      </c>
    </row>
    <row r="243" spans="5:5" x14ac:dyDescent="0.3">
      <c r="E243" t="str">
        <f>IF(COUNTIF('Sales Entry'!D:D,A243)&gt;0,"Sold","Available")</f>
        <v>Available</v>
      </c>
    </row>
    <row r="244" spans="5:5" x14ac:dyDescent="0.3">
      <c r="E244" t="str">
        <f>IF(COUNTIF('Sales Entry'!D:D,A244)&gt;0,"Sold","Available")</f>
        <v>Available</v>
      </c>
    </row>
    <row r="245" spans="5:5" x14ac:dyDescent="0.3">
      <c r="E245" t="str">
        <f>IF(COUNTIF('Sales Entry'!D:D,A245)&gt;0,"Sold","Available")</f>
        <v>Available</v>
      </c>
    </row>
    <row r="246" spans="5:5" x14ac:dyDescent="0.3">
      <c r="E246" t="str">
        <f>IF(COUNTIF('Sales Entry'!D:D,A246)&gt;0,"Sold","Available")</f>
        <v>Available</v>
      </c>
    </row>
    <row r="247" spans="5:5" x14ac:dyDescent="0.3">
      <c r="E247" t="str">
        <f>IF(COUNTIF('Sales Entry'!D:D,A247)&gt;0,"Sold","Available")</f>
        <v>Available</v>
      </c>
    </row>
    <row r="248" spans="5:5" x14ac:dyDescent="0.3">
      <c r="E248" t="str">
        <f>IF(COUNTIF('Sales Entry'!D:D,A248)&gt;0,"Sold","Available")</f>
        <v>Available</v>
      </c>
    </row>
    <row r="249" spans="5:5" x14ac:dyDescent="0.3">
      <c r="E249" t="str">
        <f>IF(COUNTIF('Sales Entry'!D:D,A249)&gt;0,"Sold","Available")</f>
        <v>Available</v>
      </c>
    </row>
    <row r="250" spans="5:5" x14ac:dyDescent="0.3">
      <c r="E250" t="str">
        <f>IF(COUNTIF('Sales Entry'!D:D,A250)&gt;0,"Sold","Available")</f>
        <v>Available</v>
      </c>
    </row>
    <row r="251" spans="5:5" x14ac:dyDescent="0.3">
      <c r="E251" t="str">
        <f>IF(COUNTIF('Sales Entry'!D:D,A251)&gt;0,"Sold","Available")</f>
        <v>Available</v>
      </c>
    </row>
    <row r="252" spans="5:5" x14ac:dyDescent="0.3">
      <c r="E252" t="str">
        <f>IF(COUNTIF('Sales Entry'!D:D,A252)&gt;0,"Sold","Available")</f>
        <v>Available</v>
      </c>
    </row>
    <row r="253" spans="5:5" x14ac:dyDescent="0.3">
      <c r="E253" t="str">
        <f>IF(COUNTIF('Sales Entry'!D:D,A253)&gt;0,"Sold","Available")</f>
        <v>Available</v>
      </c>
    </row>
    <row r="254" spans="5:5" x14ac:dyDescent="0.3">
      <c r="E254" t="str">
        <f>IF(COUNTIF('Sales Entry'!D:D,A254)&gt;0,"Sold","Available")</f>
        <v>Available</v>
      </c>
    </row>
    <row r="255" spans="5:5" x14ac:dyDescent="0.3">
      <c r="E255" t="str">
        <f>IF(COUNTIF('Sales Entry'!D:D,A255)&gt;0,"Sold","Available")</f>
        <v>Available</v>
      </c>
    </row>
    <row r="256" spans="5:5" x14ac:dyDescent="0.3">
      <c r="E256" t="str">
        <f>IF(COUNTIF('Sales Entry'!D:D,A256)&gt;0,"Sold","Available")</f>
        <v>Available</v>
      </c>
    </row>
    <row r="257" spans="5:5" x14ac:dyDescent="0.3">
      <c r="E257" t="str">
        <f>IF(COUNTIF('Sales Entry'!D:D,A257)&gt;0,"Sold","Available")</f>
        <v>Available</v>
      </c>
    </row>
    <row r="258" spans="5:5" x14ac:dyDescent="0.3">
      <c r="E258" t="str">
        <f>IF(COUNTIF('Sales Entry'!D:D,A258)&gt;0,"Sold","Available")</f>
        <v>Available</v>
      </c>
    </row>
    <row r="259" spans="5:5" x14ac:dyDescent="0.3">
      <c r="E259" t="str">
        <f>IF(COUNTIF('Sales Entry'!D:D,A259)&gt;0,"Sold","Available")</f>
        <v>Available</v>
      </c>
    </row>
    <row r="260" spans="5:5" x14ac:dyDescent="0.3">
      <c r="E260" t="str">
        <f>IF(COUNTIF('Sales Entry'!D:D,A260)&gt;0,"Sold","Available")</f>
        <v>Available</v>
      </c>
    </row>
    <row r="261" spans="5:5" x14ac:dyDescent="0.3">
      <c r="E261" t="str">
        <f>IF(COUNTIF('Sales Entry'!D:D,A261)&gt;0,"Sold","Available")</f>
        <v>Available</v>
      </c>
    </row>
    <row r="262" spans="5:5" x14ac:dyDescent="0.3">
      <c r="E262" t="str">
        <f>IF(COUNTIF('Sales Entry'!D:D,A262)&gt;0,"Sold","Available")</f>
        <v>Available</v>
      </c>
    </row>
    <row r="263" spans="5:5" x14ac:dyDescent="0.3">
      <c r="E263" t="str">
        <f>IF(COUNTIF('Sales Entry'!D:D,A263)&gt;0,"Sold","Available")</f>
        <v>Available</v>
      </c>
    </row>
    <row r="264" spans="5:5" x14ac:dyDescent="0.3">
      <c r="E264" t="str">
        <f>IF(COUNTIF('Sales Entry'!D:D,A264)&gt;0,"Sold","Available")</f>
        <v>Available</v>
      </c>
    </row>
    <row r="265" spans="5:5" x14ac:dyDescent="0.3">
      <c r="E265" t="str">
        <f>IF(COUNTIF('Sales Entry'!D:D,A265)&gt;0,"Sold","Available")</f>
        <v>Available</v>
      </c>
    </row>
    <row r="266" spans="5:5" x14ac:dyDescent="0.3">
      <c r="E266" t="str">
        <f>IF(COUNTIF('Sales Entry'!D:D,A266)&gt;0,"Sold","Available")</f>
        <v>Available</v>
      </c>
    </row>
    <row r="267" spans="5:5" x14ac:dyDescent="0.3">
      <c r="E267" t="str">
        <f>IF(COUNTIF('Sales Entry'!D:D,A267)&gt;0,"Sold","Available")</f>
        <v>Available</v>
      </c>
    </row>
    <row r="268" spans="5:5" x14ac:dyDescent="0.3">
      <c r="E268" t="str">
        <f>IF(COUNTIF('Sales Entry'!D:D,A268)&gt;0,"Sold","Available")</f>
        <v>Available</v>
      </c>
    </row>
    <row r="269" spans="5:5" x14ac:dyDescent="0.3">
      <c r="E269" t="str">
        <f>IF(COUNTIF('Sales Entry'!D:D,A269)&gt;0,"Sold","Available")</f>
        <v>Available</v>
      </c>
    </row>
    <row r="270" spans="5:5" x14ac:dyDescent="0.3">
      <c r="E270" t="str">
        <f>IF(COUNTIF('Sales Entry'!D:D,A270)&gt;0,"Sold","Available")</f>
        <v>Available</v>
      </c>
    </row>
    <row r="271" spans="5:5" x14ac:dyDescent="0.3">
      <c r="E271" t="str">
        <f>IF(COUNTIF('Sales Entry'!D:D,A271)&gt;0,"Sold","Available")</f>
        <v>Available</v>
      </c>
    </row>
    <row r="272" spans="5:5" x14ac:dyDescent="0.3">
      <c r="E272" t="str">
        <f>IF(COUNTIF('Sales Entry'!D:D,A272)&gt;0,"Sold","Available")</f>
        <v>Available</v>
      </c>
    </row>
    <row r="273" spans="5:5" x14ac:dyDescent="0.3">
      <c r="E273" t="str">
        <f>IF(COUNTIF('Sales Entry'!D:D,A273)&gt;0,"Sold","Available")</f>
        <v>Available</v>
      </c>
    </row>
    <row r="274" spans="5:5" x14ac:dyDescent="0.3">
      <c r="E274" t="str">
        <f>IF(COUNTIF('Sales Entry'!D:D,A274)&gt;0,"Sold","Available")</f>
        <v>Available</v>
      </c>
    </row>
    <row r="275" spans="5:5" x14ac:dyDescent="0.3">
      <c r="E275" t="str">
        <f>IF(COUNTIF('Sales Entry'!D:D,A275)&gt;0,"Sold","Available")</f>
        <v>Available</v>
      </c>
    </row>
    <row r="276" spans="5:5" x14ac:dyDescent="0.3">
      <c r="E276" t="str">
        <f>IF(COUNTIF('Sales Entry'!D:D,A276)&gt;0,"Sold","Available")</f>
        <v>Available</v>
      </c>
    </row>
    <row r="277" spans="5:5" x14ac:dyDescent="0.3">
      <c r="E277" t="str">
        <f>IF(COUNTIF('Sales Entry'!D:D,A277)&gt;0,"Sold","Available")</f>
        <v>Available</v>
      </c>
    </row>
    <row r="278" spans="5:5" x14ac:dyDescent="0.3">
      <c r="E278" t="str">
        <f>IF(COUNTIF('Sales Entry'!D:D,A278)&gt;0,"Sold","Available")</f>
        <v>Available</v>
      </c>
    </row>
    <row r="279" spans="5:5" x14ac:dyDescent="0.3">
      <c r="E279" t="str">
        <f>IF(COUNTIF('Sales Entry'!D:D,A279)&gt;0,"Sold","Available")</f>
        <v>Available</v>
      </c>
    </row>
    <row r="280" spans="5:5" x14ac:dyDescent="0.3">
      <c r="E280" t="str">
        <f>IF(COUNTIF('Sales Entry'!D:D,A280)&gt;0,"Sold","Available")</f>
        <v>Available</v>
      </c>
    </row>
    <row r="281" spans="5:5" x14ac:dyDescent="0.3">
      <c r="E281" t="str">
        <f>IF(COUNTIF('Sales Entry'!D:D,A281)&gt;0,"Sold","Available")</f>
        <v>Available</v>
      </c>
    </row>
    <row r="282" spans="5:5" x14ac:dyDescent="0.3">
      <c r="E282" t="str">
        <f>IF(COUNTIF('Sales Entry'!D:D,A282)&gt;0,"Sold","Available")</f>
        <v>Available</v>
      </c>
    </row>
    <row r="283" spans="5:5" x14ac:dyDescent="0.3">
      <c r="E283" t="str">
        <f>IF(COUNTIF('Sales Entry'!D:D,A283)&gt;0,"Sold","Available")</f>
        <v>Available</v>
      </c>
    </row>
    <row r="284" spans="5:5" x14ac:dyDescent="0.3">
      <c r="E284" t="str">
        <f>IF(COUNTIF('Sales Entry'!D:D,A284)&gt;0,"Sold","Available")</f>
        <v>Available</v>
      </c>
    </row>
    <row r="285" spans="5:5" x14ac:dyDescent="0.3">
      <c r="E285" t="str">
        <f>IF(COUNTIF('Sales Entry'!D:D,A285)&gt;0,"Sold","Available")</f>
        <v>Available</v>
      </c>
    </row>
    <row r="286" spans="5:5" x14ac:dyDescent="0.3">
      <c r="E286" t="str">
        <f>IF(COUNTIF('Sales Entry'!D:D,A286)&gt;0,"Sold","Available")</f>
        <v>Available</v>
      </c>
    </row>
    <row r="287" spans="5:5" x14ac:dyDescent="0.3">
      <c r="E287" t="str">
        <f>IF(COUNTIF('Sales Entry'!D:D,A287)&gt;0,"Sold","Available")</f>
        <v>Available</v>
      </c>
    </row>
    <row r="288" spans="5:5" x14ac:dyDescent="0.3">
      <c r="E288" t="str">
        <f>IF(COUNTIF('Sales Entry'!D:D,A288)&gt;0,"Sold","Available")</f>
        <v>Available</v>
      </c>
    </row>
    <row r="289" spans="5:5" x14ac:dyDescent="0.3">
      <c r="E289" t="str">
        <f>IF(COUNTIF('Sales Entry'!D:D,A289)&gt;0,"Sold","Available")</f>
        <v>Available</v>
      </c>
    </row>
    <row r="290" spans="5:5" x14ac:dyDescent="0.3">
      <c r="E290" t="str">
        <f>IF(COUNTIF('Sales Entry'!D:D,A290)&gt;0,"Sold","Available")</f>
        <v>Available</v>
      </c>
    </row>
    <row r="291" spans="5:5" x14ac:dyDescent="0.3">
      <c r="E291" t="str">
        <f>IF(COUNTIF('Sales Entry'!D:D,A291)&gt;0,"Sold","Available")</f>
        <v>Available</v>
      </c>
    </row>
    <row r="292" spans="5:5" x14ac:dyDescent="0.3">
      <c r="E292" t="str">
        <f>IF(COUNTIF('Sales Entry'!D:D,A292)&gt;0,"Sold","Available")</f>
        <v>Available</v>
      </c>
    </row>
    <row r="293" spans="5:5" x14ac:dyDescent="0.3">
      <c r="E293" t="str">
        <f>IF(COUNTIF('Sales Entry'!D:D,A293)&gt;0,"Sold","Available")</f>
        <v>Available</v>
      </c>
    </row>
    <row r="294" spans="5:5" x14ac:dyDescent="0.3">
      <c r="E294" t="str">
        <f>IF(COUNTIF('Sales Entry'!D:D,A294)&gt;0,"Sold","Available")</f>
        <v>Available</v>
      </c>
    </row>
    <row r="295" spans="5:5" x14ac:dyDescent="0.3">
      <c r="E295" t="str">
        <f>IF(COUNTIF('Sales Entry'!D:D,A295)&gt;0,"Sold","Available")</f>
        <v>Available</v>
      </c>
    </row>
    <row r="296" spans="5:5" x14ac:dyDescent="0.3">
      <c r="E296" t="str">
        <f>IF(COUNTIF('Sales Entry'!D:D,A296)&gt;0,"Sold","Available")</f>
        <v>Available</v>
      </c>
    </row>
    <row r="297" spans="5:5" x14ac:dyDescent="0.3">
      <c r="E297" t="str">
        <f>IF(COUNTIF('Sales Entry'!D:D,A297)&gt;0,"Sold","Available")</f>
        <v>Available</v>
      </c>
    </row>
    <row r="298" spans="5:5" x14ac:dyDescent="0.3">
      <c r="E298" t="str">
        <f>IF(COUNTIF('Sales Entry'!D:D,A298)&gt;0,"Sold","Available")</f>
        <v>Available</v>
      </c>
    </row>
    <row r="299" spans="5:5" x14ac:dyDescent="0.3">
      <c r="E299" t="str">
        <f>IF(COUNTIF('Sales Entry'!D:D,A299)&gt;0,"Sold","Available")</f>
        <v>Available</v>
      </c>
    </row>
    <row r="300" spans="5:5" x14ac:dyDescent="0.3">
      <c r="E300" t="str">
        <f>IF(COUNTIF('Sales Entry'!D:D,A300)&gt;0,"Sold","Available")</f>
        <v>Available</v>
      </c>
    </row>
    <row r="301" spans="5:5" x14ac:dyDescent="0.3">
      <c r="E301" t="str">
        <f>IF(COUNTIF('Sales Entry'!D:D,A301)&gt;0,"Sold","Available")</f>
        <v>Available</v>
      </c>
    </row>
    <row r="302" spans="5:5" x14ac:dyDescent="0.3">
      <c r="E302" t="str">
        <f>IF(COUNTIF('Sales Entry'!D:D,A302)&gt;0,"Sold","Available")</f>
        <v>Available</v>
      </c>
    </row>
    <row r="303" spans="5:5" x14ac:dyDescent="0.3">
      <c r="E303" t="str">
        <f>IF(COUNTIF('Sales Entry'!D:D,A303)&gt;0,"Sold","Available")</f>
        <v>Available</v>
      </c>
    </row>
    <row r="304" spans="5:5" x14ac:dyDescent="0.3">
      <c r="E304" t="str">
        <f>IF(COUNTIF('Sales Entry'!D:D,A304)&gt;0,"Sold","Available")</f>
        <v>Available</v>
      </c>
    </row>
    <row r="305" spans="5:5" x14ac:dyDescent="0.3">
      <c r="E305" t="str">
        <f>IF(COUNTIF('Sales Entry'!D:D,A305)&gt;0,"Sold","Available")</f>
        <v>Available</v>
      </c>
    </row>
    <row r="306" spans="5:5" x14ac:dyDescent="0.3">
      <c r="E306" t="str">
        <f>IF(COUNTIF('Sales Entry'!D:D,A306)&gt;0,"Sold","Available")</f>
        <v>Available</v>
      </c>
    </row>
    <row r="307" spans="5:5" x14ac:dyDescent="0.3">
      <c r="E307" t="str">
        <f>IF(COUNTIF('Sales Entry'!D:D,A307)&gt;0,"Sold","Available")</f>
        <v>Available</v>
      </c>
    </row>
    <row r="308" spans="5:5" x14ac:dyDescent="0.3">
      <c r="E308" t="str">
        <f>IF(COUNTIF('Sales Entry'!D:D,A308)&gt;0,"Sold","Available")</f>
        <v>Available</v>
      </c>
    </row>
    <row r="309" spans="5:5" x14ac:dyDescent="0.3">
      <c r="E309" t="str">
        <f>IF(COUNTIF('Sales Entry'!D:D,A309)&gt;0,"Sold","Available")</f>
        <v>Available</v>
      </c>
    </row>
    <row r="310" spans="5:5" x14ac:dyDescent="0.3">
      <c r="E310" t="str">
        <f>IF(COUNTIF('Sales Entry'!D:D,A310)&gt;0,"Sold","Available")</f>
        <v>Available</v>
      </c>
    </row>
    <row r="311" spans="5:5" x14ac:dyDescent="0.3">
      <c r="E311" t="str">
        <f>IF(COUNTIF('Sales Entry'!D:D,A311)&gt;0,"Sold","Available")</f>
        <v>Available</v>
      </c>
    </row>
    <row r="312" spans="5:5" x14ac:dyDescent="0.3">
      <c r="E312" t="str">
        <f>IF(COUNTIF('Sales Entry'!D:D,A312)&gt;0,"Sold","Available")</f>
        <v>Available</v>
      </c>
    </row>
    <row r="313" spans="5:5" x14ac:dyDescent="0.3">
      <c r="E313" t="str">
        <f>IF(COUNTIF('Sales Entry'!D:D,A313)&gt;0,"Sold","Available")</f>
        <v>Available</v>
      </c>
    </row>
    <row r="314" spans="5:5" x14ac:dyDescent="0.3">
      <c r="E314" t="str">
        <f>IF(COUNTIF('Sales Entry'!D:D,A314)&gt;0,"Sold","Available")</f>
        <v>Available</v>
      </c>
    </row>
    <row r="315" spans="5:5" x14ac:dyDescent="0.3">
      <c r="E315" t="str">
        <f>IF(COUNTIF('Sales Entry'!D:D,A315)&gt;0,"Sold","Available")</f>
        <v>Available</v>
      </c>
    </row>
    <row r="316" spans="5:5" x14ac:dyDescent="0.3">
      <c r="E316" t="str">
        <f>IF(COUNTIF('Sales Entry'!D:D,A316)&gt;0,"Sold","Available")</f>
        <v>Available</v>
      </c>
    </row>
    <row r="317" spans="5:5" x14ac:dyDescent="0.3">
      <c r="E317" t="str">
        <f>IF(COUNTIF('Sales Entry'!D:D,A317)&gt;0,"Sold","Available")</f>
        <v>Available</v>
      </c>
    </row>
    <row r="318" spans="5:5" x14ac:dyDescent="0.3">
      <c r="E318" t="str">
        <f>IF(COUNTIF('Sales Entry'!D:D,A318)&gt;0,"Sold","Available")</f>
        <v>Available</v>
      </c>
    </row>
    <row r="319" spans="5:5" x14ac:dyDescent="0.3">
      <c r="E319" t="str">
        <f>IF(COUNTIF('Sales Entry'!D:D,A319)&gt;0,"Sold","Available")</f>
        <v>Available</v>
      </c>
    </row>
    <row r="320" spans="5:5" x14ac:dyDescent="0.3">
      <c r="E320" t="str">
        <f>IF(COUNTIF('Sales Entry'!D:D,A320)&gt;0,"Sold","Available")</f>
        <v>Available</v>
      </c>
    </row>
    <row r="321" spans="5:5" x14ac:dyDescent="0.3">
      <c r="E321" t="str">
        <f>IF(COUNTIF('Sales Entry'!D:D,A321)&gt;0,"Sold","Available")</f>
        <v>Available</v>
      </c>
    </row>
    <row r="322" spans="5:5" x14ac:dyDescent="0.3">
      <c r="E322" t="str">
        <f>IF(COUNTIF('Sales Entry'!D:D,A322)&gt;0,"Sold","Available")</f>
        <v>Available</v>
      </c>
    </row>
    <row r="323" spans="5:5" x14ac:dyDescent="0.3">
      <c r="E323" t="str">
        <f>IF(COUNTIF('Sales Entry'!D:D,A323)&gt;0,"Sold","Available")</f>
        <v>Available</v>
      </c>
    </row>
    <row r="324" spans="5:5" x14ac:dyDescent="0.3">
      <c r="E324" t="str">
        <f>IF(COUNTIF('Sales Entry'!D:D,A324)&gt;0,"Sold","Available")</f>
        <v>Available</v>
      </c>
    </row>
    <row r="325" spans="5:5" x14ac:dyDescent="0.3">
      <c r="E325" t="str">
        <f>IF(COUNTIF('Sales Entry'!D:D,A325)&gt;0,"Sold","Available")</f>
        <v>Available</v>
      </c>
    </row>
    <row r="326" spans="5:5" x14ac:dyDescent="0.3">
      <c r="E326" t="str">
        <f>IF(COUNTIF('Sales Entry'!D:D,A326)&gt;0,"Sold","Available")</f>
        <v>Available</v>
      </c>
    </row>
    <row r="327" spans="5:5" x14ac:dyDescent="0.3">
      <c r="E327" t="str">
        <f>IF(COUNTIF('Sales Entry'!D:D,A327)&gt;0,"Sold","Available")</f>
        <v>Available</v>
      </c>
    </row>
    <row r="328" spans="5:5" x14ac:dyDescent="0.3">
      <c r="E328" t="str">
        <f>IF(COUNTIF('Sales Entry'!D:D,A328)&gt;0,"Sold","Available")</f>
        <v>Available</v>
      </c>
    </row>
    <row r="329" spans="5:5" x14ac:dyDescent="0.3">
      <c r="E329" t="str">
        <f>IF(COUNTIF('Sales Entry'!D:D,A329)&gt;0,"Sold","Available")</f>
        <v>Available</v>
      </c>
    </row>
    <row r="330" spans="5:5" x14ac:dyDescent="0.3">
      <c r="E330" t="str">
        <f>IF(COUNTIF('Sales Entry'!D:D,A330)&gt;0,"Sold","Available")</f>
        <v>Available</v>
      </c>
    </row>
    <row r="331" spans="5:5" x14ac:dyDescent="0.3">
      <c r="E331" t="str">
        <f>IF(COUNTIF('Sales Entry'!D:D,A331)&gt;0,"Sold","Available")</f>
        <v>Available</v>
      </c>
    </row>
    <row r="332" spans="5:5" x14ac:dyDescent="0.3">
      <c r="E332" t="str">
        <f>IF(COUNTIF('Sales Entry'!D:D,A332)&gt;0,"Sold","Available")</f>
        <v>Available</v>
      </c>
    </row>
    <row r="333" spans="5:5" x14ac:dyDescent="0.3">
      <c r="E333" t="str">
        <f>IF(COUNTIF('Sales Entry'!D:D,A333)&gt;0,"Sold","Available")</f>
        <v>Available</v>
      </c>
    </row>
    <row r="334" spans="5:5" x14ac:dyDescent="0.3">
      <c r="E334" t="str">
        <f>IF(COUNTIF('Sales Entry'!D:D,A334)&gt;0,"Sold","Available")</f>
        <v>Available</v>
      </c>
    </row>
    <row r="335" spans="5:5" x14ac:dyDescent="0.3">
      <c r="E335" t="str">
        <f>IF(COUNTIF('Sales Entry'!D:D,A335)&gt;0,"Sold","Available")</f>
        <v>Available</v>
      </c>
    </row>
    <row r="336" spans="5:5" x14ac:dyDescent="0.3">
      <c r="E336" t="str">
        <f>IF(COUNTIF('Sales Entry'!D:D,A336)&gt;0,"Sold","Available")</f>
        <v>Available</v>
      </c>
    </row>
    <row r="337" spans="5:5" x14ac:dyDescent="0.3">
      <c r="E337" t="str">
        <f>IF(COUNTIF('Sales Entry'!D:D,A337)&gt;0,"Sold","Available")</f>
        <v>Available</v>
      </c>
    </row>
    <row r="338" spans="5:5" x14ac:dyDescent="0.3">
      <c r="E338" t="str">
        <f>IF(COUNTIF('Sales Entry'!D:D,A338)&gt;0,"Sold","Available")</f>
        <v>Available</v>
      </c>
    </row>
    <row r="339" spans="5:5" x14ac:dyDescent="0.3">
      <c r="E339" t="str">
        <f>IF(COUNTIF('Sales Entry'!D:D,A339)&gt;0,"Sold","Available")</f>
        <v>Available</v>
      </c>
    </row>
    <row r="340" spans="5:5" x14ac:dyDescent="0.3">
      <c r="E340" t="str">
        <f>IF(COUNTIF('Sales Entry'!D:D,A340)&gt;0,"Sold","Available")</f>
        <v>Available</v>
      </c>
    </row>
    <row r="341" spans="5:5" x14ac:dyDescent="0.3">
      <c r="E341" t="str">
        <f>IF(COUNTIF('Sales Entry'!D:D,A341)&gt;0,"Sold","Available")</f>
        <v>Available</v>
      </c>
    </row>
    <row r="342" spans="5:5" x14ac:dyDescent="0.3">
      <c r="E342" t="str">
        <f>IF(COUNTIF('Sales Entry'!D:D,A342)&gt;0,"Sold","Available")</f>
        <v>Available</v>
      </c>
    </row>
    <row r="343" spans="5:5" x14ac:dyDescent="0.3">
      <c r="E343" t="str">
        <f>IF(COUNTIF('Sales Entry'!D:D,A343)&gt;0,"Sold","Available")</f>
        <v>Available</v>
      </c>
    </row>
    <row r="344" spans="5:5" x14ac:dyDescent="0.3">
      <c r="E344" t="str">
        <f>IF(COUNTIF('Sales Entry'!D:D,A344)&gt;0,"Sold","Available")</f>
        <v>Available</v>
      </c>
    </row>
    <row r="345" spans="5:5" x14ac:dyDescent="0.3">
      <c r="E345" t="str">
        <f>IF(COUNTIF('Sales Entry'!D:D,A345)&gt;0,"Sold","Available")</f>
        <v>Available</v>
      </c>
    </row>
    <row r="346" spans="5:5" x14ac:dyDescent="0.3">
      <c r="E346" t="str">
        <f>IF(COUNTIF('Sales Entry'!D:D,A346)&gt;0,"Sold","Available")</f>
        <v>Available</v>
      </c>
    </row>
    <row r="347" spans="5:5" x14ac:dyDescent="0.3">
      <c r="E347" t="str">
        <f>IF(COUNTIF('Sales Entry'!D:D,A347)&gt;0,"Sold","Available")</f>
        <v>Available</v>
      </c>
    </row>
    <row r="348" spans="5:5" x14ac:dyDescent="0.3">
      <c r="E348" t="str">
        <f>IF(COUNTIF('Sales Entry'!D:D,A348)&gt;0,"Sold","Available")</f>
        <v>Available</v>
      </c>
    </row>
    <row r="349" spans="5:5" x14ac:dyDescent="0.3">
      <c r="E349" t="str">
        <f>IF(COUNTIF('Sales Entry'!D:D,A349)&gt;0,"Sold","Available")</f>
        <v>Available</v>
      </c>
    </row>
    <row r="350" spans="5:5" x14ac:dyDescent="0.3">
      <c r="E350" t="str">
        <f>IF(COUNTIF('Sales Entry'!D:D,A350)&gt;0,"Sold","Available")</f>
        <v>Available</v>
      </c>
    </row>
    <row r="351" spans="5:5" x14ac:dyDescent="0.3">
      <c r="E351" t="str">
        <f>IF(COUNTIF('Sales Entry'!D:D,A351)&gt;0,"Sold","Available")</f>
        <v>Available</v>
      </c>
    </row>
    <row r="352" spans="5:5" x14ac:dyDescent="0.3">
      <c r="E352" t="str">
        <f>IF(COUNTIF('Sales Entry'!D:D,A352)&gt;0,"Sold","Available")</f>
        <v>Available</v>
      </c>
    </row>
    <row r="353" spans="5:5" x14ac:dyDescent="0.3">
      <c r="E353" t="str">
        <f>IF(COUNTIF('Sales Entry'!D:D,A353)&gt;0,"Sold","Available")</f>
        <v>Available</v>
      </c>
    </row>
    <row r="354" spans="5:5" x14ac:dyDescent="0.3">
      <c r="E354" t="str">
        <f>IF(COUNTIF('Sales Entry'!D:D,A354)&gt;0,"Sold","Available")</f>
        <v>Available</v>
      </c>
    </row>
    <row r="355" spans="5:5" x14ac:dyDescent="0.3">
      <c r="E355" t="str">
        <f>IF(COUNTIF('Sales Entry'!D:D,A355)&gt;0,"Sold","Available")</f>
        <v>Available</v>
      </c>
    </row>
    <row r="356" spans="5:5" x14ac:dyDescent="0.3">
      <c r="E356" t="str">
        <f>IF(COUNTIF('Sales Entry'!D:D,A356)&gt;0,"Sold","Available")</f>
        <v>Available</v>
      </c>
    </row>
    <row r="357" spans="5:5" x14ac:dyDescent="0.3">
      <c r="E357" t="str">
        <f>IF(COUNTIF('Sales Entry'!D:D,A357)&gt;0,"Sold","Available")</f>
        <v>Available</v>
      </c>
    </row>
    <row r="358" spans="5:5" x14ac:dyDescent="0.3">
      <c r="E358" t="str">
        <f>IF(COUNTIF('Sales Entry'!D:D,A358)&gt;0,"Sold","Available")</f>
        <v>Available</v>
      </c>
    </row>
    <row r="359" spans="5:5" x14ac:dyDescent="0.3">
      <c r="E359" t="str">
        <f>IF(COUNTIF('Sales Entry'!D:D,A359)&gt;0,"Sold","Available")</f>
        <v>Available</v>
      </c>
    </row>
    <row r="360" spans="5:5" x14ac:dyDescent="0.3">
      <c r="E360" t="str">
        <f>IF(COUNTIF('Sales Entry'!D:D,A360)&gt;0,"Sold","Available")</f>
        <v>Available</v>
      </c>
    </row>
    <row r="361" spans="5:5" x14ac:dyDescent="0.3">
      <c r="E361" t="str">
        <f>IF(COUNTIF('Sales Entry'!D:D,A361)&gt;0,"Sold","Available")</f>
        <v>Available</v>
      </c>
    </row>
    <row r="362" spans="5:5" x14ac:dyDescent="0.3">
      <c r="E362" t="str">
        <f>IF(COUNTIF('Sales Entry'!D:D,A362)&gt;0,"Sold","Available")</f>
        <v>Available</v>
      </c>
    </row>
    <row r="363" spans="5:5" x14ac:dyDescent="0.3">
      <c r="E363" t="str">
        <f>IF(COUNTIF('Sales Entry'!D:D,A363)&gt;0,"Sold","Available")</f>
        <v>Available</v>
      </c>
    </row>
    <row r="364" spans="5:5" x14ac:dyDescent="0.3">
      <c r="E364" t="str">
        <f>IF(COUNTIF('Sales Entry'!D:D,A364)&gt;0,"Sold","Available")</f>
        <v>Available</v>
      </c>
    </row>
    <row r="365" spans="5:5" x14ac:dyDescent="0.3">
      <c r="E365" t="str">
        <f>IF(COUNTIF('Sales Entry'!D:D,A365)&gt;0,"Sold","Available")</f>
        <v>Available</v>
      </c>
    </row>
    <row r="366" spans="5:5" x14ac:dyDescent="0.3">
      <c r="E366" t="str">
        <f>IF(COUNTIF('Sales Entry'!D:D,A366)&gt;0,"Sold","Available")</f>
        <v>Available</v>
      </c>
    </row>
    <row r="367" spans="5:5" x14ac:dyDescent="0.3">
      <c r="E367" t="str">
        <f>IF(COUNTIF('Sales Entry'!D:D,A367)&gt;0,"Sold","Available")</f>
        <v>Available</v>
      </c>
    </row>
    <row r="368" spans="5:5" x14ac:dyDescent="0.3">
      <c r="E368" t="str">
        <f>IF(COUNTIF('Sales Entry'!D:D,A368)&gt;0,"Sold","Available")</f>
        <v>Available</v>
      </c>
    </row>
    <row r="369" spans="5:5" x14ac:dyDescent="0.3">
      <c r="E369" t="str">
        <f>IF(COUNTIF('Sales Entry'!D:D,A369)&gt;0,"Sold","Available")</f>
        <v>Available</v>
      </c>
    </row>
    <row r="370" spans="5:5" x14ac:dyDescent="0.3">
      <c r="E370" t="str">
        <f>IF(COUNTIF('Sales Entry'!D:D,A370)&gt;0,"Sold","Available")</f>
        <v>Available</v>
      </c>
    </row>
    <row r="371" spans="5:5" x14ac:dyDescent="0.3">
      <c r="E371" t="str">
        <f>IF(COUNTIF('Sales Entry'!D:D,A371)&gt;0,"Sold","Available")</f>
        <v>Available</v>
      </c>
    </row>
    <row r="372" spans="5:5" x14ac:dyDescent="0.3">
      <c r="E372" t="str">
        <f>IF(COUNTIF('Sales Entry'!D:D,A372)&gt;0,"Sold","Available")</f>
        <v>Available</v>
      </c>
    </row>
    <row r="373" spans="5:5" x14ac:dyDescent="0.3">
      <c r="E373" t="str">
        <f>IF(COUNTIF('Sales Entry'!D:D,A373)&gt;0,"Sold","Available")</f>
        <v>Available</v>
      </c>
    </row>
    <row r="374" spans="5:5" x14ac:dyDescent="0.3">
      <c r="E374" t="str">
        <f>IF(COUNTIF('Sales Entry'!D:D,A374)&gt;0,"Sold","Available")</f>
        <v>Available</v>
      </c>
    </row>
    <row r="375" spans="5:5" x14ac:dyDescent="0.3">
      <c r="E375" t="str">
        <f>IF(COUNTIF('Sales Entry'!D:D,A375)&gt;0,"Sold","Available")</f>
        <v>Available</v>
      </c>
    </row>
    <row r="376" spans="5:5" x14ac:dyDescent="0.3">
      <c r="E376" t="str">
        <f>IF(COUNTIF('Sales Entry'!D:D,A376)&gt;0,"Sold","Available")</f>
        <v>Available</v>
      </c>
    </row>
    <row r="377" spans="5:5" x14ac:dyDescent="0.3">
      <c r="E377" t="str">
        <f>IF(COUNTIF('Sales Entry'!D:D,A377)&gt;0,"Sold","Available")</f>
        <v>Available</v>
      </c>
    </row>
    <row r="378" spans="5:5" x14ac:dyDescent="0.3">
      <c r="E378" t="str">
        <f>IF(COUNTIF('Sales Entry'!D:D,A378)&gt;0,"Sold","Available")</f>
        <v>Available</v>
      </c>
    </row>
    <row r="379" spans="5:5" x14ac:dyDescent="0.3">
      <c r="E379" t="str">
        <f>IF(COUNTIF('Sales Entry'!D:D,A379)&gt;0,"Sold","Available")</f>
        <v>Available</v>
      </c>
    </row>
    <row r="380" spans="5:5" x14ac:dyDescent="0.3">
      <c r="E380" t="str">
        <f>IF(COUNTIF('Sales Entry'!D:D,A380)&gt;0,"Sold","Available")</f>
        <v>Available</v>
      </c>
    </row>
    <row r="381" spans="5:5" x14ac:dyDescent="0.3">
      <c r="E381" t="str">
        <f>IF(COUNTIF('Sales Entry'!D:D,A381)&gt;0,"Sold","Available")</f>
        <v>Available</v>
      </c>
    </row>
    <row r="382" spans="5:5" x14ac:dyDescent="0.3">
      <c r="E382" t="str">
        <f>IF(COUNTIF('Sales Entry'!D:D,A382)&gt;0,"Sold","Available")</f>
        <v>Available</v>
      </c>
    </row>
    <row r="383" spans="5:5" x14ac:dyDescent="0.3">
      <c r="E383" t="str">
        <f>IF(COUNTIF('Sales Entry'!D:D,A383)&gt;0,"Sold","Available")</f>
        <v>Available</v>
      </c>
    </row>
    <row r="384" spans="5:5" x14ac:dyDescent="0.3">
      <c r="E384" t="str">
        <f>IF(COUNTIF('Sales Entry'!D:D,A384)&gt;0,"Sold","Available")</f>
        <v>Available</v>
      </c>
    </row>
    <row r="385" spans="5:5" x14ac:dyDescent="0.3">
      <c r="E385" t="str">
        <f>IF(COUNTIF('Sales Entry'!D:D,A385)&gt;0,"Sold","Available")</f>
        <v>Available</v>
      </c>
    </row>
    <row r="386" spans="5:5" x14ac:dyDescent="0.3">
      <c r="E386" t="str">
        <f>IF(COUNTIF('Sales Entry'!D:D,A386)&gt;0,"Sold","Available")</f>
        <v>Available</v>
      </c>
    </row>
    <row r="387" spans="5:5" x14ac:dyDescent="0.3">
      <c r="E387" t="str">
        <f>IF(COUNTIF('Sales Entry'!D:D,A387)&gt;0,"Sold","Available")</f>
        <v>Available</v>
      </c>
    </row>
    <row r="388" spans="5:5" x14ac:dyDescent="0.3">
      <c r="E388" t="str">
        <f>IF(COUNTIF('Sales Entry'!D:D,A388)&gt;0,"Sold","Available")</f>
        <v>Available</v>
      </c>
    </row>
    <row r="389" spans="5:5" x14ac:dyDescent="0.3">
      <c r="E389" t="str">
        <f>IF(COUNTIF('Sales Entry'!D:D,A389)&gt;0,"Sold","Available")</f>
        <v>Available</v>
      </c>
    </row>
    <row r="390" spans="5:5" x14ac:dyDescent="0.3">
      <c r="E390" t="str">
        <f>IF(COUNTIF('Sales Entry'!D:D,A390)&gt;0,"Sold","Available")</f>
        <v>Available</v>
      </c>
    </row>
    <row r="391" spans="5:5" x14ac:dyDescent="0.3">
      <c r="E391" t="str">
        <f>IF(COUNTIF('Sales Entry'!D:D,A391)&gt;0,"Sold","Available")</f>
        <v>Available</v>
      </c>
    </row>
    <row r="392" spans="5:5" x14ac:dyDescent="0.3">
      <c r="E392" t="str">
        <f>IF(COUNTIF('Sales Entry'!D:D,A392)&gt;0,"Sold","Available")</f>
        <v>Available</v>
      </c>
    </row>
    <row r="393" spans="5:5" x14ac:dyDescent="0.3">
      <c r="E393" t="str">
        <f>IF(COUNTIF('Sales Entry'!D:D,A393)&gt;0,"Sold","Available")</f>
        <v>Available</v>
      </c>
    </row>
    <row r="394" spans="5:5" x14ac:dyDescent="0.3">
      <c r="E394" t="str">
        <f>IF(COUNTIF('Sales Entry'!D:D,A394)&gt;0,"Sold","Available")</f>
        <v>Available</v>
      </c>
    </row>
    <row r="395" spans="5:5" x14ac:dyDescent="0.3">
      <c r="E395" t="str">
        <f>IF(COUNTIF('Sales Entry'!D:D,A395)&gt;0,"Sold","Available")</f>
        <v>Available</v>
      </c>
    </row>
    <row r="396" spans="5:5" x14ac:dyDescent="0.3">
      <c r="E396" t="str">
        <f>IF(COUNTIF('Sales Entry'!D:D,A396)&gt;0,"Sold","Available")</f>
        <v>Available</v>
      </c>
    </row>
    <row r="397" spans="5:5" x14ac:dyDescent="0.3">
      <c r="E397" t="str">
        <f>IF(COUNTIF('Sales Entry'!D:D,A397)&gt;0,"Sold","Available")</f>
        <v>Available</v>
      </c>
    </row>
    <row r="398" spans="5:5" x14ac:dyDescent="0.3">
      <c r="E398" t="str">
        <f>IF(COUNTIF('Sales Entry'!D:D,A398)&gt;0,"Sold","Available")</f>
        <v>Available</v>
      </c>
    </row>
    <row r="399" spans="5:5" x14ac:dyDescent="0.3">
      <c r="E399" t="str">
        <f>IF(COUNTIF('Sales Entry'!D:D,A399)&gt;0,"Sold","Available")</f>
        <v>Available</v>
      </c>
    </row>
    <row r="400" spans="5:5" x14ac:dyDescent="0.3">
      <c r="E400" t="str">
        <f>IF(COUNTIF('Sales Entry'!D:D,A400)&gt;0,"Sold","Available")</f>
        <v>Available</v>
      </c>
    </row>
    <row r="401" spans="5:5" x14ac:dyDescent="0.3">
      <c r="E401" t="str">
        <f>IF(COUNTIF('Sales Entry'!D:D,A401)&gt;0,"Sold","Available")</f>
        <v>Available</v>
      </c>
    </row>
    <row r="402" spans="5:5" x14ac:dyDescent="0.3">
      <c r="E402" t="str">
        <f>IF(COUNTIF('Sales Entry'!D:D,A402)&gt;0,"Sold","Available")</f>
        <v>Available</v>
      </c>
    </row>
    <row r="403" spans="5:5" x14ac:dyDescent="0.3">
      <c r="E403" t="str">
        <f>IF(COUNTIF('Sales Entry'!D:D,A403)&gt;0,"Sold","Available")</f>
        <v>Available</v>
      </c>
    </row>
    <row r="404" spans="5:5" x14ac:dyDescent="0.3">
      <c r="E404" t="str">
        <f>IF(COUNTIF('Sales Entry'!D:D,A404)&gt;0,"Sold","Available")</f>
        <v>Available</v>
      </c>
    </row>
    <row r="405" spans="5:5" x14ac:dyDescent="0.3">
      <c r="E405" t="str">
        <f>IF(COUNTIF('Sales Entry'!D:D,A405)&gt;0,"Sold","Available")</f>
        <v>Available</v>
      </c>
    </row>
    <row r="406" spans="5:5" x14ac:dyDescent="0.3">
      <c r="E406" t="str">
        <f>IF(COUNTIF('Sales Entry'!D:D,A406)&gt;0,"Sold","Available")</f>
        <v>Available</v>
      </c>
    </row>
    <row r="407" spans="5:5" x14ac:dyDescent="0.3">
      <c r="E407" t="str">
        <f>IF(COUNTIF('Sales Entry'!D:D,A407)&gt;0,"Sold","Available")</f>
        <v>Available</v>
      </c>
    </row>
    <row r="408" spans="5:5" x14ac:dyDescent="0.3">
      <c r="E408" t="str">
        <f>IF(COUNTIF('Sales Entry'!D:D,A408)&gt;0,"Sold","Available")</f>
        <v>Available</v>
      </c>
    </row>
    <row r="409" spans="5:5" x14ac:dyDescent="0.3">
      <c r="E409" t="str">
        <f>IF(COUNTIF('Sales Entry'!D:D,A409)&gt;0,"Sold","Available")</f>
        <v>Available</v>
      </c>
    </row>
    <row r="410" spans="5:5" x14ac:dyDescent="0.3">
      <c r="E410" t="str">
        <f>IF(COUNTIF('Sales Entry'!D:D,A410)&gt;0,"Sold","Available")</f>
        <v>Available</v>
      </c>
    </row>
    <row r="411" spans="5:5" x14ac:dyDescent="0.3">
      <c r="E411" t="str">
        <f>IF(COUNTIF('Sales Entry'!D:D,A411)&gt;0,"Sold","Available")</f>
        <v>Available</v>
      </c>
    </row>
    <row r="412" spans="5:5" x14ac:dyDescent="0.3">
      <c r="E412" t="str">
        <f>IF(COUNTIF('Sales Entry'!D:D,A412)&gt;0,"Sold","Available")</f>
        <v>Available</v>
      </c>
    </row>
    <row r="413" spans="5:5" x14ac:dyDescent="0.3">
      <c r="E413" t="str">
        <f>IF(COUNTIF('Sales Entry'!D:D,A413)&gt;0,"Sold","Available")</f>
        <v>Available</v>
      </c>
    </row>
    <row r="414" spans="5:5" x14ac:dyDescent="0.3">
      <c r="E414" t="str">
        <f>IF(COUNTIF('Sales Entry'!D:D,A414)&gt;0,"Sold","Available")</f>
        <v>Available</v>
      </c>
    </row>
    <row r="415" spans="5:5" x14ac:dyDescent="0.3">
      <c r="E415" t="str">
        <f>IF(COUNTIF('Sales Entry'!D:D,A415)&gt;0,"Sold","Available")</f>
        <v>Available</v>
      </c>
    </row>
    <row r="416" spans="5:5" x14ac:dyDescent="0.3">
      <c r="E416" t="str">
        <f>IF(COUNTIF('Sales Entry'!D:D,A416)&gt;0,"Sold","Available")</f>
        <v>Available</v>
      </c>
    </row>
    <row r="417" spans="5:5" x14ac:dyDescent="0.3">
      <c r="E417" t="str">
        <f>IF(COUNTIF('Sales Entry'!D:D,A417)&gt;0,"Sold","Available")</f>
        <v>Available</v>
      </c>
    </row>
    <row r="418" spans="5:5" x14ac:dyDescent="0.3">
      <c r="E418" t="str">
        <f>IF(COUNTIF('Sales Entry'!D:D,A418)&gt;0,"Sold","Available")</f>
        <v>Available</v>
      </c>
    </row>
    <row r="419" spans="5:5" x14ac:dyDescent="0.3">
      <c r="E419" t="str">
        <f>IF(COUNTIF('Sales Entry'!D:D,A419)&gt;0,"Sold","Available")</f>
        <v>Available</v>
      </c>
    </row>
    <row r="420" spans="5:5" x14ac:dyDescent="0.3">
      <c r="E420" t="str">
        <f>IF(COUNTIF('Sales Entry'!D:D,A420)&gt;0,"Sold","Available")</f>
        <v>Available</v>
      </c>
    </row>
    <row r="421" spans="5:5" x14ac:dyDescent="0.3">
      <c r="E421" t="str">
        <f>IF(COUNTIF('Sales Entry'!D:D,A421)&gt;0,"Sold","Available")</f>
        <v>Available</v>
      </c>
    </row>
    <row r="422" spans="5:5" x14ac:dyDescent="0.3">
      <c r="E422" t="str">
        <f>IF(COUNTIF('Sales Entry'!D:D,A422)&gt;0,"Sold","Available")</f>
        <v>Available</v>
      </c>
    </row>
    <row r="423" spans="5:5" x14ac:dyDescent="0.3">
      <c r="E423" t="str">
        <f>IF(COUNTIF('Sales Entry'!D:D,A423)&gt;0,"Sold","Available")</f>
        <v>Available</v>
      </c>
    </row>
    <row r="424" spans="5:5" x14ac:dyDescent="0.3">
      <c r="E424" t="str">
        <f>IF(COUNTIF('Sales Entry'!D:D,A424)&gt;0,"Sold","Available")</f>
        <v>Available</v>
      </c>
    </row>
    <row r="425" spans="5:5" x14ac:dyDescent="0.3">
      <c r="E425" t="str">
        <f>IF(COUNTIF('Sales Entry'!D:D,A425)&gt;0,"Sold","Available")</f>
        <v>Available</v>
      </c>
    </row>
    <row r="426" spans="5:5" x14ac:dyDescent="0.3">
      <c r="E426" t="str">
        <f>IF(COUNTIF('Sales Entry'!D:D,A426)&gt;0,"Sold","Available")</f>
        <v>Available</v>
      </c>
    </row>
    <row r="427" spans="5:5" x14ac:dyDescent="0.3">
      <c r="E427" t="str">
        <f>IF(COUNTIF('Sales Entry'!D:D,A427)&gt;0,"Sold","Available")</f>
        <v>Available</v>
      </c>
    </row>
    <row r="428" spans="5:5" x14ac:dyDescent="0.3">
      <c r="E428" t="str">
        <f>IF(COUNTIF('Sales Entry'!D:D,A428)&gt;0,"Sold","Available")</f>
        <v>Available</v>
      </c>
    </row>
    <row r="429" spans="5:5" x14ac:dyDescent="0.3">
      <c r="E429" t="str">
        <f>IF(COUNTIF('Sales Entry'!D:D,A429)&gt;0,"Sold","Available")</f>
        <v>Available</v>
      </c>
    </row>
    <row r="430" spans="5:5" x14ac:dyDescent="0.3">
      <c r="E430" t="str">
        <f>IF(COUNTIF('Sales Entry'!D:D,A430)&gt;0,"Sold","Available")</f>
        <v>Available</v>
      </c>
    </row>
    <row r="431" spans="5:5" x14ac:dyDescent="0.3">
      <c r="E431" t="str">
        <f>IF(COUNTIF('Sales Entry'!D:D,A431)&gt;0,"Sold","Available")</f>
        <v>Available</v>
      </c>
    </row>
    <row r="432" spans="5:5" x14ac:dyDescent="0.3">
      <c r="E432" t="str">
        <f>IF(COUNTIF('Sales Entry'!D:D,A432)&gt;0,"Sold","Available")</f>
        <v>Available</v>
      </c>
    </row>
    <row r="433" spans="5:5" x14ac:dyDescent="0.3">
      <c r="E433" t="str">
        <f>IF(COUNTIF('Sales Entry'!D:D,A433)&gt;0,"Sold","Available")</f>
        <v>Available</v>
      </c>
    </row>
    <row r="434" spans="5:5" x14ac:dyDescent="0.3">
      <c r="E434" t="str">
        <f>IF(COUNTIF('Sales Entry'!D:D,A434)&gt;0,"Sold","Available")</f>
        <v>Available</v>
      </c>
    </row>
    <row r="435" spans="5:5" x14ac:dyDescent="0.3">
      <c r="E435" t="str">
        <f>IF(COUNTIF('Sales Entry'!D:D,A435)&gt;0,"Sold","Available")</f>
        <v>Available</v>
      </c>
    </row>
    <row r="436" spans="5:5" x14ac:dyDescent="0.3">
      <c r="E436" t="str">
        <f>IF(COUNTIF('Sales Entry'!D:D,A436)&gt;0,"Sold","Available")</f>
        <v>Available</v>
      </c>
    </row>
    <row r="437" spans="5:5" x14ac:dyDescent="0.3">
      <c r="E437" t="str">
        <f>IF(COUNTIF('Sales Entry'!D:D,A437)&gt;0,"Sold","Available")</f>
        <v>Available</v>
      </c>
    </row>
    <row r="438" spans="5:5" x14ac:dyDescent="0.3">
      <c r="E438" t="str">
        <f>IF(COUNTIF('Sales Entry'!D:D,A438)&gt;0,"Sold","Available")</f>
        <v>Available</v>
      </c>
    </row>
    <row r="439" spans="5:5" x14ac:dyDescent="0.3">
      <c r="E439" t="str">
        <f>IF(COUNTIF('Sales Entry'!D:D,A439)&gt;0,"Sold","Available")</f>
        <v>Available</v>
      </c>
    </row>
    <row r="440" spans="5:5" x14ac:dyDescent="0.3">
      <c r="E440" t="str">
        <f>IF(COUNTIF('Sales Entry'!D:D,A440)&gt;0,"Sold","Available")</f>
        <v>Available</v>
      </c>
    </row>
    <row r="441" spans="5:5" x14ac:dyDescent="0.3">
      <c r="E441" t="str">
        <f>IF(COUNTIF('Sales Entry'!D:D,A441)&gt;0,"Sold","Available")</f>
        <v>Available</v>
      </c>
    </row>
    <row r="442" spans="5:5" x14ac:dyDescent="0.3">
      <c r="E442" t="str">
        <f>IF(COUNTIF('Sales Entry'!D:D,A442)&gt;0,"Sold","Available")</f>
        <v>Available</v>
      </c>
    </row>
    <row r="443" spans="5:5" x14ac:dyDescent="0.3">
      <c r="E443" t="str">
        <f>IF(COUNTIF('Sales Entry'!D:D,A443)&gt;0,"Sold","Available")</f>
        <v>Available</v>
      </c>
    </row>
    <row r="444" spans="5:5" x14ac:dyDescent="0.3">
      <c r="E444" t="str">
        <f>IF(COUNTIF('Sales Entry'!D:D,A444)&gt;0,"Sold","Available")</f>
        <v>Available</v>
      </c>
    </row>
    <row r="445" spans="5:5" x14ac:dyDescent="0.3">
      <c r="E445" t="str">
        <f>IF(COUNTIF('Sales Entry'!D:D,A445)&gt;0,"Sold","Available")</f>
        <v>Available</v>
      </c>
    </row>
    <row r="446" spans="5:5" x14ac:dyDescent="0.3">
      <c r="E446" t="str">
        <f>IF(COUNTIF('Sales Entry'!D:D,A446)&gt;0,"Sold","Available")</f>
        <v>Available</v>
      </c>
    </row>
    <row r="447" spans="5:5" x14ac:dyDescent="0.3">
      <c r="E447" t="str">
        <f>IF(COUNTIF('Sales Entry'!D:D,A447)&gt;0,"Sold","Available")</f>
        <v>Available</v>
      </c>
    </row>
    <row r="448" spans="5:5" x14ac:dyDescent="0.3">
      <c r="E448" t="str">
        <f>IF(COUNTIF('Sales Entry'!D:D,A448)&gt;0,"Sold","Available")</f>
        <v>Available</v>
      </c>
    </row>
    <row r="449" spans="5:5" x14ac:dyDescent="0.3">
      <c r="E449" t="str">
        <f>IF(COUNTIF('Sales Entry'!D:D,A449)&gt;0,"Sold","Available")</f>
        <v>Available</v>
      </c>
    </row>
    <row r="450" spans="5:5" x14ac:dyDescent="0.3">
      <c r="E450" t="str">
        <f>IF(COUNTIF('Sales Entry'!D:D,A450)&gt;0,"Sold","Available")</f>
        <v>Available</v>
      </c>
    </row>
    <row r="451" spans="5:5" x14ac:dyDescent="0.3">
      <c r="E451" t="str">
        <f>IF(COUNTIF('Sales Entry'!D:D,A451)&gt;0,"Sold","Available")</f>
        <v>Available</v>
      </c>
    </row>
    <row r="452" spans="5:5" x14ac:dyDescent="0.3">
      <c r="E452" t="str">
        <f>IF(COUNTIF('Sales Entry'!D:D,A452)&gt;0,"Sold","Available")</f>
        <v>Available</v>
      </c>
    </row>
    <row r="453" spans="5:5" x14ac:dyDescent="0.3">
      <c r="E453" t="str">
        <f>IF(COUNTIF('Sales Entry'!D:D,A453)&gt;0,"Sold","Available")</f>
        <v>Available</v>
      </c>
    </row>
    <row r="454" spans="5:5" x14ac:dyDescent="0.3">
      <c r="E454" t="str">
        <f>IF(COUNTIF('Sales Entry'!D:D,A454)&gt;0,"Sold","Available")</f>
        <v>Available</v>
      </c>
    </row>
    <row r="455" spans="5:5" x14ac:dyDescent="0.3">
      <c r="E455" t="str">
        <f>IF(COUNTIF('Sales Entry'!D:D,A455)&gt;0,"Sold","Available")</f>
        <v>Available</v>
      </c>
    </row>
    <row r="456" spans="5:5" x14ac:dyDescent="0.3">
      <c r="E456" t="str">
        <f>IF(COUNTIF('Sales Entry'!D:D,A456)&gt;0,"Sold","Available")</f>
        <v>Available</v>
      </c>
    </row>
    <row r="457" spans="5:5" x14ac:dyDescent="0.3">
      <c r="E457" t="str">
        <f>IF(COUNTIF('Sales Entry'!D:D,A457)&gt;0,"Sold","Available")</f>
        <v>Available</v>
      </c>
    </row>
    <row r="458" spans="5:5" x14ac:dyDescent="0.3">
      <c r="E458" t="str">
        <f>IF(COUNTIF('Sales Entry'!D:D,A458)&gt;0,"Sold","Available")</f>
        <v>Available</v>
      </c>
    </row>
    <row r="459" spans="5:5" x14ac:dyDescent="0.3">
      <c r="E459" t="str">
        <f>IF(COUNTIF('Sales Entry'!D:D,A459)&gt;0,"Sold","Available")</f>
        <v>Available</v>
      </c>
    </row>
    <row r="460" spans="5:5" x14ac:dyDescent="0.3">
      <c r="E460" t="str">
        <f>IF(COUNTIF('Sales Entry'!D:D,A460)&gt;0,"Sold","Available")</f>
        <v>Available</v>
      </c>
    </row>
    <row r="461" spans="5:5" x14ac:dyDescent="0.3">
      <c r="E461" t="str">
        <f>IF(COUNTIF('Sales Entry'!D:D,A461)&gt;0,"Sold","Available")</f>
        <v>Available</v>
      </c>
    </row>
    <row r="462" spans="5:5" x14ac:dyDescent="0.3">
      <c r="E462" t="str">
        <f>IF(COUNTIF('Sales Entry'!D:D,A462)&gt;0,"Sold","Available")</f>
        <v>Available</v>
      </c>
    </row>
    <row r="463" spans="5:5" x14ac:dyDescent="0.3">
      <c r="E463" t="str">
        <f>IF(COUNTIF('Sales Entry'!D:D,A463)&gt;0,"Sold","Available")</f>
        <v>Available</v>
      </c>
    </row>
    <row r="464" spans="5:5" x14ac:dyDescent="0.3">
      <c r="E464" t="str">
        <f>IF(COUNTIF('Sales Entry'!D:D,A464)&gt;0,"Sold","Available")</f>
        <v>Available</v>
      </c>
    </row>
    <row r="465" spans="5:5" x14ac:dyDescent="0.3">
      <c r="E465" t="str">
        <f>IF(COUNTIF('Sales Entry'!D:D,A465)&gt;0,"Sold","Available")</f>
        <v>Available</v>
      </c>
    </row>
    <row r="466" spans="5:5" x14ac:dyDescent="0.3">
      <c r="E466" t="str">
        <f>IF(COUNTIF('Sales Entry'!D:D,A466)&gt;0,"Sold","Available")</f>
        <v>Available</v>
      </c>
    </row>
    <row r="467" spans="5:5" x14ac:dyDescent="0.3">
      <c r="E467" t="str">
        <f>IF(COUNTIF('Sales Entry'!D:D,A467)&gt;0,"Sold","Available")</f>
        <v>Available</v>
      </c>
    </row>
    <row r="468" spans="5:5" x14ac:dyDescent="0.3">
      <c r="E468" t="str">
        <f>IF(COUNTIF('Sales Entry'!D:D,A468)&gt;0,"Sold","Available")</f>
        <v>Available</v>
      </c>
    </row>
    <row r="469" spans="5:5" x14ac:dyDescent="0.3">
      <c r="E469" t="str">
        <f>IF(COUNTIF('Sales Entry'!D:D,A469)&gt;0,"Sold","Available")</f>
        <v>Available</v>
      </c>
    </row>
    <row r="470" spans="5:5" x14ac:dyDescent="0.3">
      <c r="E470" t="str">
        <f>IF(COUNTIF('Sales Entry'!D:D,A470)&gt;0,"Sold","Available")</f>
        <v>Available</v>
      </c>
    </row>
    <row r="471" spans="5:5" x14ac:dyDescent="0.3">
      <c r="E471" t="str">
        <f>IF(COUNTIF('Sales Entry'!D:D,A471)&gt;0,"Sold","Available")</f>
        <v>Available</v>
      </c>
    </row>
    <row r="472" spans="5:5" x14ac:dyDescent="0.3">
      <c r="E472" t="str">
        <f>IF(COUNTIF('Sales Entry'!D:D,A472)&gt;0,"Sold","Available")</f>
        <v>Available</v>
      </c>
    </row>
    <row r="473" spans="5:5" x14ac:dyDescent="0.3">
      <c r="E473" t="str">
        <f>IF(COUNTIF('Sales Entry'!D:D,A473)&gt;0,"Sold","Available")</f>
        <v>Available</v>
      </c>
    </row>
    <row r="474" spans="5:5" x14ac:dyDescent="0.3">
      <c r="E474" t="str">
        <f>IF(COUNTIF('Sales Entry'!D:D,A474)&gt;0,"Sold","Available")</f>
        <v>Available</v>
      </c>
    </row>
    <row r="475" spans="5:5" x14ac:dyDescent="0.3">
      <c r="E475" t="str">
        <f>IF(COUNTIF('Sales Entry'!D:D,A475)&gt;0,"Sold","Available")</f>
        <v>Available</v>
      </c>
    </row>
    <row r="476" spans="5:5" x14ac:dyDescent="0.3">
      <c r="E476" t="str">
        <f>IF(COUNTIF('Sales Entry'!D:D,A476)&gt;0,"Sold","Available")</f>
        <v>Available</v>
      </c>
    </row>
    <row r="477" spans="5:5" x14ac:dyDescent="0.3">
      <c r="E477" t="str">
        <f>IF(COUNTIF('Sales Entry'!D:D,A477)&gt;0,"Sold","Available")</f>
        <v>Available</v>
      </c>
    </row>
    <row r="478" spans="5:5" x14ac:dyDescent="0.3">
      <c r="E478" t="str">
        <f>IF(COUNTIF('Sales Entry'!D:D,A478)&gt;0,"Sold","Available")</f>
        <v>Available</v>
      </c>
    </row>
    <row r="479" spans="5:5" x14ac:dyDescent="0.3">
      <c r="E479" t="str">
        <f>IF(COUNTIF('Sales Entry'!D:D,A479)&gt;0,"Sold","Available")</f>
        <v>Available</v>
      </c>
    </row>
    <row r="480" spans="5:5" x14ac:dyDescent="0.3">
      <c r="E480" t="str">
        <f>IF(COUNTIF('Sales Entry'!D:D,A480)&gt;0,"Sold","Available")</f>
        <v>Available</v>
      </c>
    </row>
    <row r="481" spans="5:5" x14ac:dyDescent="0.3">
      <c r="E481" t="str">
        <f>IF(COUNTIF('Sales Entry'!D:D,A481)&gt;0,"Sold","Available")</f>
        <v>Available</v>
      </c>
    </row>
    <row r="482" spans="5:5" x14ac:dyDescent="0.3">
      <c r="E482" t="str">
        <f>IF(COUNTIF('Sales Entry'!D:D,A482)&gt;0,"Sold","Available")</f>
        <v>Available</v>
      </c>
    </row>
    <row r="483" spans="5:5" x14ac:dyDescent="0.3">
      <c r="E483" t="str">
        <f>IF(COUNTIF('Sales Entry'!D:D,A483)&gt;0,"Sold","Available")</f>
        <v>Available</v>
      </c>
    </row>
    <row r="484" spans="5:5" x14ac:dyDescent="0.3">
      <c r="E484" t="str">
        <f>IF(COUNTIF('Sales Entry'!D:D,A484)&gt;0,"Sold","Available")</f>
        <v>Available</v>
      </c>
    </row>
    <row r="485" spans="5:5" x14ac:dyDescent="0.3">
      <c r="E485" t="str">
        <f>IF(COUNTIF('Sales Entry'!D:D,A485)&gt;0,"Sold","Available")</f>
        <v>Available</v>
      </c>
    </row>
    <row r="486" spans="5:5" x14ac:dyDescent="0.3">
      <c r="E486" t="str">
        <f>IF(COUNTIF('Sales Entry'!D:D,A486)&gt;0,"Sold","Available")</f>
        <v>Available</v>
      </c>
    </row>
    <row r="487" spans="5:5" x14ac:dyDescent="0.3">
      <c r="E487" t="str">
        <f>IF(COUNTIF('Sales Entry'!D:D,A487)&gt;0,"Sold","Available")</f>
        <v>Available</v>
      </c>
    </row>
    <row r="488" spans="5:5" x14ac:dyDescent="0.3">
      <c r="E488" t="str">
        <f>IF(COUNTIF('Sales Entry'!D:D,A488)&gt;0,"Sold","Available")</f>
        <v>Available</v>
      </c>
    </row>
    <row r="489" spans="5:5" x14ac:dyDescent="0.3">
      <c r="E489" t="str">
        <f>IF(COUNTIF('Sales Entry'!D:D,A489)&gt;0,"Sold","Available")</f>
        <v>Available</v>
      </c>
    </row>
    <row r="490" spans="5:5" x14ac:dyDescent="0.3">
      <c r="E490" t="str">
        <f>IF(COUNTIF('Sales Entry'!D:D,A490)&gt;0,"Sold","Available")</f>
        <v>Available</v>
      </c>
    </row>
    <row r="491" spans="5:5" x14ac:dyDescent="0.3">
      <c r="E491" t="str">
        <f>IF(COUNTIF('Sales Entry'!D:D,A491)&gt;0,"Sold","Available")</f>
        <v>Available</v>
      </c>
    </row>
    <row r="492" spans="5:5" x14ac:dyDescent="0.3">
      <c r="E492" t="str">
        <f>IF(COUNTIF('Sales Entry'!D:D,A492)&gt;0,"Sold","Available")</f>
        <v>Available</v>
      </c>
    </row>
    <row r="493" spans="5:5" x14ac:dyDescent="0.3">
      <c r="E493" t="str">
        <f>IF(COUNTIF('Sales Entry'!D:D,A493)&gt;0,"Sold","Available")</f>
        <v>Available</v>
      </c>
    </row>
    <row r="494" spans="5:5" x14ac:dyDescent="0.3">
      <c r="E494" t="str">
        <f>IF(COUNTIF('Sales Entry'!D:D,A494)&gt;0,"Sold","Available")</f>
        <v>Available</v>
      </c>
    </row>
    <row r="495" spans="5:5" x14ac:dyDescent="0.3">
      <c r="E495" t="str">
        <f>IF(COUNTIF('Sales Entry'!D:D,A495)&gt;0,"Sold","Available")</f>
        <v>Available</v>
      </c>
    </row>
    <row r="496" spans="5:5" x14ac:dyDescent="0.3">
      <c r="E496" t="str">
        <f>IF(COUNTIF('Sales Entry'!D:D,A496)&gt;0,"Sold","Available")</f>
        <v>Available</v>
      </c>
    </row>
    <row r="497" spans="5:5" x14ac:dyDescent="0.3">
      <c r="E497" t="str">
        <f>IF(COUNTIF('Sales Entry'!D:D,A497)&gt;0,"Sold","Available")</f>
        <v>Available</v>
      </c>
    </row>
    <row r="498" spans="5:5" x14ac:dyDescent="0.3">
      <c r="E498" t="str">
        <f>IF(COUNTIF('Sales Entry'!D:D,A498)&gt;0,"Sold","Available")</f>
        <v>Available</v>
      </c>
    </row>
    <row r="499" spans="5:5" x14ac:dyDescent="0.3">
      <c r="E499" t="str">
        <f>IF(COUNTIF('Sales Entry'!D:D,A499)&gt;0,"Sold","Available")</f>
        <v>Available</v>
      </c>
    </row>
    <row r="500" spans="5:5" x14ac:dyDescent="0.3">
      <c r="E500" t="str">
        <f>IF(COUNTIF('Sales Entry'!D:D,A500)&gt;0,"Sold","Available")</f>
        <v>Available</v>
      </c>
    </row>
    <row r="501" spans="5:5" x14ac:dyDescent="0.3">
      <c r="E501" t="str">
        <f>IF(COUNTIF('Sales Entry'!D:D,A501)&gt;0,"Sold","Available")</f>
        <v>Available</v>
      </c>
    </row>
    <row r="502" spans="5:5" x14ac:dyDescent="0.3">
      <c r="E502" t="str">
        <f>IF(COUNTIF('Sales Entry'!D:D,A502)&gt;0,"Sold","Available")</f>
        <v>Available</v>
      </c>
    </row>
    <row r="503" spans="5:5" x14ac:dyDescent="0.3">
      <c r="E503" t="str">
        <f>IF(COUNTIF('Sales Entry'!D:D,A503)&gt;0,"Sold","Available")</f>
        <v>Available</v>
      </c>
    </row>
    <row r="504" spans="5:5" x14ac:dyDescent="0.3">
      <c r="E504" t="str">
        <f>IF(COUNTIF('Sales Entry'!D:D,A504)&gt;0,"Sold","Available")</f>
        <v>Available</v>
      </c>
    </row>
    <row r="505" spans="5:5" x14ac:dyDescent="0.3">
      <c r="E505" t="str">
        <f>IF(COUNTIF('Sales Entry'!D:D,A505)&gt;0,"Sold","Available")</f>
        <v>Available</v>
      </c>
    </row>
    <row r="506" spans="5:5" x14ac:dyDescent="0.3">
      <c r="E506" t="str">
        <f>IF(COUNTIF('Sales Entry'!D:D,A506)&gt;0,"Sold","Available")</f>
        <v>Available</v>
      </c>
    </row>
    <row r="507" spans="5:5" x14ac:dyDescent="0.3">
      <c r="E507" t="str">
        <f>IF(COUNTIF('Sales Entry'!D:D,A507)&gt;0,"Sold","Available")</f>
        <v>Available</v>
      </c>
    </row>
    <row r="508" spans="5:5" x14ac:dyDescent="0.3">
      <c r="E508" t="str">
        <f>IF(COUNTIF('Sales Entry'!D:D,A508)&gt;0,"Sold","Available")</f>
        <v>Available</v>
      </c>
    </row>
    <row r="509" spans="5:5" x14ac:dyDescent="0.3">
      <c r="E509" t="str">
        <f>IF(COUNTIF('Sales Entry'!D:D,A509)&gt;0,"Sold","Available")</f>
        <v>Available</v>
      </c>
    </row>
    <row r="510" spans="5:5" x14ac:dyDescent="0.3">
      <c r="E510" t="str">
        <f>IF(COUNTIF('Sales Entry'!D:D,A510)&gt;0,"Sold","Available")</f>
        <v>Available</v>
      </c>
    </row>
    <row r="511" spans="5:5" x14ac:dyDescent="0.3">
      <c r="E511" t="str">
        <f>IF(COUNTIF('Sales Entry'!D:D,A511)&gt;0,"Sold","Available")</f>
        <v>Available</v>
      </c>
    </row>
    <row r="512" spans="5:5" x14ac:dyDescent="0.3">
      <c r="E512" t="str">
        <f>IF(COUNTIF('Sales Entry'!D:D,A512)&gt;0,"Sold","Available")</f>
        <v>Available</v>
      </c>
    </row>
    <row r="513" spans="5:5" x14ac:dyDescent="0.3">
      <c r="E513" t="str">
        <f>IF(COUNTIF('Sales Entry'!D:D,A513)&gt;0,"Sold","Available")</f>
        <v>Available</v>
      </c>
    </row>
    <row r="514" spans="5:5" x14ac:dyDescent="0.3">
      <c r="E514" t="str">
        <f>IF(COUNTIF('Sales Entry'!D:D,A514)&gt;0,"Sold","Available")</f>
        <v>Available</v>
      </c>
    </row>
    <row r="515" spans="5:5" x14ac:dyDescent="0.3">
      <c r="E515" t="str">
        <f>IF(COUNTIF('Sales Entry'!D:D,A515)&gt;0,"Sold","Available")</f>
        <v>Available</v>
      </c>
    </row>
    <row r="516" spans="5:5" x14ac:dyDescent="0.3">
      <c r="E516" t="str">
        <f>IF(COUNTIF('Sales Entry'!D:D,A516)&gt;0,"Sold","Available")</f>
        <v>Available</v>
      </c>
    </row>
    <row r="517" spans="5:5" x14ac:dyDescent="0.3">
      <c r="E517" t="str">
        <f>IF(COUNTIF('Sales Entry'!D:D,A517)&gt;0,"Sold","Available")</f>
        <v>Available</v>
      </c>
    </row>
    <row r="518" spans="5:5" x14ac:dyDescent="0.3">
      <c r="E518" t="str">
        <f>IF(COUNTIF('Sales Entry'!D:D,A518)&gt;0,"Sold","Available")</f>
        <v>Available</v>
      </c>
    </row>
    <row r="519" spans="5:5" x14ac:dyDescent="0.3">
      <c r="E519" t="str">
        <f>IF(COUNTIF('Sales Entry'!D:D,A519)&gt;0,"Sold","Available")</f>
        <v>Available</v>
      </c>
    </row>
    <row r="520" spans="5:5" x14ac:dyDescent="0.3">
      <c r="E520" t="str">
        <f>IF(COUNTIF('Sales Entry'!D:D,A520)&gt;0,"Sold","Available")</f>
        <v>Available</v>
      </c>
    </row>
    <row r="521" spans="5:5" x14ac:dyDescent="0.3">
      <c r="E521" t="str">
        <f>IF(COUNTIF('Sales Entry'!D:D,A521)&gt;0,"Sold","Available")</f>
        <v>Available</v>
      </c>
    </row>
    <row r="522" spans="5:5" x14ac:dyDescent="0.3">
      <c r="E522" t="str">
        <f>IF(COUNTIF('Sales Entry'!D:D,A522)&gt;0,"Sold","Available")</f>
        <v>Available</v>
      </c>
    </row>
    <row r="523" spans="5:5" x14ac:dyDescent="0.3">
      <c r="E523" t="str">
        <f>IF(COUNTIF('Sales Entry'!D:D,A523)&gt;0,"Sold","Available")</f>
        <v>Available</v>
      </c>
    </row>
    <row r="524" spans="5:5" x14ac:dyDescent="0.3">
      <c r="E524" t="str">
        <f>IF(COUNTIF('Sales Entry'!D:D,A524)&gt;0,"Sold","Available")</f>
        <v>Available</v>
      </c>
    </row>
    <row r="525" spans="5:5" x14ac:dyDescent="0.3">
      <c r="E525" t="str">
        <f>IF(COUNTIF('Sales Entry'!D:D,A525)&gt;0,"Sold","Available")</f>
        <v>Available</v>
      </c>
    </row>
    <row r="526" spans="5:5" x14ac:dyDescent="0.3">
      <c r="E526" t="str">
        <f>IF(COUNTIF('Sales Entry'!D:D,A526)&gt;0,"Sold","Available")</f>
        <v>Available</v>
      </c>
    </row>
    <row r="527" spans="5:5" x14ac:dyDescent="0.3">
      <c r="E527" t="str">
        <f>IF(COUNTIF('Sales Entry'!D:D,A527)&gt;0,"Sold","Available")</f>
        <v>Available</v>
      </c>
    </row>
    <row r="528" spans="5:5" x14ac:dyDescent="0.3">
      <c r="E528" t="str">
        <f>IF(COUNTIF('Sales Entry'!D:D,A528)&gt;0,"Sold","Available")</f>
        <v>Available</v>
      </c>
    </row>
    <row r="529" spans="5:5" x14ac:dyDescent="0.3">
      <c r="E529" t="str">
        <f>IF(COUNTIF('Sales Entry'!D:D,A529)&gt;0,"Sold","Available")</f>
        <v>Available</v>
      </c>
    </row>
    <row r="530" spans="5:5" x14ac:dyDescent="0.3">
      <c r="E530" t="str">
        <f>IF(COUNTIF('Sales Entry'!D:D,A530)&gt;0,"Sold","Available")</f>
        <v>Available</v>
      </c>
    </row>
    <row r="531" spans="5:5" x14ac:dyDescent="0.3">
      <c r="E531" t="str">
        <f>IF(COUNTIF('Sales Entry'!D:D,A531)&gt;0,"Sold","Available")</f>
        <v>Available</v>
      </c>
    </row>
    <row r="532" spans="5:5" x14ac:dyDescent="0.3">
      <c r="E532" t="str">
        <f>IF(COUNTIF('Sales Entry'!D:D,A532)&gt;0,"Sold","Available")</f>
        <v>Available</v>
      </c>
    </row>
    <row r="533" spans="5:5" x14ac:dyDescent="0.3">
      <c r="E533" t="str">
        <f>IF(COUNTIF('Sales Entry'!D:D,A533)&gt;0,"Sold","Available")</f>
        <v>Available</v>
      </c>
    </row>
    <row r="534" spans="5:5" x14ac:dyDescent="0.3">
      <c r="E534" t="str">
        <f>IF(COUNTIF('Sales Entry'!D:D,A534)&gt;0,"Sold","Available")</f>
        <v>Available</v>
      </c>
    </row>
    <row r="535" spans="5:5" x14ac:dyDescent="0.3">
      <c r="E535" t="str">
        <f>IF(COUNTIF('Sales Entry'!D:D,A535)&gt;0,"Sold","Available")</f>
        <v>Available</v>
      </c>
    </row>
    <row r="536" spans="5:5" x14ac:dyDescent="0.3">
      <c r="E536" t="str">
        <f>IF(COUNTIF('Sales Entry'!D:D,A536)&gt;0,"Sold","Available")</f>
        <v>Available</v>
      </c>
    </row>
    <row r="537" spans="5:5" x14ac:dyDescent="0.3">
      <c r="E537" t="str">
        <f>IF(COUNTIF('Sales Entry'!D:D,A537)&gt;0,"Sold","Available")</f>
        <v>Available</v>
      </c>
    </row>
    <row r="538" spans="5:5" x14ac:dyDescent="0.3">
      <c r="E538" t="str">
        <f>IF(COUNTIF('Sales Entry'!D:D,A538)&gt;0,"Sold","Available")</f>
        <v>Available</v>
      </c>
    </row>
    <row r="539" spans="5:5" x14ac:dyDescent="0.3">
      <c r="E539" t="str">
        <f>IF(COUNTIF('Sales Entry'!D:D,A539)&gt;0,"Sold","Available")</f>
        <v>Available</v>
      </c>
    </row>
    <row r="540" spans="5:5" x14ac:dyDescent="0.3">
      <c r="E540" t="str">
        <f>IF(COUNTIF('Sales Entry'!D:D,A540)&gt;0,"Sold","Available")</f>
        <v>Available</v>
      </c>
    </row>
    <row r="541" spans="5:5" x14ac:dyDescent="0.3">
      <c r="E541" t="str">
        <f>IF(COUNTIF('Sales Entry'!D:D,A541)&gt;0,"Sold","Available")</f>
        <v>Available</v>
      </c>
    </row>
    <row r="542" spans="5:5" x14ac:dyDescent="0.3">
      <c r="E542" t="str">
        <f>IF(COUNTIF('Sales Entry'!D:D,A542)&gt;0,"Sold","Available")</f>
        <v>Available</v>
      </c>
    </row>
    <row r="543" spans="5:5" x14ac:dyDescent="0.3">
      <c r="E543" t="str">
        <f>IF(COUNTIF('Sales Entry'!D:D,A543)&gt;0,"Sold","Available")</f>
        <v>Available</v>
      </c>
    </row>
    <row r="544" spans="5:5" x14ac:dyDescent="0.3">
      <c r="E544" t="str">
        <f>IF(COUNTIF('Sales Entry'!D:D,A544)&gt;0,"Sold","Available")</f>
        <v>Available</v>
      </c>
    </row>
    <row r="545" spans="5:5" x14ac:dyDescent="0.3">
      <c r="E545" t="str">
        <f>IF(COUNTIF('Sales Entry'!D:D,A545)&gt;0,"Sold","Available")</f>
        <v>Available</v>
      </c>
    </row>
    <row r="546" spans="5:5" x14ac:dyDescent="0.3">
      <c r="E546" t="str">
        <f>IF(COUNTIF('Sales Entry'!D:D,A546)&gt;0,"Sold","Available")</f>
        <v>Available</v>
      </c>
    </row>
    <row r="547" spans="5:5" x14ac:dyDescent="0.3">
      <c r="E547" t="str">
        <f>IF(COUNTIF('Sales Entry'!D:D,A547)&gt;0,"Sold","Available")</f>
        <v>Available</v>
      </c>
    </row>
    <row r="548" spans="5:5" x14ac:dyDescent="0.3">
      <c r="E548" t="str">
        <f>IF(COUNTIF('Sales Entry'!D:D,A548)&gt;0,"Sold","Available")</f>
        <v>Available</v>
      </c>
    </row>
    <row r="549" spans="5:5" x14ac:dyDescent="0.3">
      <c r="E549" t="str">
        <f>IF(COUNTIF('Sales Entry'!D:D,A549)&gt;0,"Sold","Available")</f>
        <v>Available</v>
      </c>
    </row>
    <row r="550" spans="5:5" x14ac:dyDescent="0.3">
      <c r="E550" t="str">
        <f>IF(COUNTIF('Sales Entry'!D:D,A550)&gt;0,"Sold","Available")</f>
        <v>Available</v>
      </c>
    </row>
    <row r="551" spans="5:5" x14ac:dyDescent="0.3">
      <c r="E551" t="str">
        <f>IF(COUNTIF('Sales Entry'!D:D,A551)&gt;0,"Sold","Available")</f>
        <v>Available</v>
      </c>
    </row>
    <row r="552" spans="5:5" x14ac:dyDescent="0.3">
      <c r="E552" t="str">
        <f>IF(COUNTIF('Sales Entry'!D:D,A552)&gt;0,"Sold","Available")</f>
        <v>Available</v>
      </c>
    </row>
    <row r="553" spans="5:5" x14ac:dyDescent="0.3">
      <c r="E553" t="str">
        <f>IF(COUNTIF('Sales Entry'!D:D,A553)&gt;0,"Sold","Available")</f>
        <v>Available</v>
      </c>
    </row>
    <row r="554" spans="5:5" x14ac:dyDescent="0.3">
      <c r="E554" t="str">
        <f>IF(COUNTIF('Sales Entry'!D:D,A554)&gt;0,"Sold","Available")</f>
        <v>Available</v>
      </c>
    </row>
    <row r="555" spans="5:5" x14ac:dyDescent="0.3">
      <c r="E555" t="str">
        <f>IF(COUNTIF('Sales Entry'!D:D,A555)&gt;0,"Sold","Available")</f>
        <v>Available</v>
      </c>
    </row>
    <row r="556" spans="5:5" x14ac:dyDescent="0.3">
      <c r="E556" t="str">
        <f>IF(COUNTIF('Sales Entry'!D:D,A556)&gt;0,"Sold","Available")</f>
        <v>Available</v>
      </c>
    </row>
    <row r="557" spans="5:5" x14ac:dyDescent="0.3">
      <c r="E557" t="str">
        <f>IF(COUNTIF('Sales Entry'!D:D,A557)&gt;0,"Sold","Available")</f>
        <v>Available</v>
      </c>
    </row>
    <row r="558" spans="5:5" x14ac:dyDescent="0.3">
      <c r="E558" t="str">
        <f>IF(COUNTIF('Sales Entry'!D:D,A558)&gt;0,"Sold","Available")</f>
        <v>Available</v>
      </c>
    </row>
    <row r="559" spans="5:5" x14ac:dyDescent="0.3">
      <c r="E559" t="str">
        <f>IF(COUNTIF('Sales Entry'!D:D,A559)&gt;0,"Sold","Available")</f>
        <v>Available</v>
      </c>
    </row>
    <row r="560" spans="5:5" x14ac:dyDescent="0.3">
      <c r="E560" t="str">
        <f>IF(COUNTIF('Sales Entry'!D:D,A560)&gt;0,"Sold","Available")</f>
        <v>Available</v>
      </c>
    </row>
    <row r="561" spans="5:5" x14ac:dyDescent="0.3">
      <c r="E561" t="str">
        <f>IF(COUNTIF('Sales Entry'!D:D,A561)&gt;0,"Sold","Available")</f>
        <v>Available</v>
      </c>
    </row>
    <row r="562" spans="5:5" x14ac:dyDescent="0.3">
      <c r="E562" t="str">
        <f>IF(COUNTIF('Sales Entry'!D:D,A562)&gt;0,"Sold","Available")</f>
        <v>Available</v>
      </c>
    </row>
    <row r="563" spans="5:5" x14ac:dyDescent="0.3">
      <c r="E563" t="str">
        <f>IF(COUNTIF('Sales Entry'!D:D,A563)&gt;0,"Sold","Available")</f>
        <v>Available</v>
      </c>
    </row>
    <row r="564" spans="5:5" x14ac:dyDescent="0.3">
      <c r="E564" t="str">
        <f>IF(COUNTIF('Sales Entry'!D:D,A564)&gt;0,"Sold","Available")</f>
        <v>Available</v>
      </c>
    </row>
    <row r="565" spans="5:5" x14ac:dyDescent="0.3">
      <c r="E565" t="str">
        <f>IF(COUNTIF('Sales Entry'!D:D,A565)&gt;0,"Sold","Available")</f>
        <v>Available</v>
      </c>
    </row>
    <row r="566" spans="5:5" x14ac:dyDescent="0.3">
      <c r="E566" t="str">
        <f>IF(COUNTIF('Sales Entry'!D:D,A566)&gt;0,"Sold","Available")</f>
        <v>Available</v>
      </c>
    </row>
    <row r="567" spans="5:5" x14ac:dyDescent="0.3">
      <c r="E567" t="str">
        <f>IF(COUNTIF('Sales Entry'!D:D,A567)&gt;0,"Sold","Available")</f>
        <v>Available</v>
      </c>
    </row>
    <row r="568" spans="5:5" x14ac:dyDescent="0.3">
      <c r="E568" t="str">
        <f>IF(COUNTIF('Sales Entry'!D:D,A568)&gt;0,"Sold","Available")</f>
        <v>Available</v>
      </c>
    </row>
    <row r="569" spans="5:5" x14ac:dyDescent="0.3">
      <c r="E569" t="str">
        <f>IF(COUNTIF('Sales Entry'!D:D,A569)&gt;0,"Sold","Available")</f>
        <v>Available</v>
      </c>
    </row>
    <row r="570" spans="5:5" x14ac:dyDescent="0.3">
      <c r="E570" t="str">
        <f>IF(COUNTIF('Sales Entry'!D:D,A570)&gt;0,"Sold","Available")</f>
        <v>Available</v>
      </c>
    </row>
    <row r="571" spans="5:5" x14ac:dyDescent="0.3">
      <c r="E571" t="str">
        <f>IF(COUNTIF('Sales Entry'!D:D,A571)&gt;0,"Sold","Available")</f>
        <v>Available</v>
      </c>
    </row>
    <row r="572" spans="5:5" x14ac:dyDescent="0.3">
      <c r="E572" t="str">
        <f>IF(COUNTIF('Sales Entry'!D:D,A572)&gt;0,"Sold","Available")</f>
        <v>Available</v>
      </c>
    </row>
    <row r="573" spans="5:5" x14ac:dyDescent="0.3">
      <c r="E573" t="str">
        <f>IF(COUNTIF('Sales Entry'!D:D,A573)&gt;0,"Sold","Available")</f>
        <v>Available</v>
      </c>
    </row>
    <row r="574" spans="5:5" x14ac:dyDescent="0.3">
      <c r="E574" t="str">
        <f>IF(COUNTIF('Sales Entry'!D:D,A574)&gt;0,"Sold","Available")</f>
        <v>Available</v>
      </c>
    </row>
    <row r="575" spans="5:5" x14ac:dyDescent="0.3">
      <c r="E575" t="str">
        <f>IF(COUNTIF('Sales Entry'!D:D,A575)&gt;0,"Sold","Available")</f>
        <v>Available</v>
      </c>
    </row>
    <row r="576" spans="5:5" x14ac:dyDescent="0.3">
      <c r="E576" t="str">
        <f>IF(COUNTIF('Sales Entry'!D:D,A576)&gt;0,"Sold","Available")</f>
        <v>Available</v>
      </c>
    </row>
    <row r="577" spans="5:5" x14ac:dyDescent="0.3">
      <c r="E577" t="str">
        <f>IF(COUNTIF('Sales Entry'!D:D,A577)&gt;0,"Sold","Available")</f>
        <v>Available</v>
      </c>
    </row>
    <row r="578" spans="5:5" x14ac:dyDescent="0.3">
      <c r="E578" t="str">
        <f>IF(COUNTIF('Sales Entry'!D:D,A578)&gt;0,"Sold","Available")</f>
        <v>Available</v>
      </c>
    </row>
    <row r="579" spans="5:5" x14ac:dyDescent="0.3">
      <c r="E579" t="str">
        <f>IF(COUNTIF('Sales Entry'!D:D,A579)&gt;0,"Sold","Available")</f>
        <v>Available</v>
      </c>
    </row>
    <row r="580" spans="5:5" x14ac:dyDescent="0.3">
      <c r="E580" t="str">
        <f>IF(COUNTIF('Sales Entry'!D:D,A580)&gt;0,"Sold","Available")</f>
        <v>Available</v>
      </c>
    </row>
    <row r="581" spans="5:5" x14ac:dyDescent="0.3">
      <c r="E581" t="str">
        <f>IF(COUNTIF('Sales Entry'!D:D,A581)&gt;0,"Sold","Available")</f>
        <v>Available</v>
      </c>
    </row>
    <row r="582" spans="5:5" x14ac:dyDescent="0.3">
      <c r="E582" t="str">
        <f>IF(COUNTIF('Sales Entry'!D:D,A582)&gt;0,"Sold","Available")</f>
        <v>Available</v>
      </c>
    </row>
    <row r="583" spans="5:5" x14ac:dyDescent="0.3">
      <c r="E583" t="str">
        <f>IF(COUNTIF('Sales Entry'!D:D,A583)&gt;0,"Sold","Available")</f>
        <v>Available</v>
      </c>
    </row>
    <row r="584" spans="5:5" x14ac:dyDescent="0.3">
      <c r="E584" t="str">
        <f>IF(COUNTIF('Sales Entry'!D:D,A584)&gt;0,"Sold","Available")</f>
        <v>Available</v>
      </c>
    </row>
    <row r="585" spans="5:5" x14ac:dyDescent="0.3">
      <c r="E585" t="str">
        <f>IF(COUNTIF('Sales Entry'!D:D,A585)&gt;0,"Sold","Available")</f>
        <v>Available</v>
      </c>
    </row>
    <row r="586" spans="5:5" x14ac:dyDescent="0.3">
      <c r="E586" t="str">
        <f>IF(COUNTIF('Sales Entry'!D:D,A586)&gt;0,"Sold","Available")</f>
        <v>Available</v>
      </c>
    </row>
    <row r="587" spans="5:5" x14ac:dyDescent="0.3">
      <c r="E587" t="str">
        <f>IF(COUNTIF('Sales Entry'!D:D,A587)&gt;0,"Sold","Available")</f>
        <v>Available</v>
      </c>
    </row>
    <row r="588" spans="5:5" x14ac:dyDescent="0.3">
      <c r="E588" t="str">
        <f>IF(COUNTIF('Sales Entry'!D:D,A588)&gt;0,"Sold","Available")</f>
        <v>Available</v>
      </c>
    </row>
    <row r="589" spans="5:5" x14ac:dyDescent="0.3">
      <c r="E589" t="str">
        <f>IF(COUNTIF('Sales Entry'!D:D,A589)&gt;0,"Sold","Available")</f>
        <v>Available</v>
      </c>
    </row>
    <row r="590" spans="5:5" x14ac:dyDescent="0.3">
      <c r="E590" t="str">
        <f>IF(COUNTIF('Sales Entry'!D:D,A590)&gt;0,"Sold","Available")</f>
        <v>Available</v>
      </c>
    </row>
    <row r="591" spans="5:5" x14ac:dyDescent="0.3">
      <c r="E591" t="str">
        <f>IF(COUNTIF('Sales Entry'!D:D,A591)&gt;0,"Sold","Available")</f>
        <v>Available</v>
      </c>
    </row>
    <row r="592" spans="5:5" x14ac:dyDescent="0.3">
      <c r="E592" t="str">
        <f>IF(COUNTIF('Sales Entry'!D:D,A592)&gt;0,"Sold","Available")</f>
        <v>Available</v>
      </c>
    </row>
    <row r="593" spans="5:5" x14ac:dyDescent="0.3">
      <c r="E593" t="str">
        <f>IF(COUNTIF('Sales Entry'!D:D,A593)&gt;0,"Sold","Available")</f>
        <v>Available</v>
      </c>
    </row>
    <row r="594" spans="5:5" x14ac:dyDescent="0.3">
      <c r="E594" t="str">
        <f>IF(COUNTIF('Sales Entry'!D:D,A594)&gt;0,"Sold","Available")</f>
        <v>Available</v>
      </c>
    </row>
    <row r="595" spans="5:5" x14ac:dyDescent="0.3">
      <c r="E595" t="str">
        <f>IF(COUNTIF('Sales Entry'!D:D,A595)&gt;0,"Sold","Available")</f>
        <v>Available</v>
      </c>
    </row>
    <row r="596" spans="5:5" x14ac:dyDescent="0.3">
      <c r="E596" t="str">
        <f>IF(COUNTIF('Sales Entry'!D:D,A596)&gt;0,"Sold","Available")</f>
        <v>Available</v>
      </c>
    </row>
    <row r="597" spans="5:5" x14ac:dyDescent="0.3">
      <c r="E597" t="str">
        <f>IF(COUNTIF('Sales Entry'!D:D,A597)&gt;0,"Sold","Available")</f>
        <v>Available</v>
      </c>
    </row>
    <row r="598" spans="5:5" x14ac:dyDescent="0.3">
      <c r="E598" t="str">
        <f>IF(COUNTIF('Sales Entry'!D:D,A598)&gt;0,"Sold","Available")</f>
        <v>Available</v>
      </c>
    </row>
    <row r="599" spans="5:5" x14ac:dyDescent="0.3">
      <c r="E599" t="str">
        <f>IF(COUNTIF('Sales Entry'!D:D,A599)&gt;0,"Sold","Available")</f>
        <v>Available</v>
      </c>
    </row>
    <row r="600" spans="5:5" x14ac:dyDescent="0.3">
      <c r="E600" t="str">
        <f>IF(COUNTIF('Sales Entry'!D:D,A600)&gt;0,"Sold","Available")</f>
        <v>Available</v>
      </c>
    </row>
    <row r="601" spans="5:5" x14ac:dyDescent="0.3">
      <c r="E601" t="str">
        <f>IF(COUNTIF('Sales Entry'!D:D,A601)&gt;0,"Sold","Available")</f>
        <v>Available</v>
      </c>
    </row>
    <row r="602" spans="5:5" x14ac:dyDescent="0.3">
      <c r="E602" t="str">
        <f>IF(COUNTIF('Sales Entry'!D:D,A602)&gt;0,"Sold","Available")</f>
        <v>Available</v>
      </c>
    </row>
    <row r="603" spans="5:5" x14ac:dyDescent="0.3">
      <c r="E603" t="str">
        <f>IF(COUNTIF('Sales Entry'!D:D,A603)&gt;0,"Sold","Available")</f>
        <v>Available</v>
      </c>
    </row>
    <row r="604" spans="5:5" x14ac:dyDescent="0.3">
      <c r="E604" t="str">
        <f>IF(COUNTIF('Sales Entry'!D:D,A604)&gt;0,"Sold","Available")</f>
        <v>Available</v>
      </c>
    </row>
    <row r="605" spans="5:5" x14ac:dyDescent="0.3">
      <c r="E605" t="str">
        <f>IF(COUNTIF('Sales Entry'!D:D,A605)&gt;0,"Sold","Available")</f>
        <v>Available</v>
      </c>
    </row>
    <row r="606" spans="5:5" x14ac:dyDescent="0.3">
      <c r="E606" t="str">
        <f>IF(COUNTIF('Sales Entry'!D:D,A606)&gt;0,"Sold","Available")</f>
        <v>Available</v>
      </c>
    </row>
    <row r="607" spans="5:5" x14ac:dyDescent="0.3">
      <c r="E607" t="str">
        <f>IF(COUNTIF('Sales Entry'!D:D,A607)&gt;0,"Sold","Available")</f>
        <v>Available</v>
      </c>
    </row>
    <row r="608" spans="5:5" x14ac:dyDescent="0.3">
      <c r="E608" t="str">
        <f>IF(COUNTIF('Sales Entry'!D:D,A608)&gt;0,"Sold","Available")</f>
        <v>Available</v>
      </c>
    </row>
    <row r="609" spans="5:5" x14ac:dyDescent="0.3">
      <c r="E609" t="str">
        <f>IF(COUNTIF('Sales Entry'!D:D,A609)&gt;0,"Sold","Available")</f>
        <v>Available</v>
      </c>
    </row>
    <row r="610" spans="5:5" x14ac:dyDescent="0.3">
      <c r="E610" t="str">
        <f>IF(COUNTIF('Sales Entry'!D:D,A610)&gt;0,"Sold","Available")</f>
        <v>Available</v>
      </c>
    </row>
    <row r="611" spans="5:5" x14ac:dyDescent="0.3">
      <c r="E611" t="str">
        <f>IF(COUNTIF('Sales Entry'!D:D,A611)&gt;0,"Sold","Available")</f>
        <v>Available</v>
      </c>
    </row>
    <row r="612" spans="5:5" x14ac:dyDescent="0.3">
      <c r="E612" t="str">
        <f>IF(COUNTIF('Sales Entry'!D:D,A612)&gt;0,"Sold","Available")</f>
        <v>Available</v>
      </c>
    </row>
    <row r="613" spans="5:5" x14ac:dyDescent="0.3">
      <c r="E613" t="str">
        <f>IF(COUNTIF('Sales Entry'!D:D,A613)&gt;0,"Sold","Available")</f>
        <v>Available</v>
      </c>
    </row>
    <row r="614" spans="5:5" x14ac:dyDescent="0.3">
      <c r="E614" t="str">
        <f>IF(COUNTIF('Sales Entry'!D:D,A614)&gt;0,"Sold","Available")</f>
        <v>Available</v>
      </c>
    </row>
    <row r="615" spans="5:5" x14ac:dyDescent="0.3">
      <c r="E615" t="str">
        <f>IF(COUNTIF('Sales Entry'!D:D,A615)&gt;0,"Sold","Available")</f>
        <v>Available</v>
      </c>
    </row>
    <row r="616" spans="5:5" x14ac:dyDescent="0.3">
      <c r="E616" t="str">
        <f>IF(COUNTIF('Sales Entry'!D:D,A616)&gt;0,"Sold","Available")</f>
        <v>Available</v>
      </c>
    </row>
    <row r="617" spans="5:5" x14ac:dyDescent="0.3">
      <c r="E617" t="str">
        <f>IF(COUNTIF('Sales Entry'!D:D,A617)&gt;0,"Sold","Available")</f>
        <v>Available</v>
      </c>
    </row>
    <row r="618" spans="5:5" x14ac:dyDescent="0.3">
      <c r="E618" t="str">
        <f>IF(COUNTIF('Sales Entry'!D:D,A618)&gt;0,"Sold","Available")</f>
        <v>Available</v>
      </c>
    </row>
    <row r="619" spans="5:5" x14ac:dyDescent="0.3">
      <c r="E619" t="str">
        <f>IF(COUNTIF('Sales Entry'!D:D,A619)&gt;0,"Sold","Available")</f>
        <v>Available</v>
      </c>
    </row>
    <row r="620" spans="5:5" x14ac:dyDescent="0.3">
      <c r="E620" t="str">
        <f>IF(COUNTIF('Sales Entry'!D:D,A620)&gt;0,"Sold","Available")</f>
        <v>Available</v>
      </c>
    </row>
    <row r="621" spans="5:5" x14ac:dyDescent="0.3">
      <c r="E621" t="str">
        <f>IF(COUNTIF('Sales Entry'!D:D,A621)&gt;0,"Sold","Available")</f>
        <v>Available</v>
      </c>
    </row>
    <row r="622" spans="5:5" x14ac:dyDescent="0.3">
      <c r="E622" t="str">
        <f>IF(COUNTIF('Sales Entry'!D:D,A622)&gt;0,"Sold","Available")</f>
        <v>Available</v>
      </c>
    </row>
    <row r="623" spans="5:5" x14ac:dyDescent="0.3">
      <c r="E623" t="str">
        <f>IF(COUNTIF('Sales Entry'!D:D,A623)&gt;0,"Sold","Available")</f>
        <v>Available</v>
      </c>
    </row>
    <row r="624" spans="5:5" x14ac:dyDescent="0.3">
      <c r="E624" t="str">
        <f>IF(COUNTIF('Sales Entry'!D:D,A624)&gt;0,"Sold","Available")</f>
        <v>Available</v>
      </c>
    </row>
    <row r="625" spans="5:5" x14ac:dyDescent="0.3">
      <c r="E625" t="str">
        <f>IF(COUNTIF('Sales Entry'!D:D,A625)&gt;0,"Sold","Available")</f>
        <v>Available</v>
      </c>
    </row>
    <row r="626" spans="5:5" x14ac:dyDescent="0.3">
      <c r="E626" t="str">
        <f>IF(COUNTIF('Sales Entry'!D:D,A626)&gt;0,"Sold","Available")</f>
        <v>Available</v>
      </c>
    </row>
    <row r="627" spans="5:5" x14ac:dyDescent="0.3">
      <c r="E627" t="str">
        <f>IF(COUNTIF('Sales Entry'!D:D,A627)&gt;0,"Sold","Available")</f>
        <v>Available</v>
      </c>
    </row>
    <row r="628" spans="5:5" x14ac:dyDescent="0.3">
      <c r="E628" t="str">
        <f>IF(COUNTIF('Sales Entry'!D:D,A628)&gt;0,"Sold","Available")</f>
        <v>Available</v>
      </c>
    </row>
    <row r="629" spans="5:5" x14ac:dyDescent="0.3">
      <c r="E629" t="str">
        <f>IF(COUNTIF('Sales Entry'!D:D,A629)&gt;0,"Sold","Available")</f>
        <v>Available</v>
      </c>
    </row>
    <row r="630" spans="5:5" x14ac:dyDescent="0.3">
      <c r="E630" t="str">
        <f>IF(COUNTIF('Sales Entry'!D:D,A630)&gt;0,"Sold","Available")</f>
        <v>Available</v>
      </c>
    </row>
    <row r="631" spans="5:5" x14ac:dyDescent="0.3">
      <c r="E631" t="str">
        <f>IF(COUNTIF('Sales Entry'!D:D,A631)&gt;0,"Sold","Available")</f>
        <v>Available</v>
      </c>
    </row>
    <row r="632" spans="5:5" x14ac:dyDescent="0.3">
      <c r="E632" t="str">
        <f>IF(COUNTIF('Sales Entry'!D:D,A632)&gt;0,"Sold","Available")</f>
        <v>Available</v>
      </c>
    </row>
    <row r="633" spans="5:5" x14ac:dyDescent="0.3">
      <c r="E633" t="str">
        <f>IF(COUNTIF('Sales Entry'!D:D,A633)&gt;0,"Sold","Available")</f>
        <v>Available</v>
      </c>
    </row>
    <row r="634" spans="5:5" x14ac:dyDescent="0.3">
      <c r="E634" t="str">
        <f>IF(COUNTIF('Sales Entry'!D:D,A634)&gt;0,"Sold","Available")</f>
        <v>Available</v>
      </c>
    </row>
    <row r="635" spans="5:5" x14ac:dyDescent="0.3">
      <c r="E635" t="str">
        <f>IF(COUNTIF('Sales Entry'!D:D,A635)&gt;0,"Sold","Available")</f>
        <v>Available</v>
      </c>
    </row>
    <row r="636" spans="5:5" x14ac:dyDescent="0.3">
      <c r="E636" t="str">
        <f>IF(COUNTIF('Sales Entry'!D:D,A636)&gt;0,"Sold","Available")</f>
        <v>Available</v>
      </c>
    </row>
    <row r="637" spans="5:5" x14ac:dyDescent="0.3">
      <c r="E637" t="str">
        <f>IF(COUNTIF('Sales Entry'!D:D,A637)&gt;0,"Sold","Available")</f>
        <v>Available</v>
      </c>
    </row>
    <row r="638" spans="5:5" x14ac:dyDescent="0.3">
      <c r="E638" t="str">
        <f>IF(COUNTIF('Sales Entry'!D:D,A638)&gt;0,"Sold","Available")</f>
        <v>Available</v>
      </c>
    </row>
    <row r="639" spans="5:5" x14ac:dyDescent="0.3">
      <c r="E639" t="str">
        <f>IF(COUNTIF('Sales Entry'!D:D,A639)&gt;0,"Sold","Available")</f>
        <v>Available</v>
      </c>
    </row>
    <row r="640" spans="5:5" x14ac:dyDescent="0.3">
      <c r="E640" t="str">
        <f>IF(COUNTIF('Sales Entry'!D:D,A640)&gt;0,"Sold","Available")</f>
        <v>Available</v>
      </c>
    </row>
    <row r="641" spans="5:5" x14ac:dyDescent="0.3">
      <c r="E641" t="str">
        <f>IF(COUNTIF('Sales Entry'!D:D,A641)&gt;0,"Sold","Available")</f>
        <v>Available</v>
      </c>
    </row>
    <row r="642" spans="5:5" x14ac:dyDescent="0.3">
      <c r="E642" t="str">
        <f>IF(COUNTIF('Sales Entry'!D:D,A642)&gt;0,"Sold","Available")</f>
        <v>Available</v>
      </c>
    </row>
    <row r="643" spans="5:5" x14ac:dyDescent="0.3">
      <c r="E643" t="str">
        <f>IF(COUNTIF('Sales Entry'!D:D,A643)&gt;0,"Sold","Available")</f>
        <v>Available</v>
      </c>
    </row>
    <row r="644" spans="5:5" x14ac:dyDescent="0.3">
      <c r="E644" t="str">
        <f>IF(COUNTIF('Sales Entry'!D:D,A644)&gt;0,"Sold","Available")</f>
        <v>Available</v>
      </c>
    </row>
    <row r="645" spans="5:5" x14ac:dyDescent="0.3">
      <c r="E645" t="str">
        <f>IF(COUNTIF('Sales Entry'!D:D,A645)&gt;0,"Sold","Available")</f>
        <v>Available</v>
      </c>
    </row>
    <row r="646" spans="5:5" x14ac:dyDescent="0.3">
      <c r="E646" t="str">
        <f>IF(COUNTIF('Sales Entry'!D:D,A646)&gt;0,"Sold","Available")</f>
        <v>Available</v>
      </c>
    </row>
    <row r="647" spans="5:5" x14ac:dyDescent="0.3">
      <c r="E647" t="str">
        <f>IF(COUNTIF('Sales Entry'!D:D,A647)&gt;0,"Sold","Available")</f>
        <v>Available</v>
      </c>
    </row>
    <row r="648" spans="5:5" x14ac:dyDescent="0.3">
      <c r="E648" t="str">
        <f>IF(COUNTIF('Sales Entry'!D:D,A648)&gt;0,"Sold","Available")</f>
        <v>Available</v>
      </c>
    </row>
    <row r="649" spans="5:5" x14ac:dyDescent="0.3">
      <c r="E649" t="str">
        <f>IF(COUNTIF('Sales Entry'!D:D,A649)&gt;0,"Sold","Available")</f>
        <v>Available</v>
      </c>
    </row>
    <row r="650" spans="5:5" x14ac:dyDescent="0.3">
      <c r="E650" t="str">
        <f>IF(COUNTIF('Sales Entry'!D:D,A650)&gt;0,"Sold","Available")</f>
        <v>Available</v>
      </c>
    </row>
    <row r="651" spans="5:5" x14ac:dyDescent="0.3">
      <c r="E651" t="str">
        <f>IF(COUNTIF('Sales Entry'!D:D,A651)&gt;0,"Sold","Available")</f>
        <v>Available</v>
      </c>
    </row>
    <row r="652" spans="5:5" x14ac:dyDescent="0.3">
      <c r="E652" t="str">
        <f>IF(COUNTIF('Sales Entry'!D:D,A652)&gt;0,"Sold","Available")</f>
        <v>Available</v>
      </c>
    </row>
    <row r="653" spans="5:5" x14ac:dyDescent="0.3">
      <c r="E653" t="str">
        <f>IF(COUNTIF('Sales Entry'!D:D,A653)&gt;0,"Sold","Available")</f>
        <v>Available</v>
      </c>
    </row>
    <row r="654" spans="5:5" x14ac:dyDescent="0.3">
      <c r="E654" t="str">
        <f>IF(COUNTIF('Sales Entry'!D:D,A654)&gt;0,"Sold","Available")</f>
        <v>Available</v>
      </c>
    </row>
    <row r="655" spans="5:5" x14ac:dyDescent="0.3">
      <c r="E655" t="str">
        <f>IF(COUNTIF('Sales Entry'!D:D,A655)&gt;0,"Sold","Available")</f>
        <v>Available</v>
      </c>
    </row>
    <row r="656" spans="5:5" x14ac:dyDescent="0.3">
      <c r="E656" t="str">
        <f>IF(COUNTIF('Sales Entry'!D:D,A656)&gt;0,"Sold","Available")</f>
        <v>Available</v>
      </c>
    </row>
    <row r="657" spans="5:5" x14ac:dyDescent="0.3">
      <c r="E657" t="str">
        <f>IF(COUNTIF('Sales Entry'!D:D,A657)&gt;0,"Sold","Available")</f>
        <v>Available</v>
      </c>
    </row>
    <row r="658" spans="5:5" x14ac:dyDescent="0.3">
      <c r="E658" t="str">
        <f>IF(COUNTIF('Sales Entry'!D:D,A658)&gt;0,"Sold","Available")</f>
        <v>Available</v>
      </c>
    </row>
    <row r="659" spans="5:5" x14ac:dyDescent="0.3">
      <c r="E659" t="str">
        <f>IF(COUNTIF('Sales Entry'!D:D,A659)&gt;0,"Sold","Available")</f>
        <v>Available</v>
      </c>
    </row>
    <row r="660" spans="5:5" x14ac:dyDescent="0.3">
      <c r="E660" t="str">
        <f>IF(COUNTIF('Sales Entry'!D:D,A660)&gt;0,"Sold","Available")</f>
        <v>Available</v>
      </c>
    </row>
    <row r="661" spans="5:5" x14ac:dyDescent="0.3">
      <c r="E661" t="str">
        <f>IF(COUNTIF('Sales Entry'!D:D,A661)&gt;0,"Sold","Available")</f>
        <v>Available</v>
      </c>
    </row>
    <row r="662" spans="5:5" x14ac:dyDescent="0.3">
      <c r="E662" t="str">
        <f>IF(COUNTIF('Sales Entry'!D:D,A662)&gt;0,"Sold","Available")</f>
        <v>Available</v>
      </c>
    </row>
    <row r="663" spans="5:5" x14ac:dyDescent="0.3">
      <c r="E663" t="str">
        <f>IF(COUNTIF('Sales Entry'!D:D,A663)&gt;0,"Sold","Available")</f>
        <v>Available</v>
      </c>
    </row>
    <row r="664" spans="5:5" x14ac:dyDescent="0.3">
      <c r="E664" t="str">
        <f>IF(COUNTIF('Sales Entry'!D:D,A664)&gt;0,"Sold","Available")</f>
        <v>Available</v>
      </c>
    </row>
    <row r="665" spans="5:5" x14ac:dyDescent="0.3">
      <c r="E665" t="str">
        <f>IF(COUNTIF('Sales Entry'!D:D,A665)&gt;0,"Sold","Available")</f>
        <v>Available</v>
      </c>
    </row>
    <row r="666" spans="5:5" x14ac:dyDescent="0.3">
      <c r="E666" t="str">
        <f>IF(COUNTIF('Sales Entry'!D:D,A666)&gt;0,"Sold","Available")</f>
        <v>Available</v>
      </c>
    </row>
    <row r="667" spans="5:5" x14ac:dyDescent="0.3">
      <c r="E667" t="str">
        <f>IF(COUNTIF('Sales Entry'!D:D,A667)&gt;0,"Sold","Available")</f>
        <v>Available</v>
      </c>
    </row>
    <row r="668" spans="5:5" x14ac:dyDescent="0.3">
      <c r="E668" t="str">
        <f>IF(COUNTIF('Sales Entry'!D:D,A668)&gt;0,"Sold","Available")</f>
        <v>Available</v>
      </c>
    </row>
    <row r="669" spans="5:5" x14ac:dyDescent="0.3">
      <c r="E669" t="str">
        <f>IF(COUNTIF('Sales Entry'!D:D,A669)&gt;0,"Sold","Available")</f>
        <v>Available</v>
      </c>
    </row>
    <row r="670" spans="5:5" x14ac:dyDescent="0.3">
      <c r="E670" t="str">
        <f>IF(COUNTIF('Sales Entry'!D:D,A670)&gt;0,"Sold","Available")</f>
        <v>Available</v>
      </c>
    </row>
    <row r="671" spans="5:5" x14ac:dyDescent="0.3">
      <c r="E671" t="str">
        <f>IF(COUNTIF('Sales Entry'!D:D,A671)&gt;0,"Sold","Available")</f>
        <v>Available</v>
      </c>
    </row>
    <row r="672" spans="5:5" x14ac:dyDescent="0.3">
      <c r="E672" t="str">
        <f>IF(COUNTIF('Sales Entry'!D:D,A672)&gt;0,"Sold","Available")</f>
        <v>Available</v>
      </c>
    </row>
    <row r="673" spans="5:5" x14ac:dyDescent="0.3">
      <c r="E673" t="str">
        <f>IF(COUNTIF('Sales Entry'!D:D,A673)&gt;0,"Sold","Available")</f>
        <v>Available</v>
      </c>
    </row>
    <row r="674" spans="5:5" x14ac:dyDescent="0.3">
      <c r="E674" t="str">
        <f>IF(COUNTIF('Sales Entry'!D:D,A674)&gt;0,"Sold","Available")</f>
        <v>Available</v>
      </c>
    </row>
    <row r="675" spans="5:5" x14ac:dyDescent="0.3">
      <c r="E675" t="str">
        <f>IF(COUNTIF('Sales Entry'!D:D,A675)&gt;0,"Sold","Available")</f>
        <v>Available</v>
      </c>
    </row>
    <row r="676" spans="5:5" x14ac:dyDescent="0.3">
      <c r="E676" t="str">
        <f>IF(COUNTIF('Sales Entry'!D:D,A676)&gt;0,"Sold","Available")</f>
        <v>Available</v>
      </c>
    </row>
    <row r="677" spans="5:5" x14ac:dyDescent="0.3">
      <c r="E677" t="str">
        <f>IF(COUNTIF('Sales Entry'!D:D,A677)&gt;0,"Sold","Available")</f>
        <v>Available</v>
      </c>
    </row>
    <row r="678" spans="5:5" x14ac:dyDescent="0.3">
      <c r="E678" t="str">
        <f>IF(COUNTIF('Sales Entry'!D:D,A678)&gt;0,"Sold","Available")</f>
        <v>Available</v>
      </c>
    </row>
    <row r="679" spans="5:5" x14ac:dyDescent="0.3">
      <c r="E679" t="str">
        <f>IF(COUNTIF('Sales Entry'!D:D,A679)&gt;0,"Sold","Available")</f>
        <v>Available</v>
      </c>
    </row>
    <row r="680" spans="5:5" x14ac:dyDescent="0.3">
      <c r="E680" t="str">
        <f>IF(COUNTIF('Sales Entry'!D:D,A680)&gt;0,"Sold","Available")</f>
        <v>Available</v>
      </c>
    </row>
    <row r="681" spans="5:5" x14ac:dyDescent="0.3">
      <c r="E681" t="str">
        <f>IF(COUNTIF('Sales Entry'!D:D,A681)&gt;0,"Sold","Available")</f>
        <v>Available</v>
      </c>
    </row>
    <row r="682" spans="5:5" x14ac:dyDescent="0.3">
      <c r="E682" t="str">
        <f>IF(COUNTIF('Sales Entry'!D:D,A682)&gt;0,"Sold","Available")</f>
        <v>Available</v>
      </c>
    </row>
    <row r="683" spans="5:5" x14ac:dyDescent="0.3">
      <c r="E683" t="str">
        <f>IF(COUNTIF('Sales Entry'!D:D,A683)&gt;0,"Sold","Available")</f>
        <v>Available</v>
      </c>
    </row>
    <row r="684" spans="5:5" x14ac:dyDescent="0.3">
      <c r="E684" t="str">
        <f>IF(COUNTIF('Sales Entry'!D:D,A684)&gt;0,"Sold","Available")</f>
        <v>Available</v>
      </c>
    </row>
    <row r="685" spans="5:5" x14ac:dyDescent="0.3">
      <c r="E685" t="str">
        <f>IF(COUNTIF('Sales Entry'!D:D,A685)&gt;0,"Sold","Available")</f>
        <v>Available</v>
      </c>
    </row>
    <row r="686" spans="5:5" x14ac:dyDescent="0.3">
      <c r="E686" t="str">
        <f>IF(COUNTIF('Sales Entry'!D:D,A686)&gt;0,"Sold","Available")</f>
        <v>Available</v>
      </c>
    </row>
    <row r="687" spans="5:5" x14ac:dyDescent="0.3">
      <c r="E687" t="str">
        <f>IF(COUNTIF('Sales Entry'!D:D,A687)&gt;0,"Sold","Available")</f>
        <v>Available</v>
      </c>
    </row>
    <row r="688" spans="5:5" x14ac:dyDescent="0.3">
      <c r="E688" t="str">
        <f>IF(COUNTIF('Sales Entry'!D:D,A688)&gt;0,"Sold","Available")</f>
        <v>Available</v>
      </c>
    </row>
    <row r="689" spans="5:5" x14ac:dyDescent="0.3">
      <c r="E689" t="str">
        <f>IF(COUNTIF('Sales Entry'!D:D,A689)&gt;0,"Sold","Available")</f>
        <v>Available</v>
      </c>
    </row>
    <row r="690" spans="5:5" x14ac:dyDescent="0.3">
      <c r="E690" t="str">
        <f>IF(COUNTIF('Sales Entry'!D:D,A690)&gt;0,"Sold","Available")</f>
        <v>Available</v>
      </c>
    </row>
    <row r="691" spans="5:5" x14ac:dyDescent="0.3">
      <c r="E691" t="str">
        <f>IF(COUNTIF('Sales Entry'!D:D,A691)&gt;0,"Sold","Available")</f>
        <v>Available</v>
      </c>
    </row>
    <row r="692" spans="5:5" x14ac:dyDescent="0.3">
      <c r="E692" t="str">
        <f>IF(COUNTIF('Sales Entry'!D:D,A692)&gt;0,"Sold","Available")</f>
        <v>Available</v>
      </c>
    </row>
    <row r="693" spans="5:5" x14ac:dyDescent="0.3">
      <c r="E693" t="str">
        <f>IF(COUNTIF('Sales Entry'!D:D,A693)&gt;0,"Sold","Available")</f>
        <v>Available</v>
      </c>
    </row>
    <row r="694" spans="5:5" x14ac:dyDescent="0.3">
      <c r="E694" t="str">
        <f>IF(COUNTIF('Sales Entry'!D:D,A694)&gt;0,"Sold","Available")</f>
        <v>Available</v>
      </c>
    </row>
    <row r="695" spans="5:5" x14ac:dyDescent="0.3">
      <c r="E695" t="str">
        <f>IF(COUNTIF('Sales Entry'!D:D,A695)&gt;0,"Sold","Available")</f>
        <v>Available</v>
      </c>
    </row>
    <row r="696" spans="5:5" x14ac:dyDescent="0.3">
      <c r="E696" t="str">
        <f>IF(COUNTIF('Sales Entry'!D:D,A696)&gt;0,"Sold","Available")</f>
        <v>Available</v>
      </c>
    </row>
    <row r="697" spans="5:5" x14ac:dyDescent="0.3">
      <c r="E697" t="str">
        <f>IF(COUNTIF('Sales Entry'!D:D,A697)&gt;0,"Sold","Available")</f>
        <v>Available</v>
      </c>
    </row>
    <row r="698" spans="5:5" x14ac:dyDescent="0.3">
      <c r="E698" t="str">
        <f>IF(COUNTIF('Sales Entry'!D:D,A698)&gt;0,"Sold","Available")</f>
        <v>Available</v>
      </c>
    </row>
    <row r="699" spans="5:5" x14ac:dyDescent="0.3">
      <c r="E699" t="str">
        <f>IF(COUNTIF('Sales Entry'!D:D,A699)&gt;0,"Sold","Available")</f>
        <v>Available</v>
      </c>
    </row>
    <row r="700" spans="5:5" x14ac:dyDescent="0.3">
      <c r="E700" t="str">
        <f>IF(COUNTIF('Sales Entry'!D:D,A700)&gt;0,"Sold","Available")</f>
        <v>Available</v>
      </c>
    </row>
    <row r="701" spans="5:5" x14ac:dyDescent="0.3">
      <c r="E701" t="str">
        <f>IF(COUNTIF('Sales Entry'!D:D,A701)&gt;0,"Sold","Available")</f>
        <v>Available</v>
      </c>
    </row>
    <row r="702" spans="5:5" x14ac:dyDescent="0.3">
      <c r="E702" t="str">
        <f>IF(COUNTIF('Sales Entry'!D:D,A702)&gt;0,"Sold","Available")</f>
        <v>Available</v>
      </c>
    </row>
    <row r="703" spans="5:5" x14ac:dyDescent="0.3">
      <c r="E703" t="str">
        <f>IF(COUNTIF('Sales Entry'!D:D,A703)&gt;0,"Sold","Available")</f>
        <v>Available</v>
      </c>
    </row>
    <row r="704" spans="5:5" x14ac:dyDescent="0.3">
      <c r="E704" t="str">
        <f>IF(COUNTIF('Sales Entry'!D:D,A704)&gt;0,"Sold","Available")</f>
        <v>Available</v>
      </c>
    </row>
    <row r="705" spans="5:5" x14ac:dyDescent="0.3">
      <c r="E705" t="str">
        <f>IF(COUNTIF('Sales Entry'!D:D,A705)&gt;0,"Sold","Available")</f>
        <v>Available</v>
      </c>
    </row>
    <row r="706" spans="5:5" x14ac:dyDescent="0.3">
      <c r="E706" t="str">
        <f>IF(COUNTIF('Sales Entry'!D:D,A706)&gt;0,"Sold","Available")</f>
        <v>Available</v>
      </c>
    </row>
    <row r="707" spans="5:5" x14ac:dyDescent="0.3">
      <c r="E707" t="str">
        <f>IF(COUNTIF('Sales Entry'!D:D,A707)&gt;0,"Sold","Available")</f>
        <v>Available</v>
      </c>
    </row>
    <row r="708" spans="5:5" x14ac:dyDescent="0.3">
      <c r="E708" t="str">
        <f>IF(COUNTIF('Sales Entry'!D:D,A708)&gt;0,"Sold","Available")</f>
        <v>Available</v>
      </c>
    </row>
    <row r="709" spans="5:5" x14ac:dyDescent="0.3">
      <c r="E709" t="str">
        <f>IF(COUNTIF('Sales Entry'!D:D,A709)&gt;0,"Sold","Available")</f>
        <v>Available</v>
      </c>
    </row>
    <row r="710" spans="5:5" x14ac:dyDescent="0.3">
      <c r="E710" t="str">
        <f>IF(COUNTIF('Sales Entry'!D:D,A710)&gt;0,"Sold","Available")</f>
        <v>Available</v>
      </c>
    </row>
    <row r="711" spans="5:5" x14ac:dyDescent="0.3">
      <c r="E711" t="str">
        <f>IF(COUNTIF('Sales Entry'!D:D,A711)&gt;0,"Sold","Available")</f>
        <v>Available</v>
      </c>
    </row>
    <row r="712" spans="5:5" x14ac:dyDescent="0.3">
      <c r="E712" t="str">
        <f>IF(COUNTIF('Sales Entry'!D:D,A712)&gt;0,"Sold","Available")</f>
        <v>Available</v>
      </c>
    </row>
    <row r="713" spans="5:5" x14ac:dyDescent="0.3">
      <c r="E713" t="str">
        <f>IF(COUNTIF('Sales Entry'!D:D,A713)&gt;0,"Sold","Available")</f>
        <v>Available</v>
      </c>
    </row>
    <row r="714" spans="5:5" x14ac:dyDescent="0.3">
      <c r="E714" t="str">
        <f>IF(COUNTIF('Sales Entry'!D:D,A714)&gt;0,"Sold","Available")</f>
        <v>Available</v>
      </c>
    </row>
    <row r="715" spans="5:5" x14ac:dyDescent="0.3">
      <c r="E715" t="str">
        <f>IF(COUNTIF('Sales Entry'!D:D,A715)&gt;0,"Sold","Available")</f>
        <v>Available</v>
      </c>
    </row>
    <row r="716" spans="5:5" x14ac:dyDescent="0.3">
      <c r="E716" t="str">
        <f>IF(COUNTIF('Sales Entry'!D:D,A716)&gt;0,"Sold","Available")</f>
        <v>Available</v>
      </c>
    </row>
    <row r="717" spans="5:5" x14ac:dyDescent="0.3">
      <c r="E717" t="str">
        <f>IF(COUNTIF('Sales Entry'!D:D,A717)&gt;0,"Sold","Available")</f>
        <v>Available</v>
      </c>
    </row>
    <row r="718" spans="5:5" x14ac:dyDescent="0.3">
      <c r="E718" t="str">
        <f>IF(COUNTIF('Sales Entry'!D:D,A718)&gt;0,"Sold","Available")</f>
        <v>Available</v>
      </c>
    </row>
    <row r="719" spans="5:5" x14ac:dyDescent="0.3">
      <c r="E719" t="str">
        <f>IF(COUNTIF('Sales Entry'!D:D,A719)&gt;0,"Sold","Available")</f>
        <v>Available</v>
      </c>
    </row>
    <row r="720" spans="5:5" x14ac:dyDescent="0.3">
      <c r="E720" t="str">
        <f>IF(COUNTIF('Sales Entry'!D:D,A720)&gt;0,"Sold","Available")</f>
        <v>Available</v>
      </c>
    </row>
    <row r="721" spans="5:5" x14ac:dyDescent="0.3">
      <c r="E721" t="str">
        <f>IF(COUNTIF('Sales Entry'!D:D,A721)&gt;0,"Sold","Available")</f>
        <v>Available</v>
      </c>
    </row>
    <row r="722" spans="5:5" x14ac:dyDescent="0.3">
      <c r="E722" t="str">
        <f>IF(COUNTIF('Sales Entry'!D:D,A722)&gt;0,"Sold","Available")</f>
        <v>Available</v>
      </c>
    </row>
    <row r="723" spans="5:5" x14ac:dyDescent="0.3">
      <c r="E723" t="str">
        <f>IF(COUNTIF('Sales Entry'!D:D,A723)&gt;0,"Sold","Available")</f>
        <v>Available</v>
      </c>
    </row>
    <row r="724" spans="5:5" x14ac:dyDescent="0.3">
      <c r="E724" t="str">
        <f>IF(COUNTIF('Sales Entry'!D:D,A724)&gt;0,"Sold","Available")</f>
        <v>Available</v>
      </c>
    </row>
    <row r="725" spans="5:5" x14ac:dyDescent="0.3">
      <c r="E725" t="str">
        <f>IF(COUNTIF('Sales Entry'!D:D,A725)&gt;0,"Sold","Available")</f>
        <v>Available</v>
      </c>
    </row>
    <row r="726" spans="5:5" x14ac:dyDescent="0.3">
      <c r="E726" t="str">
        <f>IF(COUNTIF('Sales Entry'!D:D,A726)&gt;0,"Sold","Available")</f>
        <v>Available</v>
      </c>
    </row>
    <row r="727" spans="5:5" x14ac:dyDescent="0.3">
      <c r="E727" t="str">
        <f>IF(COUNTIF('Sales Entry'!D:D,A727)&gt;0,"Sold","Available")</f>
        <v>Available</v>
      </c>
    </row>
    <row r="728" spans="5:5" x14ac:dyDescent="0.3">
      <c r="E728" t="str">
        <f>IF(COUNTIF('Sales Entry'!D:D,A728)&gt;0,"Sold","Available")</f>
        <v>Available</v>
      </c>
    </row>
    <row r="729" spans="5:5" x14ac:dyDescent="0.3">
      <c r="E729" t="str">
        <f>IF(COUNTIF('Sales Entry'!D:D,A729)&gt;0,"Sold","Available")</f>
        <v>Available</v>
      </c>
    </row>
    <row r="730" spans="5:5" x14ac:dyDescent="0.3">
      <c r="E730" t="str">
        <f>IF(COUNTIF('Sales Entry'!D:D,A730)&gt;0,"Sold","Available")</f>
        <v>Available</v>
      </c>
    </row>
    <row r="731" spans="5:5" x14ac:dyDescent="0.3">
      <c r="E731" t="str">
        <f>IF(COUNTIF('Sales Entry'!D:D,A731)&gt;0,"Sold","Available")</f>
        <v>Available</v>
      </c>
    </row>
    <row r="732" spans="5:5" x14ac:dyDescent="0.3">
      <c r="E732" t="str">
        <f>IF(COUNTIF('Sales Entry'!D:D,A732)&gt;0,"Sold","Available")</f>
        <v>Available</v>
      </c>
    </row>
    <row r="733" spans="5:5" x14ac:dyDescent="0.3">
      <c r="E733" t="str">
        <f>IF(COUNTIF('Sales Entry'!D:D,A733)&gt;0,"Sold","Available")</f>
        <v>Available</v>
      </c>
    </row>
    <row r="734" spans="5:5" x14ac:dyDescent="0.3">
      <c r="E734" t="str">
        <f>IF(COUNTIF('Sales Entry'!D:D,A734)&gt;0,"Sold","Available")</f>
        <v>Available</v>
      </c>
    </row>
    <row r="735" spans="5:5" x14ac:dyDescent="0.3">
      <c r="E735" t="str">
        <f>IF(COUNTIF('Sales Entry'!D:D,A735)&gt;0,"Sold","Available")</f>
        <v>Available</v>
      </c>
    </row>
    <row r="736" spans="5:5" x14ac:dyDescent="0.3">
      <c r="E736" t="str">
        <f>IF(COUNTIF('Sales Entry'!D:D,A736)&gt;0,"Sold","Available")</f>
        <v>Available</v>
      </c>
    </row>
    <row r="737" spans="5:5" x14ac:dyDescent="0.3">
      <c r="E737" t="str">
        <f>IF(COUNTIF('Sales Entry'!D:D,A737)&gt;0,"Sold","Available")</f>
        <v>Available</v>
      </c>
    </row>
    <row r="738" spans="5:5" x14ac:dyDescent="0.3">
      <c r="E738" t="str">
        <f>IF(COUNTIF('Sales Entry'!D:D,A738)&gt;0,"Sold","Available")</f>
        <v>Available</v>
      </c>
    </row>
    <row r="739" spans="5:5" x14ac:dyDescent="0.3">
      <c r="E739" t="str">
        <f>IF(COUNTIF('Sales Entry'!D:D,A739)&gt;0,"Sold","Available")</f>
        <v>Available</v>
      </c>
    </row>
    <row r="740" spans="5:5" x14ac:dyDescent="0.3">
      <c r="E740" t="str">
        <f>IF(COUNTIF('Sales Entry'!D:D,A740)&gt;0,"Sold","Available")</f>
        <v>Available</v>
      </c>
    </row>
    <row r="741" spans="5:5" x14ac:dyDescent="0.3">
      <c r="E741" t="str">
        <f>IF(COUNTIF('Sales Entry'!D:D,A741)&gt;0,"Sold","Available")</f>
        <v>Available</v>
      </c>
    </row>
    <row r="742" spans="5:5" x14ac:dyDescent="0.3">
      <c r="E742" t="str">
        <f>IF(COUNTIF('Sales Entry'!D:D,A742)&gt;0,"Sold","Available")</f>
        <v>Available</v>
      </c>
    </row>
    <row r="743" spans="5:5" x14ac:dyDescent="0.3">
      <c r="E743" t="str">
        <f>IF(COUNTIF('Sales Entry'!D:D,A743)&gt;0,"Sold","Available")</f>
        <v>Available</v>
      </c>
    </row>
    <row r="744" spans="5:5" x14ac:dyDescent="0.3">
      <c r="E744" t="str">
        <f>IF(COUNTIF('Sales Entry'!D:D,A744)&gt;0,"Sold","Available")</f>
        <v>Available</v>
      </c>
    </row>
    <row r="745" spans="5:5" x14ac:dyDescent="0.3">
      <c r="E745" t="str">
        <f>IF(COUNTIF('Sales Entry'!D:D,A745)&gt;0,"Sold","Available")</f>
        <v>Available</v>
      </c>
    </row>
    <row r="746" spans="5:5" x14ac:dyDescent="0.3">
      <c r="E746" t="str">
        <f>IF(COUNTIF('Sales Entry'!D:D,A746)&gt;0,"Sold","Available")</f>
        <v>Available</v>
      </c>
    </row>
    <row r="747" spans="5:5" x14ac:dyDescent="0.3">
      <c r="E747" t="str">
        <f>IF(COUNTIF('Sales Entry'!D:D,A747)&gt;0,"Sold","Available")</f>
        <v>Available</v>
      </c>
    </row>
    <row r="748" spans="5:5" x14ac:dyDescent="0.3">
      <c r="E748" t="str">
        <f>IF(COUNTIF('Sales Entry'!D:D,A748)&gt;0,"Sold","Available")</f>
        <v>Available</v>
      </c>
    </row>
    <row r="749" spans="5:5" x14ac:dyDescent="0.3">
      <c r="E749" t="str">
        <f>IF(COUNTIF('Sales Entry'!D:D,A749)&gt;0,"Sold","Available")</f>
        <v>Available</v>
      </c>
    </row>
    <row r="750" spans="5:5" x14ac:dyDescent="0.3">
      <c r="E750" t="str">
        <f>IF(COUNTIF('Sales Entry'!D:D,A750)&gt;0,"Sold","Available")</f>
        <v>Available</v>
      </c>
    </row>
    <row r="751" spans="5:5" x14ac:dyDescent="0.3">
      <c r="E751" t="str">
        <f>IF(COUNTIF('Sales Entry'!D:D,A751)&gt;0,"Sold","Available")</f>
        <v>Available</v>
      </c>
    </row>
    <row r="752" spans="5:5" x14ac:dyDescent="0.3">
      <c r="E752" t="str">
        <f>IF(COUNTIF('Sales Entry'!D:D,A752)&gt;0,"Sold","Available")</f>
        <v>Available</v>
      </c>
    </row>
    <row r="753" spans="5:5" x14ac:dyDescent="0.3">
      <c r="E753" t="str">
        <f>IF(COUNTIF('Sales Entry'!D:D,A753)&gt;0,"Sold","Available")</f>
        <v>Available</v>
      </c>
    </row>
    <row r="754" spans="5:5" x14ac:dyDescent="0.3">
      <c r="E754" t="str">
        <f>IF(COUNTIF('Sales Entry'!D:D,A754)&gt;0,"Sold","Available")</f>
        <v>Available</v>
      </c>
    </row>
    <row r="755" spans="5:5" x14ac:dyDescent="0.3">
      <c r="E755" t="str">
        <f>IF(COUNTIF('Sales Entry'!D:D,A755)&gt;0,"Sold","Available")</f>
        <v>Available</v>
      </c>
    </row>
    <row r="756" spans="5:5" x14ac:dyDescent="0.3">
      <c r="E756" t="str">
        <f>IF(COUNTIF('Sales Entry'!D:D,A756)&gt;0,"Sold","Available")</f>
        <v>Available</v>
      </c>
    </row>
    <row r="757" spans="5:5" x14ac:dyDescent="0.3">
      <c r="E757" t="str">
        <f>IF(COUNTIF('Sales Entry'!D:D,A757)&gt;0,"Sold","Available")</f>
        <v>Available</v>
      </c>
    </row>
    <row r="758" spans="5:5" x14ac:dyDescent="0.3">
      <c r="E758" t="str">
        <f>IF(COUNTIF('Sales Entry'!D:D,A758)&gt;0,"Sold","Available")</f>
        <v>Available</v>
      </c>
    </row>
    <row r="759" spans="5:5" x14ac:dyDescent="0.3">
      <c r="E759" t="str">
        <f>IF(COUNTIF('Sales Entry'!D:D,A759)&gt;0,"Sold","Available")</f>
        <v>Available</v>
      </c>
    </row>
    <row r="760" spans="5:5" x14ac:dyDescent="0.3">
      <c r="E760" t="str">
        <f>IF(COUNTIF('Sales Entry'!D:D,A760)&gt;0,"Sold","Available")</f>
        <v>Available</v>
      </c>
    </row>
    <row r="761" spans="5:5" x14ac:dyDescent="0.3">
      <c r="E761" t="str">
        <f>IF(COUNTIF('Sales Entry'!D:D,A761)&gt;0,"Sold","Available")</f>
        <v>Available</v>
      </c>
    </row>
    <row r="762" spans="5:5" x14ac:dyDescent="0.3">
      <c r="E762" t="str">
        <f>IF(COUNTIF('Sales Entry'!D:D,A762)&gt;0,"Sold","Available")</f>
        <v>Available</v>
      </c>
    </row>
    <row r="763" spans="5:5" x14ac:dyDescent="0.3">
      <c r="E763" t="str">
        <f>IF(COUNTIF('Sales Entry'!D:D,A763)&gt;0,"Sold","Available")</f>
        <v>Available</v>
      </c>
    </row>
    <row r="764" spans="5:5" x14ac:dyDescent="0.3">
      <c r="E764" t="str">
        <f>IF(COUNTIF('Sales Entry'!D:D,A764)&gt;0,"Sold","Available")</f>
        <v>Available</v>
      </c>
    </row>
    <row r="765" spans="5:5" x14ac:dyDescent="0.3">
      <c r="E765" t="str">
        <f>IF(COUNTIF('Sales Entry'!D:D,A765)&gt;0,"Sold","Available")</f>
        <v>Available</v>
      </c>
    </row>
    <row r="766" spans="5:5" x14ac:dyDescent="0.3">
      <c r="E766" t="str">
        <f>IF(COUNTIF('Sales Entry'!D:D,A766)&gt;0,"Sold","Available")</f>
        <v>Available</v>
      </c>
    </row>
    <row r="767" spans="5:5" x14ac:dyDescent="0.3">
      <c r="E767" t="str">
        <f>IF(COUNTIF('Sales Entry'!D:D,A767)&gt;0,"Sold","Available")</f>
        <v>Available</v>
      </c>
    </row>
    <row r="768" spans="5:5" x14ac:dyDescent="0.3">
      <c r="E768" t="str">
        <f>IF(COUNTIF('Sales Entry'!D:D,A768)&gt;0,"Sold","Available")</f>
        <v>Available</v>
      </c>
    </row>
    <row r="769" spans="5:5" x14ac:dyDescent="0.3">
      <c r="E769" t="str">
        <f>IF(COUNTIF('Sales Entry'!D:D,A769)&gt;0,"Sold","Available")</f>
        <v>Available</v>
      </c>
    </row>
    <row r="770" spans="5:5" x14ac:dyDescent="0.3">
      <c r="E770" t="str">
        <f>IF(COUNTIF('Sales Entry'!D:D,A770)&gt;0,"Sold","Available")</f>
        <v>Available</v>
      </c>
    </row>
    <row r="771" spans="5:5" x14ac:dyDescent="0.3">
      <c r="E771" t="str">
        <f>IF(COUNTIF('Sales Entry'!D:D,A771)&gt;0,"Sold","Available")</f>
        <v>Available</v>
      </c>
    </row>
    <row r="772" spans="5:5" x14ac:dyDescent="0.3">
      <c r="E772" t="str">
        <f>IF(COUNTIF('Sales Entry'!D:D,A772)&gt;0,"Sold","Available")</f>
        <v>Available</v>
      </c>
    </row>
    <row r="773" spans="5:5" x14ac:dyDescent="0.3">
      <c r="E773" t="str">
        <f>IF(COUNTIF('Sales Entry'!D:D,A773)&gt;0,"Sold","Available")</f>
        <v>Available</v>
      </c>
    </row>
    <row r="774" spans="5:5" x14ac:dyDescent="0.3">
      <c r="E774" t="str">
        <f>IF(COUNTIF('Sales Entry'!D:D,A774)&gt;0,"Sold","Available")</f>
        <v>Available</v>
      </c>
    </row>
    <row r="775" spans="5:5" x14ac:dyDescent="0.3">
      <c r="E775" t="str">
        <f>IF(COUNTIF('Sales Entry'!D:D,A775)&gt;0,"Sold","Available")</f>
        <v>Available</v>
      </c>
    </row>
    <row r="776" spans="5:5" x14ac:dyDescent="0.3">
      <c r="E776" t="str">
        <f>IF(COUNTIF('Sales Entry'!D:D,A776)&gt;0,"Sold","Available")</f>
        <v>Available</v>
      </c>
    </row>
    <row r="777" spans="5:5" x14ac:dyDescent="0.3">
      <c r="E777" t="str">
        <f>IF(COUNTIF('Sales Entry'!D:D,A777)&gt;0,"Sold","Available")</f>
        <v>Available</v>
      </c>
    </row>
    <row r="778" spans="5:5" x14ac:dyDescent="0.3">
      <c r="E778" t="str">
        <f>IF(COUNTIF('Sales Entry'!D:D,A778)&gt;0,"Sold","Available")</f>
        <v>Available</v>
      </c>
    </row>
    <row r="779" spans="5:5" x14ac:dyDescent="0.3">
      <c r="E779" t="str">
        <f>IF(COUNTIF('Sales Entry'!D:D,A779)&gt;0,"Sold","Available")</f>
        <v>Available</v>
      </c>
    </row>
    <row r="780" spans="5:5" x14ac:dyDescent="0.3">
      <c r="E780" t="str">
        <f>IF(COUNTIF('Sales Entry'!D:D,A780)&gt;0,"Sold","Available")</f>
        <v>Available</v>
      </c>
    </row>
    <row r="781" spans="5:5" x14ac:dyDescent="0.3">
      <c r="E781" t="str">
        <f>IF(COUNTIF('Sales Entry'!D:D,A781)&gt;0,"Sold","Available")</f>
        <v>Available</v>
      </c>
    </row>
    <row r="782" spans="5:5" x14ac:dyDescent="0.3">
      <c r="E782" t="str">
        <f>IF(COUNTIF('Sales Entry'!D:D,A782)&gt;0,"Sold","Available")</f>
        <v>Available</v>
      </c>
    </row>
    <row r="783" spans="5:5" x14ac:dyDescent="0.3">
      <c r="E783" t="str">
        <f>IF(COUNTIF('Sales Entry'!D:D,A783)&gt;0,"Sold","Available")</f>
        <v>Available</v>
      </c>
    </row>
    <row r="784" spans="5:5" x14ac:dyDescent="0.3">
      <c r="E784" t="str">
        <f>IF(COUNTIF('Sales Entry'!D:D,A784)&gt;0,"Sold","Available")</f>
        <v>Available</v>
      </c>
    </row>
    <row r="785" spans="5:5" x14ac:dyDescent="0.3">
      <c r="E785" t="str">
        <f>IF(COUNTIF('Sales Entry'!D:D,A785)&gt;0,"Sold","Available")</f>
        <v>Available</v>
      </c>
    </row>
    <row r="786" spans="5:5" x14ac:dyDescent="0.3">
      <c r="E786" t="str">
        <f>IF(COUNTIF('Sales Entry'!D:D,A786)&gt;0,"Sold","Available")</f>
        <v>Available</v>
      </c>
    </row>
    <row r="787" spans="5:5" x14ac:dyDescent="0.3">
      <c r="E787" t="str">
        <f>IF(COUNTIF('Sales Entry'!D:D,A787)&gt;0,"Sold","Available")</f>
        <v>Available</v>
      </c>
    </row>
    <row r="788" spans="5:5" x14ac:dyDescent="0.3">
      <c r="E788" t="str">
        <f>IF(COUNTIF('Sales Entry'!D:D,A788)&gt;0,"Sold","Available")</f>
        <v>Available</v>
      </c>
    </row>
    <row r="789" spans="5:5" x14ac:dyDescent="0.3">
      <c r="E789" t="str">
        <f>IF(COUNTIF('Sales Entry'!D:D,A789)&gt;0,"Sold","Available")</f>
        <v>Available</v>
      </c>
    </row>
    <row r="790" spans="5:5" x14ac:dyDescent="0.3">
      <c r="E790" t="str">
        <f>IF(COUNTIF('Sales Entry'!D:D,A790)&gt;0,"Sold","Available")</f>
        <v>Available</v>
      </c>
    </row>
    <row r="791" spans="5:5" x14ac:dyDescent="0.3">
      <c r="E791" t="str">
        <f>IF(COUNTIF('Sales Entry'!D:D,A791)&gt;0,"Sold","Available")</f>
        <v>Available</v>
      </c>
    </row>
    <row r="792" spans="5:5" x14ac:dyDescent="0.3">
      <c r="E792" t="str">
        <f>IF(COUNTIF('Sales Entry'!D:D,A792)&gt;0,"Sold","Available")</f>
        <v>Available</v>
      </c>
    </row>
    <row r="793" spans="5:5" x14ac:dyDescent="0.3">
      <c r="E793" t="str">
        <f>IF(COUNTIF('Sales Entry'!D:D,A793)&gt;0,"Sold","Available")</f>
        <v>Available</v>
      </c>
    </row>
    <row r="794" spans="5:5" x14ac:dyDescent="0.3">
      <c r="E794" t="str">
        <f>IF(COUNTIF('Sales Entry'!D:D,A794)&gt;0,"Sold","Available")</f>
        <v>Available</v>
      </c>
    </row>
    <row r="795" spans="5:5" x14ac:dyDescent="0.3">
      <c r="E795" t="str">
        <f>IF(COUNTIF('Sales Entry'!D:D,A795)&gt;0,"Sold","Available")</f>
        <v>Available</v>
      </c>
    </row>
    <row r="796" spans="5:5" x14ac:dyDescent="0.3">
      <c r="E796" t="str">
        <f>IF(COUNTIF('Sales Entry'!D:D,A796)&gt;0,"Sold","Available")</f>
        <v>Available</v>
      </c>
    </row>
    <row r="797" spans="5:5" x14ac:dyDescent="0.3">
      <c r="E797" t="str">
        <f>IF(COUNTIF('Sales Entry'!D:D,A797)&gt;0,"Sold","Available")</f>
        <v>Available</v>
      </c>
    </row>
    <row r="798" spans="5:5" x14ac:dyDescent="0.3">
      <c r="E798" t="str">
        <f>IF(COUNTIF('Sales Entry'!D:D,A798)&gt;0,"Sold","Available")</f>
        <v>Available</v>
      </c>
    </row>
    <row r="799" spans="5:5" x14ac:dyDescent="0.3">
      <c r="E799" t="str">
        <f>IF(COUNTIF('Sales Entry'!D:D,A799)&gt;0,"Sold","Available")</f>
        <v>Available</v>
      </c>
    </row>
    <row r="800" spans="5:5" x14ac:dyDescent="0.3">
      <c r="E800" t="str">
        <f>IF(COUNTIF('Sales Entry'!D:D,A800)&gt;0,"Sold","Available")</f>
        <v>Available</v>
      </c>
    </row>
    <row r="801" spans="5:5" x14ac:dyDescent="0.3">
      <c r="E801" t="str">
        <f>IF(COUNTIF('Sales Entry'!D:D,A801)&gt;0,"Sold","Available")</f>
        <v>Available</v>
      </c>
    </row>
    <row r="802" spans="5:5" x14ac:dyDescent="0.3">
      <c r="E802" t="str">
        <f>IF(COUNTIF('Sales Entry'!D:D,A802)&gt;0,"Sold","Available")</f>
        <v>Available</v>
      </c>
    </row>
    <row r="803" spans="5:5" x14ac:dyDescent="0.3">
      <c r="E803" t="str">
        <f>IF(COUNTIF('Sales Entry'!D:D,A803)&gt;0,"Sold","Available")</f>
        <v>Available</v>
      </c>
    </row>
    <row r="804" spans="5:5" x14ac:dyDescent="0.3">
      <c r="E804" t="str">
        <f>IF(COUNTIF('Sales Entry'!D:D,A804)&gt;0,"Sold","Available")</f>
        <v>Available</v>
      </c>
    </row>
    <row r="805" spans="5:5" x14ac:dyDescent="0.3">
      <c r="E805" t="str">
        <f>IF(COUNTIF('Sales Entry'!D:D,A805)&gt;0,"Sold","Available")</f>
        <v>Available</v>
      </c>
    </row>
    <row r="806" spans="5:5" x14ac:dyDescent="0.3">
      <c r="E806" t="str">
        <f>IF(COUNTIF('Sales Entry'!D:D,A806)&gt;0,"Sold","Available")</f>
        <v>Available</v>
      </c>
    </row>
    <row r="807" spans="5:5" x14ac:dyDescent="0.3">
      <c r="E807" t="str">
        <f>IF(COUNTIF('Sales Entry'!D:D,A807)&gt;0,"Sold","Available")</f>
        <v>Available</v>
      </c>
    </row>
    <row r="808" spans="5:5" x14ac:dyDescent="0.3">
      <c r="E808" t="str">
        <f>IF(COUNTIF('Sales Entry'!D:D,A808)&gt;0,"Sold","Available")</f>
        <v>Available</v>
      </c>
    </row>
    <row r="809" spans="5:5" x14ac:dyDescent="0.3">
      <c r="E809" t="str">
        <f>IF(COUNTIF('Sales Entry'!D:D,A809)&gt;0,"Sold","Available")</f>
        <v>Available</v>
      </c>
    </row>
    <row r="810" spans="5:5" x14ac:dyDescent="0.3">
      <c r="E810" t="str">
        <f>IF(COUNTIF('Sales Entry'!D:D,A810)&gt;0,"Sold","Available")</f>
        <v>Available</v>
      </c>
    </row>
    <row r="811" spans="5:5" x14ac:dyDescent="0.3">
      <c r="E811" t="str">
        <f>IF(COUNTIF('Sales Entry'!D:D,A811)&gt;0,"Sold","Available")</f>
        <v>Available</v>
      </c>
    </row>
    <row r="812" spans="5:5" x14ac:dyDescent="0.3">
      <c r="E812" t="str">
        <f>IF(COUNTIF('Sales Entry'!D:D,A812)&gt;0,"Sold","Available")</f>
        <v>Available</v>
      </c>
    </row>
    <row r="813" spans="5:5" x14ac:dyDescent="0.3">
      <c r="E813" t="str">
        <f>IF(COUNTIF('Sales Entry'!D:D,A813)&gt;0,"Sold","Available")</f>
        <v>Available</v>
      </c>
    </row>
    <row r="814" spans="5:5" x14ac:dyDescent="0.3">
      <c r="E814" t="str">
        <f>IF(COUNTIF('Sales Entry'!D:D,A814)&gt;0,"Sold","Available")</f>
        <v>Available</v>
      </c>
    </row>
    <row r="815" spans="5:5" x14ac:dyDescent="0.3">
      <c r="E815" t="str">
        <f>IF(COUNTIF('Sales Entry'!D:D,A815)&gt;0,"Sold","Available")</f>
        <v>Available</v>
      </c>
    </row>
    <row r="816" spans="5:5" x14ac:dyDescent="0.3">
      <c r="E816" t="str">
        <f>IF(COUNTIF('Sales Entry'!D:D,A816)&gt;0,"Sold","Available")</f>
        <v>Available</v>
      </c>
    </row>
    <row r="817" spans="5:5" x14ac:dyDescent="0.3">
      <c r="E817" t="str">
        <f>IF(COUNTIF('Sales Entry'!D:D,A817)&gt;0,"Sold","Available")</f>
        <v>Available</v>
      </c>
    </row>
    <row r="818" spans="5:5" x14ac:dyDescent="0.3">
      <c r="E818" t="str">
        <f>IF(COUNTIF('Sales Entry'!D:D,A818)&gt;0,"Sold","Available")</f>
        <v>Available</v>
      </c>
    </row>
    <row r="819" spans="5:5" x14ac:dyDescent="0.3">
      <c r="E819" t="str">
        <f>IF(COUNTIF('Sales Entry'!D:D,A819)&gt;0,"Sold","Available")</f>
        <v>Available</v>
      </c>
    </row>
    <row r="820" spans="5:5" x14ac:dyDescent="0.3">
      <c r="E820" t="str">
        <f>IF(COUNTIF('Sales Entry'!D:D,A820)&gt;0,"Sold","Available")</f>
        <v>Available</v>
      </c>
    </row>
    <row r="821" spans="5:5" x14ac:dyDescent="0.3">
      <c r="E821" t="str">
        <f>IF(COUNTIF('Sales Entry'!D:D,A821)&gt;0,"Sold","Available")</f>
        <v>Available</v>
      </c>
    </row>
    <row r="822" spans="5:5" x14ac:dyDescent="0.3">
      <c r="E822" t="str">
        <f>IF(COUNTIF('Sales Entry'!D:D,A822)&gt;0,"Sold","Available")</f>
        <v>Available</v>
      </c>
    </row>
    <row r="823" spans="5:5" x14ac:dyDescent="0.3">
      <c r="E823" t="str">
        <f>IF(COUNTIF('Sales Entry'!D:D,A823)&gt;0,"Sold","Available")</f>
        <v>Available</v>
      </c>
    </row>
    <row r="824" spans="5:5" x14ac:dyDescent="0.3">
      <c r="E824" t="str">
        <f>IF(COUNTIF('Sales Entry'!D:D,A824)&gt;0,"Sold","Available")</f>
        <v>Available</v>
      </c>
    </row>
    <row r="825" spans="5:5" x14ac:dyDescent="0.3">
      <c r="E825" t="str">
        <f>IF(COUNTIF('Sales Entry'!D:D,A825)&gt;0,"Sold","Available")</f>
        <v>Available</v>
      </c>
    </row>
    <row r="826" spans="5:5" x14ac:dyDescent="0.3">
      <c r="E826" t="str">
        <f>IF(COUNTIF('Sales Entry'!D:D,A826)&gt;0,"Sold","Available")</f>
        <v>Available</v>
      </c>
    </row>
    <row r="827" spans="5:5" x14ac:dyDescent="0.3">
      <c r="E827" t="str">
        <f>IF(COUNTIF('Sales Entry'!D:D,A827)&gt;0,"Sold","Available")</f>
        <v>Available</v>
      </c>
    </row>
    <row r="828" spans="5:5" x14ac:dyDescent="0.3">
      <c r="E828" t="str">
        <f>IF(COUNTIF('Sales Entry'!D:D,A828)&gt;0,"Sold","Available")</f>
        <v>Available</v>
      </c>
    </row>
    <row r="829" spans="5:5" x14ac:dyDescent="0.3">
      <c r="E829" t="str">
        <f>IF(COUNTIF('Sales Entry'!D:D,A829)&gt;0,"Sold","Available")</f>
        <v>Available</v>
      </c>
    </row>
    <row r="830" spans="5:5" x14ac:dyDescent="0.3">
      <c r="E830" t="str">
        <f>IF(COUNTIF('Sales Entry'!D:D,A830)&gt;0,"Sold","Available")</f>
        <v>Available</v>
      </c>
    </row>
    <row r="831" spans="5:5" x14ac:dyDescent="0.3">
      <c r="E831" t="str">
        <f>IF(COUNTIF('Sales Entry'!D:D,A831)&gt;0,"Sold","Available")</f>
        <v>Available</v>
      </c>
    </row>
    <row r="832" spans="5:5" x14ac:dyDescent="0.3">
      <c r="E832" t="str">
        <f>IF(COUNTIF('Sales Entry'!D:D,A832)&gt;0,"Sold","Available")</f>
        <v>Available</v>
      </c>
    </row>
    <row r="833" spans="5:5" x14ac:dyDescent="0.3">
      <c r="E833" t="str">
        <f>IF(COUNTIF('Sales Entry'!D:D,A833)&gt;0,"Sold","Available")</f>
        <v>Available</v>
      </c>
    </row>
    <row r="834" spans="5:5" x14ac:dyDescent="0.3">
      <c r="E834" t="str">
        <f>IF(COUNTIF('Sales Entry'!D:D,A834)&gt;0,"Sold","Available")</f>
        <v>Available</v>
      </c>
    </row>
    <row r="835" spans="5:5" x14ac:dyDescent="0.3">
      <c r="E835" t="str">
        <f>IF(COUNTIF('Sales Entry'!D:D,A835)&gt;0,"Sold","Available")</f>
        <v>Available</v>
      </c>
    </row>
    <row r="836" spans="5:5" x14ac:dyDescent="0.3">
      <c r="E836" t="str">
        <f>IF(COUNTIF('Sales Entry'!D:D,A836)&gt;0,"Sold","Available")</f>
        <v>Available</v>
      </c>
    </row>
    <row r="837" spans="5:5" x14ac:dyDescent="0.3">
      <c r="E837" t="str">
        <f>IF(COUNTIF('Sales Entry'!D:D,A837)&gt;0,"Sold","Available")</f>
        <v>Available</v>
      </c>
    </row>
    <row r="838" spans="5:5" x14ac:dyDescent="0.3">
      <c r="E838" t="str">
        <f>IF(COUNTIF('Sales Entry'!D:D,A838)&gt;0,"Sold","Available")</f>
        <v>Available</v>
      </c>
    </row>
    <row r="839" spans="5:5" x14ac:dyDescent="0.3">
      <c r="E839" t="str">
        <f>IF(COUNTIF('Sales Entry'!D:D,A839)&gt;0,"Sold","Available")</f>
        <v>Available</v>
      </c>
    </row>
    <row r="840" spans="5:5" x14ac:dyDescent="0.3">
      <c r="E840" t="str">
        <f>IF(COUNTIF('Sales Entry'!D:D,A840)&gt;0,"Sold","Available")</f>
        <v>Available</v>
      </c>
    </row>
    <row r="841" spans="5:5" x14ac:dyDescent="0.3">
      <c r="E841" t="str">
        <f>IF(COUNTIF('Sales Entry'!D:D,A841)&gt;0,"Sold","Available")</f>
        <v>Available</v>
      </c>
    </row>
    <row r="842" spans="5:5" x14ac:dyDescent="0.3">
      <c r="E842" t="str">
        <f>IF(COUNTIF('Sales Entry'!D:D,A842)&gt;0,"Sold","Available")</f>
        <v>Available</v>
      </c>
    </row>
    <row r="843" spans="5:5" x14ac:dyDescent="0.3">
      <c r="E843" t="str">
        <f>IF(COUNTIF('Sales Entry'!D:D,A843)&gt;0,"Sold","Available")</f>
        <v>Available</v>
      </c>
    </row>
    <row r="844" spans="5:5" x14ac:dyDescent="0.3">
      <c r="E844" t="str">
        <f>IF(COUNTIF('Sales Entry'!D:D,A844)&gt;0,"Sold","Available")</f>
        <v>Available</v>
      </c>
    </row>
    <row r="845" spans="5:5" x14ac:dyDescent="0.3">
      <c r="E845" t="str">
        <f>IF(COUNTIF('Sales Entry'!D:D,A845)&gt;0,"Sold","Available")</f>
        <v>Available</v>
      </c>
    </row>
    <row r="846" spans="5:5" x14ac:dyDescent="0.3">
      <c r="E846" t="str">
        <f>IF(COUNTIF('Sales Entry'!D:D,A846)&gt;0,"Sold","Available")</f>
        <v>Available</v>
      </c>
    </row>
    <row r="847" spans="5:5" x14ac:dyDescent="0.3">
      <c r="E847" t="str">
        <f>IF(COUNTIF('Sales Entry'!D:D,A847)&gt;0,"Sold","Available")</f>
        <v>Available</v>
      </c>
    </row>
    <row r="848" spans="5:5" x14ac:dyDescent="0.3">
      <c r="E848" t="str">
        <f>IF(COUNTIF('Sales Entry'!D:D,A848)&gt;0,"Sold","Available")</f>
        <v>Available</v>
      </c>
    </row>
    <row r="849" spans="5:5" x14ac:dyDescent="0.3">
      <c r="E849" t="str">
        <f>IF(COUNTIF('Sales Entry'!D:D,A849)&gt;0,"Sold","Available")</f>
        <v>Available</v>
      </c>
    </row>
    <row r="850" spans="5:5" x14ac:dyDescent="0.3">
      <c r="E850" t="str">
        <f>IF(COUNTIF('Sales Entry'!D:D,A850)&gt;0,"Sold","Available")</f>
        <v>Available</v>
      </c>
    </row>
    <row r="851" spans="5:5" x14ac:dyDescent="0.3">
      <c r="E851" t="str">
        <f>IF(COUNTIF('Sales Entry'!D:D,A851)&gt;0,"Sold","Available")</f>
        <v>Available</v>
      </c>
    </row>
    <row r="852" spans="5:5" x14ac:dyDescent="0.3">
      <c r="E852" t="str">
        <f>IF(COUNTIF('Sales Entry'!D:D,A852)&gt;0,"Sold","Available")</f>
        <v>Available</v>
      </c>
    </row>
    <row r="853" spans="5:5" x14ac:dyDescent="0.3">
      <c r="E853" t="str">
        <f>IF(COUNTIF('Sales Entry'!D:D,A853)&gt;0,"Sold","Available")</f>
        <v>Available</v>
      </c>
    </row>
    <row r="854" spans="5:5" x14ac:dyDescent="0.3">
      <c r="E854" t="str">
        <f>IF(COUNTIF('Sales Entry'!D:D,A854)&gt;0,"Sold","Available")</f>
        <v>Available</v>
      </c>
    </row>
    <row r="855" spans="5:5" x14ac:dyDescent="0.3">
      <c r="E855" t="str">
        <f>IF(COUNTIF('Sales Entry'!D:D,A855)&gt;0,"Sold","Available")</f>
        <v>Available</v>
      </c>
    </row>
    <row r="856" spans="5:5" x14ac:dyDescent="0.3">
      <c r="E856" t="str">
        <f>IF(COUNTIF('Sales Entry'!D:D,A856)&gt;0,"Sold","Available")</f>
        <v>Available</v>
      </c>
    </row>
    <row r="857" spans="5:5" x14ac:dyDescent="0.3">
      <c r="E857" t="str">
        <f>IF(COUNTIF('Sales Entry'!D:D,A857)&gt;0,"Sold","Available")</f>
        <v>Available</v>
      </c>
    </row>
    <row r="858" spans="5:5" x14ac:dyDescent="0.3">
      <c r="E858" t="str">
        <f>IF(COUNTIF('Sales Entry'!D:D,A858)&gt;0,"Sold","Available")</f>
        <v>Available</v>
      </c>
    </row>
    <row r="859" spans="5:5" x14ac:dyDescent="0.3">
      <c r="E859" t="str">
        <f>IF(COUNTIF('Sales Entry'!D:D,A859)&gt;0,"Sold","Available")</f>
        <v>Available</v>
      </c>
    </row>
    <row r="860" spans="5:5" x14ac:dyDescent="0.3">
      <c r="E860" t="str">
        <f>IF(COUNTIF('Sales Entry'!D:D,A860)&gt;0,"Sold","Available")</f>
        <v>Available</v>
      </c>
    </row>
    <row r="861" spans="5:5" x14ac:dyDescent="0.3">
      <c r="E861" t="str">
        <f>IF(COUNTIF('Sales Entry'!D:D,A861)&gt;0,"Sold","Available")</f>
        <v>Available</v>
      </c>
    </row>
    <row r="862" spans="5:5" x14ac:dyDescent="0.3">
      <c r="E862" t="str">
        <f>IF(COUNTIF('Sales Entry'!D:D,A862)&gt;0,"Sold","Available")</f>
        <v>Available</v>
      </c>
    </row>
    <row r="863" spans="5:5" x14ac:dyDescent="0.3">
      <c r="E863" t="str">
        <f>IF(COUNTIF('Sales Entry'!D:D,A863)&gt;0,"Sold","Available")</f>
        <v>Available</v>
      </c>
    </row>
    <row r="864" spans="5:5" x14ac:dyDescent="0.3">
      <c r="E864" t="str">
        <f>IF(COUNTIF('Sales Entry'!D:D,A864)&gt;0,"Sold","Available")</f>
        <v>Available</v>
      </c>
    </row>
    <row r="865" spans="5:5" x14ac:dyDescent="0.3">
      <c r="E865" t="str">
        <f>IF(COUNTIF('Sales Entry'!D:D,A865)&gt;0,"Sold","Available")</f>
        <v>Available</v>
      </c>
    </row>
    <row r="866" spans="5:5" x14ac:dyDescent="0.3">
      <c r="E866" t="str">
        <f>IF(COUNTIF('Sales Entry'!D:D,A866)&gt;0,"Sold","Available")</f>
        <v>Available</v>
      </c>
    </row>
    <row r="867" spans="5:5" x14ac:dyDescent="0.3">
      <c r="E867" t="str">
        <f>IF(COUNTIF('Sales Entry'!D:D,A867)&gt;0,"Sold","Available")</f>
        <v>Available</v>
      </c>
    </row>
    <row r="868" spans="5:5" x14ac:dyDescent="0.3">
      <c r="E868" t="str">
        <f>IF(COUNTIF('Sales Entry'!D:D,A868)&gt;0,"Sold","Available")</f>
        <v>Available</v>
      </c>
    </row>
    <row r="869" spans="5:5" x14ac:dyDescent="0.3">
      <c r="E869" t="str">
        <f>IF(COUNTIF('Sales Entry'!D:D,A869)&gt;0,"Sold","Available")</f>
        <v>Available</v>
      </c>
    </row>
    <row r="870" spans="5:5" x14ac:dyDescent="0.3">
      <c r="E870" t="str">
        <f>IF(COUNTIF('Sales Entry'!D:D,A870)&gt;0,"Sold","Available")</f>
        <v>Available</v>
      </c>
    </row>
    <row r="871" spans="5:5" x14ac:dyDescent="0.3">
      <c r="E871" t="str">
        <f>IF(COUNTIF('Sales Entry'!D:D,A871)&gt;0,"Sold","Available")</f>
        <v>Available</v>
      </c>
    </row>
    <row r="872" spans="5:5" x14ac:dyDescent="0.3">
      <c r="E872" t="str">
        <f>IF(COUNTIF('Sales Entry'!D:D,A872)&gt;0,"Sold","Available")</f>
        <v>Available</v>
      </c>
    </row>
    <row r="873" spans="5:5" x14ac:dyDescent="0.3">
      <c r="E873" t="str">
        <f>IF(COUNTIF('Sales Entry'!D:D,A873)&gt;0,"Sold","Available")</f>
        <v>Available</v>
      </c>
    </row>
    <row r="874" spans="5:5" x14ac:dyDescent="0.3">
      <c r="E874" t="str">
        <f>IF(COUNTIF('Sales Entry'!D:D,A874)&gt;0,"Sold","Available")</f>
        <v>Available</v>
      </c>
    </row>
    <row r="875" spans="5:5" x14ac:dyDescent="0.3">
      <c r="E875" t="str">
        <f>IF(COUNTIF('Sales Entry'!D:D,A875)&gt;0,"Sold","Available")</f>
        <v>Available</v>
      </c>
    </row>
    <row r="876" spans="5:5" x14ac:dyDescent="0.3">
      <c r="E876" t="str">
        <f>IF(COUNTIF('Sales Entry'!D:D,A876)&gt;0,"Sold","Available")</f>
        <v>Available</v>
      </c>
    </row>
    <row r="877" spans="5:5" x14ac:dyDescent="0.3">
      <c r="E877" t="str">
        <f>IF(COUNTIF('Sales Entry'!D:D,A877)&gt;0,"Sold","Available")</f>
        <v>Available</v>
      </c>
    </row>
    <row r="878" spans="5:5" x14ac:dyDescent="0.3">
      <c r="E878" t="str">
        <f>IF(COUNTIF('Sales Entry'!D:D,A878)&gt;0,"Sold","Available")</f>
        <v>Available</v>
      </c>
    </row>
    <row r="879" spans="5:5" x14ac:dyDescent="0.3">
      <c r="E879" t="str">
        <f>IF(COUNTIF('Sales Entry'!D:D,A879)&gt;0,"Sold","Available")</f>
        <v>Available</v>
      </c>
    </row>
    <row r="880" spans="5:5" x14ac:dyDescent="0.3">
      <c r="E880" t="str">
        <f>IF(COUNTIF('Sales Entry'!D:D,A880)&gt;0,"Sold","Available")</f>
        <v>Available</v>
      </c>
    </row>
    <row r="881" spans="5:5" x14ac:dyDescent="0.3">
      <c r="E881" t="str">
        <f>IF(COUNTIF('Sales Entry'!D:D,A881)&gt;0,"Sold","Available")</f>
        <v>Available</v>
      </c>
    </row>
    <row r="882" spans="5:5" x14ac:dyDescent="0.3">
      <c r="E882" t="str">
        <f>IF(COUNTIF('Sales Entry'!D:D,A882)&gt;0,"Sold","Available")</f>
        <v>Available</v>
      </c>
    </row>
    <row r="883" spans="5:5" x14ac:dyDescent="0.3">
      <c r="E883" t="str">
        <f>IF(COUNTIF('Sales Entry'!D:D,A883)&gt;0,"Sold","Available")</f>
        <v>Available</v>
      </c>
    </row>
    <row r="884" spans="5:5" x14ac:dyDescent="0.3">
      <c r="E884" t="str">
        <f>IF(COUNTIF('Sales Entry'!D:D,A884)&gt;0,"Sold","Available")</f>
        <v>Available</v>
      </c>
    </row>
    <row r="885" spans="5:5" x14ac:dyDescent="0.3">
      <c r="E885" t="str">
        <f>IF(COUNTIF('Sales Entry'!D:D,A885)&gt;0,"Sold","Available")</f>
        <v>Available</v>
      </c>
    </row>
    <row r="886" spans="5:5" x14ac:dyDescent="0.3">
      <c r="E886" t="str">
        <f>IF(COUNTIF('Sales Entry'!D:D,A886)&gt;0,"Sold","Available")</f>
        <v>Available</v>
      </c>
    </row>
    <row r="887" spans="5:5" x14ac:dyDescent="0.3">
      <c r="E887" t="str">
        <f>IF(COUNTIF('Sales Entry'!D:D,A887)&gt;0,"Sold","Available")</f>
        <v>Available</v>
      </c>
    </row>
    <row r="888" spans="5:5" x14ac:dyDescent="0.3">
      <c r="E888" t="str">
        <f>IF(COUNTIF('Sales Entry'!D:D,A888)&gt;0,"Sold","Available")</f>
        <v>Available</v>
      </c>
    </row>
    <row r="889" spans="5:5" x14ac:dyDescent="0.3">
      <c r="E889" t="str">
        <f>IF(COUNTIF('Sales Entry'!D:D,A889)&gt;0,"Sold","Available")</f>
        <v>Available</v>
      </c>
    </row>
    <row r="890" spans="5:5" x14ac:dyDescent="0.3">
      <c r="E890" t="str">
        <f>IF(COUNTIF('Sales Entry'!D:D,A890)&gt;0,"Sold","Available")</f>
        <v>Available</v>
      </c>
    </row>
    <row r="891" spans="5:5" x14ac:dyDescent="0.3">
      <c r="E891" t="str">
        <f>IF(COUNTIF('Sales Entry'!D:D,A891)&gt;0,"Sold","Available")</f>
        <v>Available</v>
      </c>
    </row>
    <row r="892" spans="5:5" x14ac:dyDescent="0.3">
      <c r="E892" t="str">
        <f>IF(COUNTIF('Sales Entry'!D:D,A892)&gt;0,"Sold","Available")</f>
        <v>Available</v>
      </c>
    </row>
    <row r="893" spans="5:5" x14ac:dyDescent="0.3">
      <c r="E893" t="str">
        <f>IF(COUNTIF('Sales Entry'!D:D,A893)&gt;0,"Sold","Available")</f>
        <v>Available</v>
      </c>
    </row>
    <row r="894" spans="5:5" x14ac:dyDescent="0.3">
      <c r="E894" t="str">
        <f>IF(COUNTIF('Sales Entry'!D:D,A894)&gt;0,"Sold","Available")</f>
        <v>Available</v>
      </c>
    </row>
    <row r="895" spans="5:5" x14ac:dyDescent="0.3">
      <c r="E895" t="str">
        <f>IF(COUNTIF('Sales Entry'!D:D,A895)&gt;0,"Sold","Available")</f>
        <v>Available</v>
      </c>
    </row>
    <row r="896" spans="5:5" x14ac:dyDescent="0.3">
      <c r="E896" t="str">
        <f>IF(COUNTIF('Sales Entry'!D:D,A896)&gt;0,"Sold","Available")</f>
        <v>Available</v>
      </c>
    </row>
    <row r="897" spans="5:5" x14ac:dyDescent="0.3">
      <c r="E897" t="str">
        <f>IF(COUNTIF('Sales Entry'!D:D,A897)&gt;0,"Sold","Available")</f>
        <v>Available</v>
      </c>
    </row>
    <row r="898" spans="5:5" x14ac:dyDescent="0.3">
      <c r="E898" t="str">
        <f>IF(COUNTIF('Sales Entry'!D:D,A898)&gt;0,"Sold","Available")</f>
        <v>Available</v>
      </c>
    </row>
    <row r="899" spans="5:5" x14ac:dyDescent="0.3">
      <c r="E899" t="str">
        <f>IF(COUNTIF('Sales Entry'!D:D,A899)&gt;0,"Sold","Available")</f>
        <v>Available</v>
      </c>
    </row>
    <row r="900" spans="5:5" x14ac:dyDescent="0.3">
      <c r="E900" t="str">
        <f>IF(COUNTIF('Sales Entry'!D:D,A900)&gt;0,"Sold","Available")</f>
        <v>Available</v>
      </c>
    </row>
    <row r="901" spans="5:5" x14ac:dyDescent="0.3">
      <c r="E901" t="str">
        <f>IF(COUNTIF('Sales Entry'!D:D,A901)&gt;0,"Sold","Available")</f>
        <v>Available</v>
      </c>
    </row>
    <row r="902" spans="5:5" x14ac:dyDescent="0.3">
      <c r="E902" t="str">
        <f>IF(COUNTIF('Sales Entry'!D:D,A902)&gt;0,"Sold","Available")</f>
        <v>Available</v>
      </c>
    </row>
    <row r="903" spans="5:5" x14ac:dyDescent="0.3">
      <c r="E903" t="str">
        <f>IF(COUNTIF('Sales Entry'!D:D,A903)&gt;0,"Sold","Available")</f>
        <v>Available</v>
      </c>
    </row>
    <row r="904" spans="5:5" x14ac:dyDescent="0.3">
      <c r="E904" t="str">
        <f>IF(COUNTIF('Sales Entry'!D:D,A904)&gt;0,"Sold","Available")</f>
        <v>Available</v>
      </c>
    </row>
    <row r="905" spans="5:5" x14ac:dyDescent="0.3">
      <c r="E905" t="str">
        <f>IF(COUNTIF('Sales Entry'!D:D,A905)&gt;0,"Sold","Available")</f>
        <v>Available</v>
      </c>
    </row>
    <row r="906" spans="5:5" x14ac:dyDescent="0.3">
      <c r="E906" t="str">
        <f>IF(COUNTIF('Sales Entry'!D:D,A906)&gt;0,"Sold","Available")</f>
        <v>Available</v>
      </c>
    </row>
    <row r="907" spans="5:5" x14ac:dyDescent="0.3">
      <c r="E907" t="str">
        <f>IF(COUNTIF('Sales Entry'!D:D,A907)&gt;0,"Sold","Available")</f>
        <v>Available</v>
      </c>
    </row>
    <row r="908" spans="5:5" x14ac:dyDescent="0.3">
      <c r="E908" t="str">
        <f>IF(COUNTIF('Sales Entry'!D:D,A908)&gt;0,"Sold","Available")</f>
        <v>Available</v>
      </c>
    </row>
    <row r="909" spans="5:5" x14ac:dyDescent="0.3">
      <c r="E909" t="str">
        <f>IF(COUNTIF('Sales Entry'!D:D,A909)&gt;0,"Sold","Available")</f>
        <v>Available</v>
      </c>
    </row>
    <row r="910" spans="5:5" x14ac:dyDescent="0.3">
      <c r="E910" t="str">
        <f>IF(COUNTIF('Sales Entry'!D:D,A910)&gt;0,"Sold","Available")</f>
        <v>Available</v>
      </c>
    </row>
    <row r="911" spans="5:5" x14ac:dyDescent="0.3">
      <c r="E911" t="str">
        <f>IF(COUNTIF('Sales Entry'!D:D,A911)&gt;0,"Sold","Available")</f>
        <v>Available</v>
      </c>
    </row>
    <row r="912" spans="5:5" x14ac:dyDescent="0.3">
      <c r="E912" t="str">
        <f>IF(COUNTIF('Sales Entry'!D:D,A912)&gt;0,"Sold","Available")</f>
        <v>Available</v>
      </c>
    </row>
    <row r="913" spans="5:5" x14ac:dyDescent="0.3">
      <c r="E913" t="str">
        <f>IF(COUNTIF('Sales Entry'!D:D,A913)&gt;0,"Sold","Available")</f>
        <v>Available</v>
      </c>
    </row>
    <row r="914" spans="5:5" x14ac:dyDescent="0.3">
      <c r="E914" t="str">
        <f>IF(COUNTIF('Sales Entry'!D:D,A914)&gt;0,"Sold","Available")</f>
        <v>Available</v>
      </c>
    </row>
    <row r="915" spans="5:5" x14ac:dyDescent="0.3">
      <c r="E915" t="str">
        <f>IF(COUNTIF('Sales Entry'!D:D,A915)&gt;0,"Sold","Available")</f>
        <v>Available</v>
      </c>
    </row>
    <row r="916" spans="5:5" x14ac:dyDescent="0.3">
      <c r="E916" t="str">
        <f>IF(COUNTIF('Sales Entry'!D:D,A916)&gt;0,"Sold","Available")</f>
        <v>Available</v>
      </c>
    </row>
    <row r="917" spans="5:5" x14ac:dyDescent="0.3">
      <c r="E917" t="str">
        <f>IF(COUNTIF('Sales Entry'!D:D,A917)&gt;0,"Sold","Available")</f>
        <v>Available</v>
      </c>
    </row>
    <row r="918" spans="5:5" x14ac:dyDescent="0.3">
      <c r="E918" t="str">
        <f>IF(COUNTIF('Sales Entry'!D:D,A918)&gt;0,"Sold","Available")</f>
        <v>Available</v>
      </c>
    </row>
    <row r="919" spans="5:5" x14ac:dyDescent="0.3">
      <c r="E919" t="str">
        <f>IF(COUNTIF('Sales Entry'!D:D,A919)&gt;0,"Sold","Available")</f>
        <v>Available</v>
      </c>
    </row>
    <row r="920" spans="5:5" x14ac:dyDescent="0.3">
      <c r="E920" t="str">
        <f>IF(COUNTIF('Sales Entry'!D:D,A920)&gt;0,"Sold","Available")</f>
        <v>Available</v>
      </c>
    </row>
    <row r="921" spans="5:5" x14ac:dyDescent="0.3">
      <c r="E921" t="str">
        <f>IF(COUNTIF('Sales Entry'!D:D,A921)&gt;0,"Sold","Available")</f>
        <v>Available</v>
      </c>
    </row>
    <row r="922" spans="5:5" x14ac:dyDescent="0.3">
      <c r="E922" t="str">
        <f>IF(COUNTIF('Sales Entry'!D:D,A922)&gt;0,"Sold","Available")</f>
        <v>Available</v>
      </c>
    </row>
    <row r="923" spans="5:5" x14ac:dyDescent="0.3">
      <c r="E923" t="str">
        <f>IF(COUNTIF('Sales Entry'!D:D,A923)&gt;0,"Sold","Available")</f>
        <v>Available</v>
      </c>
    </row>
    <row r="924" spans="5:5" x14ac:dyDescent="0.3">
      <c r="E924" t="str">
        <f>IF(COUNTIF('Sales Entry'!D:D,A924)&gt;0,"Sold","Available")</f>
        <v>Available</v>
      </c>
    </row>
    <row r="925" spans="5:5" x14ac:dyDescent="0.3">
      <c r="E925" t="str">
        <f>IF(COUNTIF('Sales Entry'!D:D,A925)&gt;0,"Sold","Available")</f>
        <v>Available</v>
      </c>
    </row>
    <row r="926" spans="5:5" x14ac:dyDescent="0.3">
      <c r="E926" t="str">
        <f>IF(COUNTIF('Sales Entry'!D:D,A926)&gt;0,"Sold","Available")</f>
        <v>Available</v>
      </c>
    </row>
    <row r="927" spans="5:5" x14ac:dyDescent="0.3">
      <c r="E927" t="str">
        <f>IF(COUNTIF('Sales Entry'!D:D,A927)&gt;0,"Sold","Available")</f>
        <v>Available</v>
      </c>
    </row>
    <row r="928" spans="5:5" x14ac:dyDescent="0.3">
      <c r="E928" t="str">
        <f>IF(COUNTIF('Sales Entry'!D:D,A928)&gt;0,"Sold","Available")</f>
        <v>Available</v>
      </c>
    </row>
    <row r="929" spans="5:5" x14ac:dyDescent="0.3">
      <c r="E929" t="str">
        <f>IF(COUNTIF('Sales Entry'!D:D,A929)&gt;0,"Sold","Available")</f>
        <v>Available</v>
      </c>
    </row>
    <row r="930" spans="5:5" x14ac:dyDescent="0.3">
      <c r="E930" t="str">
        <f>IF(COUNTIF('Sales Entry'!D:D,A930)&gt;0,"Sold","Available")</f>
        <v>Available</v>
      </c>
    </row>
    <row r="931" spans="5:5" x14ac:dyDescent="0.3">
      <c r="E931" t="str">
        <f>IF(COUNTIF('Sales Entry'!D:D,A931)&gt;0,"Sold","Available")</f>
        <v>Available</v>
      </c>
    </row>
    <row r="932" spans="5:5" x14ac:dyDescent="0.3">
      <c r="E932" t="str">
        <f>IF(COUNTIF('Sales Entry'!D:D,A932)&gt;0,"Sold","Available")</f>
        <v>Available</v>
      </c>
    </row>
    <row r="933" spans="5:5" x14ac:dyDescent="0.3">
      <c r="E933" t="str">
        <f>IF(COUNTIF('Sales Entry'!D:D,A933)&gt;0,"Sold","Available")</f>
        <v>Available</v>
      </c>
    </row>
    <row r="934" spans="5:5" x14ac:dyDescent="0.3">
      <c r="E934" t="str">
        <f>IF(COUNTIF('Sales Entry'!D:D,A934)&gt;0,"Sold","Available")</f>
        <v>Available</v>
      </c>
    </row>
    <row r="935" spans="5:5" x14ac:dyDescent="0.3">
      <c r="E935" t="str">
        <f>IF(COUNTIF('Sales Entry'!D:D,A935)&gt;0,"Sold","Available")</f>
        <v>Available</v>
      </c>
    </row>
    <row r="936" spans="5:5" x14ac:dyDescent="0.3">
      <c r="E936" t="str">
        <f>IF(COUNTIF('Sales Entry'!D:D,A936)&gt;0,"Sold","Available")</f>
        <v>Available</v>
      </c>
    </row>
    <row r="937" spans="5:5" x14ac:dyDescent="0.3">
      <c r="E937" t="str">
        <f>IF(COUNTIF('Sales Entry'!D:D,A937)&gt;0,"Sold","Available")</f>
        <v>Available</v>
      </c>
    </row>
    <row r="938" spans="5:5" x14ac:dyDescent="0.3">
      <c r="E938" t="str">
        <f>IF(COUNTIF('Sales Entry'!D:D,A938)&gt;0,"Sold","Available")</f>
        <v>Available</v>
      </c>
    </row>
    <row r="939" spans="5:5" x14ac:dyDescent="0.3">
      <c r="E939" t="str">
        <f>IF(COUNTIF('Sales Entry'!D:D,A939)&gt;0,"Sold","Available")</f>
        <v>Available</v>
      </c>
    </row>
    <row r="940" spans="5:5" x14ac:dyDescent="0.3">
      <c r="E940" t="str">
        <f>IF(COUNTIF('Sales Entry'!D:D,A940)&gt;0,"Sold","Available")</f>
        <v>Available</v>
      </c>
    </row>
    <row r="941" spans="5:5" x14ac:dyDescent="0.3">
      <c r="E941" t="str">
        <f>IF(COUNTIF('Sales Entry'!D:D,A941)&gt;0,"Sold","Available")</f>
        <v>Available</v>
      </c>
    </row>
    <row r="942" spans="5:5" x14ac:dyDescent="0.3">
      <c r="E942" t="str">
        <f>IF(COUNTIF('Sales Entry'!D:D,A942)&gt;0,"Sold","Available")</f>
        <v>Available</v>
      </c>
    </row>
    <row r="943" spans="5:5" x14ac:dyDescent="0.3">
      <c r="E943" t="str">
        <f>IF(COUNTIF('Sales Entry'!D:D,A943)&gt;0,"Sold","Available")</f>
        <v>Available</v>
      </c>
    </row>
    <row r="944" spans="5:5" x14ac:dyDescent="0.3">
      <c r="E944" t="str">
        <f>IF(COUNTIF('Sales Entry'!D:D,A944)&gt;0,"Sold","Available")</f>
        <v>Available</v>
      </c>
    </row>
    <row r="945" spans="5:5" x14ac:dyDescent="0.3">
      <c r="E945" t="str">
        <f>IF(COUNTIF('Sales Entry'!D:D,A945)&gt;0,"Sold","Available")</f>
        <v>Available</v>
      </c>
    </row>
    <row r="946" spans="5:5" x14ac:dyDescent="0.3">
      <c r="E946" t="str">
        <f>IF(COUNTIF('Sales Entry'!D:D,A946)&gt;0,"Sold","Available")</f>
        <v>Available</v>
      </c>
    </row>
    <row r="947" spans="5:5" x14ac:dyDescent="0.3">
      <c r="E947" t="str">
        <f>IF(COUNTIF('Sales Entry'!D:D,A947)&gt;0,"Sold","Available")</f>
        <v>Available</v>
      </c>
    </row>
    <row r="948" spans="5:5" x14ac:dyDescent="0.3">
      <c r="E948" t="str">
        <f>IF(COUNTIF('Sales Entry'!D:D,A948)&gt;0,"Sold","Available")</f>
        <v>Available</v>
      </c>
    </row>
    <row r="949" spans="5:5" x14ac:dyDescent="0.3">
      <c r="E949" t="str">
        <f>IF(COUNTIF('Sales Entry'!D:D,A949)&gt;0,"Sold","Available")</f>
        <v>Available</v>
      </c>
    </row>
    <row r="950" spans="5:5" x14ac:dyDescent="0.3">
      <c r="E950" t="str">
        <f>IF(COUNTIF('Sales Entry'!D:D,A950)&gt;0,"Sold","Available")</f>
        <v>Available</v>
      </c>
    </row>
    <row r="951" spans="5:5" x14ac:dyDescent="0.3">
      <c r="E951" t="str">
        <f>IF(COUNTIF('Sales Entry'!D:D,A951)&gt;0,"Sold","Available")</f>
        <v>Available</v>
      </c>
    </row>
    <row r="952" spans="5:5" x14ac:dyDescent="0.3">
      <c r="E952" t="str">
        <f>IF(COUNTIF('Sales Entry'!D:D,A952)&gt;0,"Sold","Available")</f>
        <v>Available</v>
      </c>
    </row>
    <row r="953" spans="5:5" x14ac:dyDescent="0.3">
      <c r="E953" t="str">
        <f>IF(COUNTIF('Sales Entry'!D:D,A953)&gt;0,"Sold","Available")</f>
        <v>Available</v>
      </c>
    </row>
    <row r="954" spans="5:5" x14ac:dyDescent="0.3">
      <c r="E954" t="str">
        <f>IF(COUNTIF('Sales Entry'!D:D,A954)&gt;0,"Sold","Available")</f>
        <v>Available</v>
      </c>
    </row>
    <row r="955" spans="5:5" x14ac:dyDescent="0.3">
      <c r="E955" t="str">
        <f>IF(COUNTIF('Sales Entry'!D:D,A955)&gt;0,"Sold","Available")</f>
        <v>Available</v>
      </c>
    </row>
    <row r="956" spans="5:5" x14ac:dyDescent="0.3">
      <c r="E956" t="str">
        <f>IF(COUNTIF('Sales Entry'!D:D,A956)&gt;0,"Sold","Available")</f>
        <v>Available</v>
      </c>
    </row>
    <row r="957" spans="5:5" x14ac:dyDescent="0.3">
      <c r="E957" t="str">
        <f>IF(COUNTIF('Sales Entry'!D:D,A957)&gt;0,"Sold","Available")</f>
        <v>Available</v>
      </c>
    </row>
    <row r="958" spans="5:5" x14ac:dyDescent="0.3">
      <c r="E958" t="str">
        <f>IF(COUNTIF('Sales Entry'!D:D,A958)&gt;0,"Sold","Available")</f>
        <v>Available</v>
      </c>
    </row>
    <row r="959" spans="5:5" x14ac:dyDescent="0.3">
      <c r="E959" t="str">
        <f>IF(COUNTIF('Sales Entry'!D:D,A959)&gt;0,"Sold","Available")</f>
        <v>Available</v>
      </c>
    </row>
    <row r="960" spans="5:5" x14ac:dyDescent="0.3">
      <c r="E960" t="str">
        <f>IF(COUNTIF('Sales Entry'!D:D,A960)&gt;0,"Sold","Available")</f>
        <v>Available</v>
      </c>
    </row>
    <row r="961" spans="5:5" x14ac:dyDescent="0.3">
      <c r="E961" t="str">
        <f>IF(COUNTIF('Sales Entry'!D:D,A961)&gt;0,"Sold","Available")</f>
        <v>Available</v>
      </c>
    </row>
    <row r="962" spans="5:5" x14ac:dyDescent="0.3">
      <c r="E962" t="str">
        <f>IF(COUNTIF('Sales Entry'!D:D,A962)&gt;0,"Sold","Available")</f>
        <v>Available</v>
      </c>
    </row>
    <row r="963" spans="5:5" x14ac:dyDescent="0.3">
      <c r="E963" t="str">
        <f>IF(COUNTIF('Sales Entry'!D:D,A963)&gt;0,"Sold","Available")</f>
        <v>Available</v>
      </c>
    </row>
    <row r="964" spans="5:5" x14ac:dyDescent="0.3">
      <c r="E964" t="str">
        <f>IF(COUNTIF('Sales Entry'!D:D,A964)&gt;0,"Sold","Available")</f>
        <v>Available</v>
      </c>
    </row>
    <row r="965" spans="5:5" x14ac:dyDescent="0.3">
      <c r="E965" t="str">
        <f>IF(COUNTIF('Sales Entry'!D:D,A965)&gt;0,"Sold","Available")</f>
        <v>Available</v>
      </c>
    </row>
    <row r="966" spans="5:5" x14ac:dyDescent="0.3">
      <c r="E966" t="str">
        <f>IF(COUNTIF('Sales Entry'!D:D,A966)&gt;0,"Sold","Available")</f>
        <v>Available</v>
      </c>
    </row>
    <row r="967" spans="5:5" x14ac:dyDescent="0.3">
      <c r="E967" t="str">
        <f>IF(COUNTIF('Sales Entry'!D:D,A967)&gt;0,"Sold","Available")</f>
        <v>Available</v>
      </c>
    </row>
    <row r="968" spans="5:5" x14ac:dyDescent="0.3">
      <c r="E968" t="str">
        <f>IF(COUNTIF('Sales Entry'!D:D,A968)&gt;0,"Sold","Available")</f>
        <v>Available</v>
      </c>
    </row>
    <row r="969" spans="5:5" x14ac:dyDescent="0.3">
      <c r="E969" t="str">
        <f>IF(COUNTIF('Sales Entry'!D:D,A969)&gt;0,"Sold","Available")</f>
        <v>Available</v>
      </c>
    </row>
    <row r="970" spans="5:5" x14ac:dyDescent="0.3">
      <c r="E970" t="str">
        <f>IF(COUNTIF('Sales Entry'!D:D,A970)&gt;0,"Sold","Available")</f>
        <v>Available</v>
      </c>
    </row>
    <row r="971" spans="5:5" x14ac:dyDescent="0.3">
      <c r="E971" t="str">
        <f>IF(COUNTIF('Sales Entry'!D:D,A971)&gt;0,"Sold","Available")</f>
        <v>Available</v>
      </c>
    </row>
    <row r="972" spans="5:5" x14ac:dyDescent="0.3">
      <c r="E972" t="str">
        <f>IF(COUNTIF('Sales Entry'!D:D,A972)&gt;0,"Sold","Available")</f>
        <v>Available</v>
      </c>
    </row>
    <row r="973" spans="5:5" x14ac:dyDescent="0.3">
      <c r="E973" t="str">
        <f>IF(COUNTIF('Sales Entry'!D:D,A973)&gt;0,"Sold","Available")</f>
        <v>Available</v>
      </c>
    </row>
    <row r="974" spans="5:5" x14ac:dyDescent="0.3">
      <c r="E974" t="str">
        <f>IF(COUNTIF('Sales Entry'!D:D,A974)&gt;0,"Sold","Available")</f>
        <v>Available</v>
      </c>
    </row>
    <row r="975" spans="5:5" x14ac:dyDescent="0.3">
      <c r="E975" t="str">
        <f>IF(COUNTIF('Sales Entry'!D:D,A975)&gt;0,"Sold","Available")</f>
        <v>Available</v>
      </c>
    </row>
    <row r="976" spans="5:5" x14ac:dyDescent="0.3">
      <c r="E976" t="str">
        <f>IF(COUNTIF('Sales Entry'!D:D,A976)&gt;0,"Sold","Available")</f>
        <v>Available</v>
      </c>
    </row>
    <row r="977" spans="5:5" x14ac:dyDescent="0.3">
      <c r="E977" t="str">
        <f>IF(COUNTIF('Sales Entry'!D:D,A977)&gt;0,"Sold","Available")</f>
        <v>Available</v>
      </c>
    </row>
    <row r="978" spans="5:5" x14ac:dyDescent="0.3">
      <c r="E978" t="str">
        <f>IF(COUNTIF('Sales Entry'!D:D,A978)&gt;0,"Sold","Available")</f>
        <v>Available</v>
      </c>
    </row>
    <row r="979" spans="5:5" x14ac:dyDescent="0.3">
      <c r="E979" t="str">
        <f>IF(COUNTIF('Sales Entry'!D:D,A979)&gt;0,"Sold","Available")</f>
        <v>Available</v>
      </c>
    </row>
    <row r="980" spans="5:5" x14ac:dyDescent="0.3">
      <c r="E980" t="str">
        <f>IF(COUNTIF('Sales Entry'!D:D,A980)&gt;0,"Sold","Available")</f>
        <v>Available</v>
      </c>
    </row>
    <row r="981" spans="5:5" x14ac:dyDescent="0.3">
      <c r="E981" t="str">
        <f>IF(COUNTIF('Sales Entry'!D:D,A981)&gt;0,"Sold","Available")</f>
        <v>Available</v>
      </c>
    </row>
    <row r="982" spans="5:5" x14ac:dyDescent="0.3">
      <c r="E982" t="str">
        <f>IF(COUNTIF('Sales Entry'!D:D,A982)&gt;0,"Sold","Available")</f>
        <v>Available</v>
      </c>
    </row>
    <row r="983" spans="5:5" x14ac:dyDescent="0.3">
      <c r="E983" t="str">
        <f>IF(COUNTIF('Sales Entry'!D:D,A983)&gt;0,"Sold","Available")</f>
        <v>Available</v>
      </c>
    </row>
    <row r="984" spans="5:5" x14ac:dyDescent="0.3">
      <c r="E984" t="str">
        <f>IF(COUNTIF('Sales Entry'!D:D,A984)&gt;0,"Sold","Available")</f>
        <v>Available</v>
      </c>
    </row>
    <row r="985" spans="5:5" x14ac:dyDescent="0.3">
      <c r="E985" t="str">
        <f>IF(COUNTIF('Sales Entry'!D:D,A985)&gt;0,"Sold","Available")</f>
        <v>Available</v>
      </c>
    </row>
    <row r="986" spans="5:5" x14ac:dyDescent="0.3">
      <c r="E986" t="str">
        <f>IF(COUNTIF('Sales Entry'!D:D,A986)&gt;0,"Sold","Available")</f>
        <v>Available</v>
      </c>
    </row>
    <row r="987" spans="5:5" x14ac:dyDescent="0.3">
      <c r="E987" t="str">
        <f>IF(COUNTIF('Sales Entry'!D:D,A987)&gt;0,"Sold","Available")</f>
        <v>Available</v>
      </c>
    </row>
    <row r="988" spans="5:5" x14ac:dyDescent="0.3">
      <c r="E988" t="str">
        <f>IF(COUNTIF('Sales Entry'!D:D,A988)&gt;0,"Sold","Available")</f>
        <v>Available</v>
      </c>
    </row>
    <row r="989" spans="5:5" x14ac:dyDescent="0.3">
      <c r="E989" t="str">
        <f>IF(COUNTIF('Sales Entry'!D:D,A989)&gt;0,"Sold","Available")</f>
        <v>Available</v>
      </c>
    </row>
    <row r="990" spans="5:5" x14ac:dyDescent="0.3">
      <c r="E990" t="str">
        <f>IF(COUNTIF('Sales Entry'!D:D,A990)&gt;0,"Sold","Available")</f>
        <v>Available</v>
      </c>
    </row>
    <row r="991" spans="5:5" x14ac:dyDescent="0.3">
      <c r="E991" t="str">
        <f>IF(COUNTIF('Sales Entry'!D:D,A991)&gt;0,"Sold","Available")</f>
        <v>Available</v>
      </c>
    </row>
    <row r="992" spans="5:5" x14ac:dyDescent="0.3">
      <c r="E992" t="str">
        <f>IF(COUNTIF('Sales Entry'!D:D,A992)&gt;0,"Sold","Available")</f>
        <v>Available</v>
      </c>
    </row>
    <row r="993" spans="5:5" x14ac:dyDescent="0.3">
      <c r="E993" t="str">
        <f>IF(COUNTIF('Sales Entry'!D:D,A993)&gt;0,"Sold","Available")</f>
        <v>Available</v>
      </c>
    </row>
    <row r="994" spans="5:5" x14ac:dyDescent="0.3">
      <c r="E994" t="str">
        <f>IF(COUNTIF('Sales Entry'!D:D,A994)&gt;0,"Sold","Available")</f>
        <v>Available</v>
      </c>
    </row>
    <row r="995" spans="5:5" x14ac:dyDescent="0.3">
      <c r="E995" t="str">
        <f>IF(COUNTIF('Sales Entry'!D:D,A995)&gt;0,"Sold","Available")</f>
        <v>Available</v>
      </c>
    </row>
    <row r="996" spans="5:5" x14ac:dyDescent="0.3">
      <c r="E996" t="str">
        <f>IF(COUNTIF('Sales Entry'!D:D,A996)&gt;0,"Sold","Available")</f>
        <v>Available</v>
      </c>
    </row>
    <row r="997" spans="5:5" x14ac:dyDescent="0.3">
      <c r="E997" t="str">
        <f>IF(COUNTIF('Sales Entry'!D:D,A997)&gt;0,"Sold","Available")</f>
        <v>Available</v>
      </c>
    </row>
    <row r="998" spans="5:5" x14ac:dyDescent="0.3">
      <c r="E998" t="str">
        <f>IF(COUNTIF('Sales Entry'!D:D,A998)&gt;0,"Sold","Available")</f>
        <v>Available</v>
      </c>
    </row>
    <row r="999" spans="5:5" x14ac:dyDescent="0.3">
      <c r="E999" t="str">
        <f>IF(COUNTIF('Sales Entry'!D:D,A999)&gt;0,"Sold","Available")</f>
        <v>Available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99"/>
  <sheetViews>
    <sheetView workbookViewId="0"/>
  </sheetViews>
  <sheetFormatPr defaultRowHeight="14.4" x14ac:dyDescent="0.3"/>
  <cols>
    <col min="1" max="1" width="4.88671875" bestFit="1" customWidth="1"/>
    <col min="2" max="2" width="7.88671875" bestFit="1" customWidth="1"/>
    <col min="3" max="3" width="8.109375" bestFit="1" customWidth="1"/>
    <col min="4" max="4" width="5.44140625" bestFit="1" customWidth="1"/>
    <col min="5" max="5" width="4.6640625" bestFit="1" customWidth="1"/>
    <col min="6" max="6" width="8.5546875" bestFit="1" customWidth="1"/>
    <col min="7" max="8" width="8.6640625" bestFit="1" customWidth="1"/>
  </cols>
  <sheetData>
    <row r="1" spans="1:8" x14ac:dyDescent="0.3">
      <c r="A1" s="1" t="s">
        <v>16</v>
      </c>
      <c r="B1" s="1" t="s">
        <v>17</v>
      </c>
      <c r="C1" s="1" t="s">
        <v>11</v>
      </c>
      <c r="D1" s="1" t="s">
        <v>12</v>
      </c>
      <c r="E1" s="1" t="s">
        <v>18</v>
      </c>
      <c r="F1" s="1" t="s">
        <v>6</v>
      </c>
      <c r="G1" s="1" t="s">
        <v>13</v>
      </c>
      <c r="H1" s="1" t="s">
        <v>19</v>
      </c>
    </row>
    <row r="2" spans="1:8" x14ac:dyDescent="0.3">
      <c r="G2" t="e">
        <f>E2*VLOOKUP(F2,'FX Rates'!A:B,2,FALSE)</f>
        <v>#N/A</v>
      </c>
    </row>
    <row r="3" spans="1:8" x14ac:dyDescent="0.3">
      <c r="G3" t="e">
        <f>E3*VLOOKUP(F3,'FX Rates'!A:B,2,FALSE)</f>
        <v>#N/A</v>
      </c>
    </row>
    <row r="4" spans="1:8" x14ac:dyDescent="0.3">
      <c r="G4" t="e">
        <f>E4*VLOOKUP(F4,'FX Rates'!A:B,2,FALSE)</f>
        <v>#N/A</v>
      </c>
    </row>
    <row r="5" spans="1:8" x14ac:dyDescent="0.3">
      <c r="G5" t="e">
        <f>E5*VLOOKUP(F5,'FX Rates'!A:B,2,FALSE)</f>
        <v>#N/A</v>
      </c>
    </row>
    <row r="6" spans="1:8" x14ac:dyDescent="0.3">
      <c r="G6" t="e">
        <f>E6*VLOOKUP(F6,'FX Rates'!A:B,2,FALSE)</f>
        <v>#N/A</v>
      </c>
    </row>
    <row r="7" spans="1:8" x14ac:dyDescent="0.3">
      <c r="G7" t="e">
        <f>E7*VLOOKUP(F7,'FX Rates'!A:B,2,FALSE)</f>
        <v>#N/A</v>
      </c>
    </row>
    <row r="8" spans="1:8" x14ac:dyDescent="0.3">
      <c r="G8" t="e">
        <f>E8*VLOOKUP(F8,'FX Rates'!A:B,2,FALSE)</f>
        <v>#N/A</v>
      </c>
    </row>
    <row r="9" spans="1:8" x14ac:dyDescent="0.3">
      <c r="G9" t="e">
        <f>E9*VLOOKUP(F9,'FX Rates'!A:B,2,FALSE)</f>
        <v>#N/A</v>
      </c>
    </row>
    <row r="10" spans="1:8" x14ac:dyDescent="0.3">
      <c r="G10" t="e">
        <f>E10*VLOOKUP(F10,'FX Rates'!A:B,2,FALSE)</f>
        <v>#N/A</v>
      </c>
    </row>
    <row r="11" spans="1:8" x14ac:dyDescent="0.3">
      <c r="G11" t="e">
        <f>E11*VLOOKUP(F11,'FX Rates'!A:B,2,FALSE)</f>
        <v>#N/A</v>
      </c>
    </row>
    <row r="12" spans="1:8" x14ac:dyDescent="0.3">
      <c r="G12" t="e">
        <f>E12*VLOOKUP(F12,'FX Rates'!A:B,2,FALSE)</f>
        <v>#N/A</v>
      </c>
    </row>
    <row r="13" spans="1:8" x14ac:dyDescent="0.3">
      <c r="G13" t="e">
        <f>E13*VLOOKUP(F13,'FX Rates'!A:B,2,FALSE)</f>
        <v>#N/A</v>
      </c>
    </row>
    <row r="14" spans="1:8" x14ac:dyDescent="0.3">
      <c r="G14" t="e">
        <f>E14*VLOOKUP(F14,'FX Rates'!A:B,2,FALSE)</f>
        <v>#N/A</v>
      </c>
    </row>
    <row r="15" spans="1:8" x14ac:dyDescent="0.3">
      <c r="G15" t="e">
        <f>E15*VLOOKUP(F15,'FX Rates'!A:B,2,FALSE)</f>
        <v>#N/A</v>
      </c>
    </row>
    <row r="16" spans="1:8" x14ac:dyDescent="0.3">
      <c r="G16" t="e">
        <f>E16*VLOOKUP(F16,'FX Rates'!A:B,2,FALSE)</f>
        <v>#N/A</v>
      </c>
    </row>
    <row r="17" spans="7:7" x14ac:dyDescent="0.3">
      <c r="G17" t="e">
        <f>E17*VLOOKUP(F17,'FX Rates'!A:B,2,FALSE)</f>
        <v>#N/A</v>
      </c>
    </row>
    <row r="18" spans="7:7" x14ac:dyDescent="0.3">
      <c r="G18" t="e">
        <f>E18*VLOOKUP(F18,'FX Rates'!A:B,2,FALSE)</f>
        <v>#N/A</v>
      </c>
    </row>
    <row r="19" spans="7:7" x14ac:dyDescent="0.3">
      <c r="G19" t="e">
        <f>E19*VLOOKUP(F19,'FX Rates'!A:B,2,FALSE)</f>
        <v>#N/A</v>
      </c>
    </row>
    <row r="20" spans="7:7" x14ac:dyDescent="0.3">
      <c r="G20" t="e">
        <f>E20*VLOOKUP(F20,'FX Rates'!A:B,2,FALSE)</f>
        <v>#N/A</v>
      </c>
    </row>
    <row r="21" spans="7:7" x14ac:dyDescent="0.3">
      <c r="G21" t="e">
        <f>E21*VLOOKUP(F21,'FX Rates'!A:B,2,FALSE)</f>
        <v>#N/A</v>
      </c>
    </row>
    <row r="22" spans="7:7" x14ac:dyDescent="0.3">
      <c r="G22" t="e">
        <f>E22*VLOOKUP(F22,'FX Rates'!A:B,2,FALSE)</f>
        <v>#N/A</v>
      </c>
    </row>
    <row r="23" spans="7:7" x14ac:dyDescent="0.3">
      <c r="G23" t="e">
        <f>E23*VLOOKUP(F23,'FX Rates'!A:B,2,FALSE)</f>
        <v>#N/A</v>
      </c>
    </row>
    <row r="24" spans="7:7" x14ac:dyDescent="0.3">
      <c r="G24" t="e">
        <f>E24*VLOOKUP(F24,'FX Rates'!A:B,2,FALSE)</f>
        <v>#N/A</v>
      </c>
    </row>
    <row r="25" spans="7:7" x14ac:dyDescent="0.3">
      <c r="G25" t="e">
        <f>E25*VLOOKUP(F25,'FX Rates'!A:B,2,FALSE)</f>
        <v>#N/A</v>
      </c>
    </row>
    <row r="26" spans="7:7" x14ac:dyDescent="0.3">
      <c r="G26" t="e">
        <f>E26*VLOOKUP(F26,'FX Rates'!A:B,2,FALSE)</f>
        <v>#N/A</v>
      </c>
    </row>
    <row r="27" spans="7:7" x14ac:dyDescent="0.3">
      <c r="G27" t="e">
        <f>E27*VLOOKUP(F27,'FX Rates'!A:B,2,FALSE)</f>
        <v>#N/A</v>
      </c>
    </row>
    <row r="28" spans="7:7" x14ac:dyDescent="0.3">
      <c r="G28" t="e">
        <f>E28*VLOOKUP(F28,'FX Rates'!A:B,2,FALSE)</f>
        <v>#N/A</v>
      </c>
    </row>
    <row r="29" spans="7:7" x14ac:dyDescent="0.3">
      <c r="G29" t="e">
        <f>E29*VLOOKUP(F29,'FX Rates'!A:B,2,FALSE)</f>
        <v>#N/A</v>
      </c>
    </row>
    <row r="30" spans="7:7" x14ac:dyDescent="0.3">
      <c r="G30" t="e">
        <f>E30*VLOOKUP(F30,'FX Rates'!A:B,2,FALSE)</f>
        <v>#N/A</v>
      </c>
    </row>
    <row r="31" spans="7:7" x14ac:dyDescent="0.3">
      <c r="G31" t="e">
        <f>E31*VLOOKUP(F31,'FX Rates'!A:B,2,FALSE)</f>
        <v>#N/A</v>
      </c>
    </row>
    <row r="32" spans="7:7" x14ac:dyDescent="0.3">
      <c r="G32" t="e">
        <f>E32*VLOOKUP(F32,'FX Rates'!A:B,2,FALSE)</f>
        <v>#N/A</v>
      </c>
    </row>
    <row r="33" spans="7:7" x14ac:dyDescent="0.3">
      <c r="G33" t="e">
        <f>E33*VLOOKUP(F33,'FX Rates'!A:B,2,FALSE)</f>
        <v>#N/A</v>
      </c>
    </row>
    <row r="34" spans="7:7" x14ac:dyDescent="0.3">
      <c r="G34" t="e">
        <f>E34*VLOOKUP(F34,'FX Rates'!A:B,2,FALSE)</f>
        <v>#N/A</v>
      </c>
    </row>
    <row r="35" spans="7:7" x14ac:dyDescent="0.3">
      <c r="G35" t="e">
        <f>E35*VLOOKUP(F35,'FX Rates'!A:B,2,FALSE)</f>
        <v>#N/A</v>
      </c>
    </row>
    <row r="36" spans="7:7" x14ac:dyDescent="0.3">
      <c r="G36" t="e">
        <f>E36*VLOOKUP(F36,'FX Rates'!A:B,2,FALSE)</f>
        <v>#N/A</v>
      </c>
    </row>
    <row r="37" spans="7:7" x14ac:dyDescent="0.3">
      <c r="G37" t="e">
        <f>E37*VLOOKUP(F37,'FX Rates'!A:B,2,FALSE)</f>
        <v>#N/A</v>
      </c>
    </row>
    <row r="38" spans="7:7" x14ac:dyDescent="0.3">
      <c r="G38" t="e">
        <f>E38*VLOOKUP(F38,'FX Rates'!A:B,2,FALSE)</f>
        <v>#N/A</v>
      </c>
    </row>
    <row r="39" spans="7:7" x14ac:dyDescent="0.3">
      <c r="G39" t="e">
        <f>E39*VLOOKUP(F39,'FX Rates'!A:B,2,FALSE)</f>
        <v>#N/A</v>
      </c>
    </row>
    <row r="40" spans="7:7" x14ac:dyDescent="0.3">
      <c r="G40" t="e">
        <f>E40*VLOOKUP(F40,'FX Rates'!A:B,2,FALSE)</f>
        <v>#N/A</v>
      </c>
    </row>
    <row r="41" spans="7:7" x14ac:dyDescent="0.3">
      <c r="G41" t="e">
        <f>E41*VLOOKUP(F41,'FX Rates'!A:B,2,FALSE)</f>
        <v>#N/A</v>
      </c>
    </row>
    <row r="42" spans="7:7" x14ac:dyDescent="0.3">
      <c r="G42" t="e">
        <f>E42*VLOOKUP(F42,'FX Rates'!A:B,2,FALSE)</f>
        <v>#N/A</v>
      </c>
    </row>
    <row r="43" spans="7:7" x14ac:dyDescent="0.3">
      <c r="G43" t="e">
        <f>E43*VLOOKUP(F43,'FX Rates'!A:B,2,FALSE)</f>
        <v>#N/A</v>
      </c>
    </row>
    <row r="44" spans="7:7" x14ac:dyDescent="0.3">
      <c r="G44" t="e">
        <f>E44*VLOOKUP(F44,'FX Rates'!A:B,2,FALSE)</f>
        <v>#N/A</v>
      </c>
    </row>
    <row r="45" spans="7:7" x14ac:dyDescent="0.3">
      <c r="G45" t="e">
        <f>E45*VLOOKUP(F45,'FX Rates'!A:B,2,FALSE)</f>
        <v>#N/A</v>
      </c>
    </row>
    <row r="46" spans="7:7" x14ac:dyDescent="0.3">
      <c r="G46" t="e">
        <f>E46*VLOOKUP(F46,'FX Rates'!A:B,2,FALSE)</f>
        <v>#N/A</v>
      </c>
    </row>
    <row r="47" spans="7:7" x14ac:dyDescent="0.3">
      <c r="G47" t="e">
        <f>E47*VLOOKUP(F47,'FX Rates'!A:B,2,FALSE)</f>
        <v>#N/A</v>
      </c>
    </row>
    <row r="48" spans="7:7" x14ac:dyDescent="0.3">
      <c r="G48" t="e">
        <f>E48*VLOOKUP(F48,'FX Rates'!A:B,2,FALSE)</f>
        <v>#N/A</v>
      </c>
    </row>
    <row r="49" spans="7:7" x14ac:dyDescent="0.3">
      <c r="G49" t="e">
        <f>E49*VLOOKUP(F49,'FX Rates'!A:B,2,FALSE)</f>
        <v>#N/A</v>
      </c>
    </row>
    <row r="50" spans="7:7" x14ac:dyDescent="0.3">
      <c r="G50" t="e">
        <f>E50*VLOOKUP(F50,'FX Rates'!A:B,2,FALSE)</f>
        <v>#N/A</v>
      </c>
    </row>
    <row r="51" spans="7:7" x14ac:dyDescent="0.3">
      <c r="G51" t="e">
        <f>E51*VLOOKUP(F51,'FX Rates'!A:B,2,FALSE)</f>
        <v>#N/A</v>
      </c>
    </row>
    <row r="52" spans="7:7" x14ac:dyDescent="0.3">
      <c r="G52" t="e">
        <f>E52*VLOOKUP(F52,'FX Rates'!A:B,2,FALSE)</f>
        <v>#N/A</v>
      </c>
    </row>
    <row r="53" spans="7:7" x14ac:dyDescent="0.3">
      <c r="G53" t="e">
        <f>E53*VLOOKUP(F53,'FX Rates'!A:B,2,FALSE)</f>
        <v>#N/A</v>
      </c>
    </row>
    <row r="54" spans="7:7" x14ac:dyDescent="0.3">
      <c r="G54" t="e">
        <f>E54*VLOOKUP(F54,'FX Rates'!A:B,2,FALSE)</f>
        <v>#N/A</v>
      </c>
    </row>
    <row r="55" spans="7:7" x14ac:dyDescent="0.3">
      <c r="G55" t="e">
        <f>E55*VLOOKUP(F55,'FX Rates'!A:B,2,FALSE)</f>
        <v>#N/A</v>
      </c>
    </row>
    <row r="56" spans="7:7" x14ac:dyDescent="0.3">
      <c r="G56" t="e">
        <f>E56*VLOOKUP(F56,'FX Rates'!A:B,2,FALSE)</f>
        <v>#N/A</v>
      </c>
    </row>
    <row r="57" spans="7:7" x14ac:dyDescent="0.3">
      <c r="G57" t="e">
        <f>E57*VLOOKUP(F57,'FX Rates'!A:B,2,FALSE)</f>
        <v>#N/A</v>
      </c>
    </row>
    <row r="58" spans="7:7" x14ac:dyDescent="0.3">
      <c r="G58" t="e">
        <f>E58*VLOOKUP(F58,'FX Rates'!A:B,2,FALSE)</f>
        <v>#N/A</v>
      </c>
    </row>
    <row r="59" spans="7:7" x14ac:dyDescent="0.3">
      <c r="G59" t="e">
        <f>E59*VLOOKUP(F59,'FX Rates'!A:B,2,FALSE)</f>
        <v>#N/A</v>
      </c>
    </row>
    <row r="60" spans="7:7" x14ac:dyDescent="0.3">
      <c r="G60" t="e">
        <f>E60*VLOOKUP(F60,'FX Rates'!A:B,2,FALSE)</f>
        <v>#N/A</v>
      </c>
    </row>
    <row r="61" spans="7:7" x14ac:dyDescent="0.3">
      <c r="G61" t="e">
        <f>E61*VLOOKUP(F61,'FX Rates'!A:B,2,FALSE)</f>
        <v>#N/A</v>
      </c>
    </row>
    <row r="62" spans="7:7" x14ac:dyDescent="0.3">
      <c r="G62" t="e">
        <f>E62*VLOOKUP(F62,'FX Rates'!A:B,2,FALSE)</f>
        <v>#N/A</v>
      </c>
    </row>
    <row r="63" spans="7:7" x14ac:dyDescent="0.3">
      <c r="G63" t="e">
        <f>E63*VLOOKUP(F63,'FX Rates'!A:B,2,FALSE)</f>
        <v>#N/A</v>
      </c>
    </row>
    <row r="64" spans="7:7" x14ac:dyDescent="0.3">
      <c r="G64" t="e">
        <f>E64*VLOOKUP(F64,'FX Rates'!A:B,2,FALSE)</f>
        <v>#N/A</v>
      </c>
    </row>
    <row r="65" spans="7:7" x14ac:dyDescent="0.3">
      <c r="G65" t="e">
        <f>E65*VLOOKUP(F65,'FX Rates'!A:B,2,FALSE)</f>
        <v>#N/A</v>
      </c>
    </row>
    <row r="66" spans="7:7" x14ac:dyDescent="0.3">
      <c r="G66" t="e">
        <f>E66*VLOOKUP(F66,'FX Rates'!A:B,2,FALSE)</f>
        <v>#N/A</v>
      </c>
    </row>
    <row r="67" spans="7:7" x14ac:dyDescent="0.3">
      <c r="G67" t="e">
        <f>E67*VLOOKUP(F67,'FX Rates'!A:B,2,FALSE)</f>
        <v>#N/A</v>
      </c>
    </row>
    <row r="68" spans="7:7" x14ac:dyDescent="0.3">
      <c r="G68" t="e">
        <f>E68*VLOOKUP(F68,'FX Rates'!A:B,2,FALSE)</f>
        <v>#N/A</v>
      </c>
    </row>
    <row r="69" spans="7:7" x14ac:dyDescent="0.3">
      <c r="G69" t="e">
        <f>E69*VLOOKUP(F69,'FX Rates'!A:B,2,FALSE)</f>
        <v>#N/A</v>
      </c>
    </row>
    <row r="70" spans="7:7" x14ac:dyDescent="0.3">
      <c r="G70" t="e">
        <f>E70*VLOOKUP(F70,'FX Rates'!A:B,2,FALSE)</f>
        <v>#N/A</v>
      </c>
    </row>
    <row r="71" spans="7:7" x14ac:dyDescent="0.3">
      <c r="G71" t="e">
        <f>E71*VLOOKUP(F71,'FX Rates'!A:B,2,FALSE)</f>
        <v>#N/A</v>
      </c>
    </row>
    <row r="72" spans="7:7" x14ac:dyDescent="0.3">
      <c r="G72" t="e">
        <f>E72*VLOOKUP(F72,'FX Rates'!A:B,2,FALSE)</f>
        <v>#N/A</v>
      </c>
    </row>
    <row r="73" spans="7:7" x14ac:dyDescent="0.3">
      <c r="G73" t="e">
        <f>E73*VLOOKUP(F73,'FX Rates'!A:B,2,FALSE)</f>
        <v>#N/A</v>
      </c>
    </row>
    <row r="74" spans="7:7" x14ac:dyDescent="0.3">
      <c r="G74" t="e">
        <f>E74*VLOOKUP(F74,'FX Rates'!A:B,2,FALSE)</f>
        <v>#N/A</v>
      </c>
    </row>
    <row r="75" spans="7:7" x14ac:dyDescent="0.3">
      <c r="G75" t="e">
        <f>E75*VLOOKUP(F75,'FX Rates'!A:B,2,FALSE)</f>
        <v>#N/A</v>
      </c>
    </row>
    <row r="76" spans="7:7" x14ac:dyDescent="0.3">
      <c r="G76" t="e">
        <f>E76*VLOOKUP(F76,'FX Rates'!A:B,2,FALSE)</f>
        <v>#N/A</v>
      </c>
    </row>
    <row r="77" spans="7:7" x14ac:dyDescent="0.3">
      <c r="G77" t="e">
        <f>E77*VLOOKUP(F77,'FX Rates'!A:B,2,FALSE)</f>
        <v>#N/A</v>
      </c>
    </row>
    <row r="78" spans="7:7" x14ac:dyDescent="0.3">
      <c r="G78" t="e">
        <f>E78*VLOOKUP(F78,'FX Rates'!A:B,2,FALSE)</f>
        <v>#N/A</v>
      </c>
    </row>
    <row r="79" spans="7:7" x14ac:dyDescent="0.3">
      <c r="G79" t="e">
        <f>E79*VLOOKUP(F79,'FX Rates'!A:B,2,FALSE)</f>
        <v>#N/A</v>
      </c>
    </row>
    <row r="80" spans="7:7" x14ac:dyDescent="0.3">
      <c r="G80" t="e">
        <f>E80*VLOOKUP(F80,'FX Rates'!A:B,2,FALSE)</f>
        <v>#N/A</v>
      </c>
    </row>
    <row r="81" spans="7:7" x14ac:dyDescent="0.3">
      <c r="G81" t="e">
        <f>E81*VLOOKUP(F81,'FX Rates'!A:B,2,FALSE)</f>
        <v>#N/A</v>
      </c>
    </row>
    <row r="82" spans="7:7" x14ac:dyDescent="0.3">
      <c r="G82" t="e">
        <f>E82*VLOOKUP(F82,'FX Rates'!A:B,2,FALSE)</f>
        <v>#N/A</v>
      </c>
    </row>
    <row r="83" spans="7:7" x14ac:dyDescent="0.3">
      <c r="G83" t="e">
        <f>E83*VLOOKUP(F83,'FX Rates'!A:B,2,FALSE)</f>
        <v>#N/A</v>
      </c>
    </row>
    <row r="84" spans="7:7" x14ac:dyDescent="0.3">
      <c r="G84" t="e">
        <f>E84*VLOOKUP(F84,'FX Rates'!A:B,2,FALSE)</f>
        <v>#N/A</v>
      </c>
    </row>
    <row r="85" spans="7:7" x14ac:dyDescent="0.3">
      <c r="G85" t="e">
        <f>E85*VLOOKUP(F85,'FX Rates'!A:B,2,FALSE)</f>
        <v>#N/A</v>
      </c>
    </row>
    <row r="86" spans="7:7" x14ac:dyDescent="0.3">
      <c r="G86" t="e">
        <f>E86*VLOOKUP(F86,'FX Rates'!A:B,2,FALSE)</f>
        <v>#N/A</v>
      </c>
    </row>
    <row r="87" spans="7:7" x14ac:dyDescent="0.3">
      <c r="G87" t="e">
        <f>E87*VLOOKUP(F87,'FX Rates'!A:B,2,FALSE)</f>
        <v>#N/A</v>
      </c>
    </row>
    <row r="88" spans="7:7" x14ac:dyDescent="0.3">
      <c r="G88" t="e">
        <f>E88*VLOOKUP(F88,'FX Rates'!A:B,2,FALSE)</f>
        <v>#N/A</v>
      </c>
    </row>
    <row r="89" spans="7:7" x14ac:dyDescent="0.3">
      <c r="G89" t="e">
        <f>E89*VLOOKUP(F89,'FX Rates'!A:B,2,FALSE)</f>
        <v>#N/A</v>
      </c>
    </row>
    <row r="90" spans="7:7" x14ac:dyDescent="0.3">
      <c r="G90" t="e">
        <f>E90*VLOOKUP(F90,'FX Rates'!A:B,2,FALSE)</f>
        <v>#N/A</v>
      </c>
    </row>
    <row r="91" spans="7:7" x14ac:dyDescent="0.3">
      <c r="G91" t="e">
        <f>E91*VLOOKUP(F91,'FX Rates'!A:B,2,FALSE)</f>
        <v>#N/A</v>
      </c>
    </row>
    <row r="92" spans="7:7" x14ac:dyDescent="0.3">
      <c r="G92" t="e">
        <f>E92*VLOOKUP(F92,'FX Rates'!A:B,2,FALSE)</f>
        <v>#N/A</v>
      </c>
    </row>
    <row r="93" spans="7:7" x14ac:dyDescent="0.3">
      <c r="G93" t="e">
        <f>E93*VLOOKUP(F93,'FX Rates'!A:B,2,FALSE)</f>
        <v>#N/A</v>
      </c>
    </row>
    <row r="94" spans="7:7" x14ac:dyDescent="0.3">
      <c r="G94" t="e">
        <f>E94*VLOOKUP(F94,'FX Rates'!A:B,2,FALSE)</f>
        <v>#N/A</v>
      </c>
    </row>
    <row r="95" spans="7:7" x14ac:dyDescent="0.3">
      <c r="G95" t="e">
        <f>E95*VLOOKUP(F95,'FX Rates'!A:B,2,FALSE)</f>
        <v>#N/A</v>
      </c>
    </row>
    <row r="96" spans="7:7" x14ac:dyDescent="0.3">
      <c r="G96" t="e">
        <f>E96*VLOOKUP(F96,'FX Rates'!A:B,2,FALSE)</f>
        <v>#N/A</v>
      </c>
    </row>
    <row r="97" spans="7:7" x14ac:dyDescent="0.3">
      <c r="G97" t="e">
        <f>E97*VLOOKUP(F97,'FX Rates'!A:B,2,FALSE)</f>
        <v>#N/A</v>
      </c>
    </row>
    <row r="98" spans="7:7" x14ac:dyDescent="0.3">
      <c r="G98" t="e">
        <f>E98*VLOOKUP(F98,'FX Rates'!A:B,2,FALSE)</f>
        <v>#N/A</v>
      </c>
    </row>
    <row r="99" spans="7:7" x14ac:dyDescent="0.3">
      <c r="G99" t="e">
        <f>E99*VLOOKUP(F99,'FX Rates'!A:B,2,FALSE)</f>
        <v>#N/A</v>
      </c>
    </row>
    <row r="100" spans="7:7" x14ac:dyDescent="0.3">
      <c r="G100" t="e">
        <f>E100*VLOOKUP(F100,'FX Rates'!A:B,2,FALSE)</f>
        <v>#N/A</v>
      </c>
    </row>
    <row r="101" spans="7:7" x14ac:dyDescent="0.3">
      <c r="G101" t="e">
        <f>E101*VLOOKUP(F101,'FX Rates'!A:B,2,FALSE)</f>
        <v>#N/A</v>
      </c>
    </row>
    <row r="102" spans="7:7" x14ac:dyDescent="0.3">
      <c r="G102" t="e">
        <f>E102*VLOOKUP(F102,'FX Rates'!A:B,2,FALSE)</f>
        <v>#N/A</v>
      </c>
    </row>
    <row r="103" spans="7:7" x14ac:dyDescent="0.3">
      <c r="G103" t="e">
        <f>E103*VLOOKUP(F103,'FX Rates'!A:B,2,FALSE)</f>
        <v>#N/A</v>
      </c>
    </row>
    <row r="104" spans="7:7" x14ac:dyDescent="0.3">
      <c r="G104" t="e">
        <f>E104*VLOOKUP(F104,'FX Rates'!A:B,2,FALSE)</f>
        <v>#N/A</v>
      </c>
    </row>
    <row r="105" spans="7:7" x14ac:dyDescent="0.3">
      <c r="G105" t="e">
        <f>E105*VLOOKUP(F105,'FX Rates'!A:B,2,FALSE)</f>
        <v>#N/A</v>
      </c>
    </row>
    <row r="106" spans="7:7" x14ac:dyDescent="0.3">
      <c r="G106" t="e">
        <f>E106*VLOOKUP(F106,'FX Rates'!A:B,2,FALSE)</f>
        <v>#N/A</v>
      </c>
    </row>
    <row r="107" spans="7:7" x14ac:dyDescent="0.3">
      <c r="G107" t="e">
        <f>E107*VLOOKUP(F107,'FX Rates'!A:B,2,FALSE)</f>
        <v>#N/A</v>
      </c>
    </row>
    <row r="108" spans="7:7" x14ac:dyDescent="0.3">
      <c r="G108" t="e">
        <f>E108*VLOOKUP(F108,'FX Rates'!A:B,2,FALSE)</f>
        <v>#N/A</v>
      </c>
    </row>
    <row r="109" spans="7:7" x14ac:dyDescent="0.3">
      <c r="G109" t="e">
        <f>E109*VLOOKUP(F109,'FX Rates'!A:B,2,FALSE)</f>
        <v>#N/A</v>
      </c>
    </row>
    <row r="110" spans="7:7" x14ac:dyDescent="0.3">
      <c r="G110" t="e">
        <f>E110*VLOOKUP(F110,'FX Rates'!A:B,2,FALSE)</f>
        <v>#N/A</v>
      </c>
    </row>
    <row r="111" spans="7:7" x14ac:dyDescent="0.3">
      <c r="G111" t="e">
        <f>E111*VLOOKUP(F111,'FX Rates'!A:B,2,FALSE)</f>
        <v>#N/A</v>
      </c>
    </row>
    <row r="112" spans="7:7" x14ac:dyDescent="0.3">
      <c r="G112" t="e">
        <f>E112*VLOOKUP(F112,'FX Rates'!A:B,2,FALSE)</f>
        <v>#N/A</v>
      </c>
    </row>
    <row r="113" spans="7:7" x14ac:dyDescent="0.3">
      <c r="G113" t="e">
        <f>E113*VLOOKUP(F113,'FX Rates'!A:B,2,FALSE)</f>
        <v>#N/A</v>
      </c>
    </row>
    <row r="114" spans="7:7" x14ac:dyDescent="0.3">
      <c r="G114" t="e">
        <f>E114*VLOOKUP(F114,'FX Rates'!A:B,2,FALSE)</f>
        <v>#N/A</v>
      </c>
    </row>
    <row r="115" spans="7:7" x14ac:dyDescent="0.3">
      <c r="G115" t="e">
        <f>E115*VLOOKUP(F115,'FX Rates'!A:B,2,FALSE)</f>
        <v>#N/A</v>
      </c>
    </row>
    <row r="116" spans="7:7" x14ac:dyDescent="0.3">
      <c r="G116" t="e">
        <f>E116*VLOOKUP(F116,'FX Rates'!A:B,2,FALSE)</f>
        <v>#N/A</v>
      </c>
    </row>
    <row r="117" spans="7:7" x14ac:dyDescent="0.3">
      <c r="G117" t="e">
        <f>E117*VLOOKUP(F117,'FX Rates'!A:B,2,FALSE)</f>
        <v>#N/A</v>
      </c>
    </row>
    <row r="118" spans="7:7" x14ac:dyDescent="0.3">
      <c r="G118" t="e">
        <f>E118*VLOOKUP(F118,'FX Rates'!A:B,2,FALSE)</f>
        <v>#N/A</v>
      </c>
    </row>
    <row r="119" spans="7:7" x14ac:dyDescent="0.3">
      <c r="G119" t="e">
        <f>E119*VLOOKUP(F119,'FX Rates'!A:B,2,FALSE)</f>
        <v>#N/A</v>
      </c>
    </row>
    <row r="120" spans="7:7" x14ac:dyDescent="0.3">
      <c r="G120" t="e">
        <f>E120*VLOOKUP(F120,'FX Rates'!A:B,2,FALSE)</f>
        <v>#N/A</v>
      </c>
    </row>
    <row r="121" spans="7:7" x14ac:dyDescent="0.3">
      <c r="G121" t="e">
        <f>E121*VLOOKUP(F121,'FX Rates'!A:B,2,FALSE)</f>
        <v>#N/A</v>
      </c>
    </row>
    <row r="122" spans="7:7" x14ac:dyDescent="0.3">
      <c r="G122" t="e">
        <f>E122*VLOOKUP(F122,'FX Rates'!A:B,2,FALSE)</f>
        <v>#N/A</v>
      </c>
    </row>
    <row r="123" spans="7:7" x14ac:dyDescent="0.3">
      <c r="G123" t="e">
        <f>E123*VLOOKUP(F123,'FX Rates'!A:B,2,FALSE)</f>
        <v>#N/A</v>
      </c>
    </row>
    <row r="124" spans="7:7" x14ac:dyDescent="0.3">
      <c r="G124" t="e">
        <f>E124*VLOOKUP(F124,'FX Rates'!A:B,2,FALSE)</f>
        <v>#N/A</v>
      </c>
    </row>
    <row r="125" spans="7:7" x14ac:dyDescent="0.3">
      <c r="G125" t="e">
        <f>E125*VLOOKUP(F125,'FX Rates'!A:B,2,FALSE)</f>
        <v>#N/A</v>
      </c>
    </row>
    <row r="126" spans="7:7" x14ac:dyDescent="0.3">
      <c r="G126" t="e">
        <f>E126*VLOOKUP(F126,'FX Rates'!A:B,2,FALSE)</f>
        <v>#N/A</v>
      </c>
    </row>
    <row r="127" spans="7:7" x14ac:dyDescent="0.3">
      <c r="G127" t="e">
        <f>E127*VLOOKUP(F127,'FX Rates'!A:B,2,FALSE)</f>
        <v>#N/A</v>
      </c>
    </row>
    <row r="128" spans="7:7" x14ac:dyDescent="0.3">
      <c r="G128" t="e">
        <f>E128*VLOOKUP(F128,'FX Rates'!A:B,2,FALSE)</f>
        <v>#N/A</v>
      </c>
    </row>
    <row r="129" spans="7:7" x14ac:dyDescent="0.3">
      <c r="G129" t="e">
        <f>E129*VLOOKUP(F129,'FX Rates'!A:B,2,FALSE)</f>
        <v>#N/A</v>
      </c>
    </row>
    <row r="130" spans="7:7" x14ac:dyDescent="0.3">
      <c r="G130" t="e">
        <f>E130*VLOOKUP(F130,'FX Rates'!A:B,2,FALSE)</f>
        <v>#N/A</v>
      </c>
    </row>
    <row r="131" spans="7:7" x14ac:dyDescent="0.3">
      <c r="G131" t="e">
        <f>E131*VLOOKUP(F131,'FX Rates'!A:B,2,FALSE)</f>
        <v>#N/A</v>
      </c>
    </row>
    <row r="132" spans="7:7" x14ac:dyDescent="0.3">
      <c r="G132" t="e">
        <f>E132*VLOOKUP(F132,'FX Rates'!A:B,2,FALSE)</f>
        <v>#N/A</v>
      </c>
    </row>
    <row r="133" spans="7:7" x14ac:dyDescent="0.3">
      <c r="G133" t="e">
        <f>E133*VLOOKUP(F133,'FX Rates'!A:B,2,FALSE)</f>
        <v>#N/A</v>
      </c>
    </row>
    <row r="134" spans="7:7" x14ac:dyDescent="0.3">
      <c r="G134" t="e">
        <f>E134*VLOOKUP(F134,'FX Rates'!A:B,2,FALSE)</f>
        <v>#N/A</v>
      </c>
    </row>
    <row r="135" spans="7:7" x14ac:dyDescent="0.3">
      <c r="G135" t="e">
        <f>E135*VLOOKUP(F135,'FX Rates'!A:B,2,FALSE)</f>
        <v>#N/A</v>
      </c>
    </row>
    <row r="136" spans="7:7" x14ac:dyDescent="0.3">
      <c r="G136" t="e">
        <f>E136*VLOOKUP(F136,'FX Rates'!A:B,2,FALSE)</f>
        <v>#N/A</v>
      </c>
    </row>
    <row r="137" spans="7:7" x14ac:dyDescent="0.3">
      <c r="G137" t="e">
        <f>E137*VLOOKUP(F137,'FX Rates'!A:B,2,FALSE)</f>
        <v>#N/A</v>
      </c>
    </row>
    <row r="138" spans="7:7" x14ac:dyDescent="0.3">
      <c r="G138" t="e">
        <f>E138*VLOOKUP(F138,'FX Rates'!A:B,2,FALSE)</f>
        <v>#N/A</v>
      </c>
    </row>
    <row r="139" spans="7:7" x14ac:dyDescent="0.3">
      <c r="G139" t="e">
        <f>E139*VLOOKUP(F139,'FX Rates'!A:B,2,FALSE)</f>
        <v>#N/A</v>
      </c>
    </row>
    <row r="140" spans="7:7" x14ac:dyDescent="0.3">
      <c r="G140" t="e">
        <f>E140*VLOOKUP(F140,'FX Rates'!A:B,2,FALSE)</f>
        <v>#N/A</v>
      </c>
    </row>
    <row r="141" spans="7:7" x14ac:dyDescent="0.3">
      <c r="G141" t="e">
        <f>E141*VLOOKUP(F141,'FX Rates'!A:B,2,FALSE)</f>
        <v>#N/A</v>
      </c>
    </row>
    <row r="142" spans="7:7" x14ac:dyDescent="0.3">
      <c r="G142" t="e">
        <f>E142*VLOOKUP(F142,'FX Rates'!A:B,2,FALSE)</f>
        <v>#N/A</v>
      </c>
    </row>
    <row r="143" spans="7:7" x14ac:dyDescent="0.3">
      <c r="G143" t="e">
        <f>E143*VLOOKUP(F143,'FX Rates'!A:B,2,FALSE)</f>
        <v>#N/A</v>
      </c>
    </row>
    <row r="144" spans="7:7" x14ac:dyDescent="0.3">
      <c r="G144" t="e">
        <f>E144*VLOOKUP(F144,'FX Rates'!A:B,2,FALSE)</f>
        <v>#N/A</v>
      </c>
    </row>
    <row r="145" spans="7:7" x14ac:dyDescent="0.3">
      <c r="G145" t="e">
        <f>E145*VLOOKUP(F145,'FX Rates'!A:B,2,FALSE)</f>
        <v>#N/A</v>
      </c>
    </row>
    <row r="146" spans="7:7" x14ac:dyDescent="0.3">
      <c r="G146" t="e">
        <f>E146*VLOOKUP(F146,'FX Rates'!A:B,2,FALSE)</f>
        <v>#N/A</v>
      </c>
    </row>
    <row r="147" spans="7:7" x14ac:dyDescent="0.3">
      <c r="G147" t="e">
        <f>E147*VLOOKUP(F147,'FX Rates'!A:B,2,FALSE)</f>
        <v>#N/A</v>
      </c>
    </row>
    <row r="148" spans="7:7" x14ac:dyDescent="0.3">
      <c r="G148" t="e">
        <f>E148*VLOOKUP(F148,'FX Rates'!A:B,2,FALSE)</f>
        <v>#N/A</v>
      </c>
    </row>
    <row r="149" spans="7:7" x14ac:dyDescent="0.3">
      <c r="G149" t="e">
        <f>E149*VLOOKUP(F149,'FX Rates'!A:B,2,FALSE)</f>
        <v>#N/A</v>
      </c>
    </row>
    <row r="150" spans="7:7" x14ac:dyDescent="0.3">
      <c r="G150" t="e">
        <f>E150*VLOOKUP(F150,'FX Rates'!A:B,2,FALSE)</f>
        <v>#N/A</v>
      </c>
    </row>
    <row r="151" spans="7:7" x14ac:dyDescent="0.3">
      <c r="G151" t="e">
        <f>E151*VLOOKUP(F151,'FX Rates'!A:B,2,FALSE)</f>
        <v>#N/A</v>
      </c>
    </row>
    <row r="152" spans="7:7" x14ac:dyDescent="0.3">
      <c r="G152" t="e">
        <f>E152*VLOOKUP(F152,'FX Rates'!A:B,2,FALSE)</f>
        <v>#N/A</v>
      </c>
    </row>
    <row r="153" spans="7:7" x14ac:dyDescent="0.3">
      <c r="G153" t="e">
        <f>E153*VLOOKUP(F153,'FX Rates'!A:B,2,FALSE)</f>
        <v>#N/A</v>
      </c>
    </row>
    <row r="154" spans="7:7" x14ac:dyDescent="0.3">
      <c r="G154" t="e">
        <f>E154*VLOOKUP(F154,'FX Rates'!A:B,2,FALSE)</f>
        <v>#N/A</v>
      </c>
    </row>
    <row r="155" spans="7:7" x14ac:dyDescent="0.3">
      <c r="G155" t="e">
        <f>E155*VLOOKUP(F155,'FX Rates'!A:B,2,FALSE)</f>
        <v>#N/A</v>
      </c>
    </row>
    <row r="156" spans="7:7" x14ac:dyDescent="0.3">
      <c r="G156" t="e">
        <f>E156*VLOOKUP(F156,'FX Rates'!A:B,2,FALSE)</f>
        <v>#N/A</v>
      </c>
    </row>
    <row r="157" spans="7:7" x14ac:dyDescent="0.3">
      <c r="G157" t="e">
        <f>E157*VLOOKUP(F157,'FX Rates'!A:B,2,FALSE)</f>
        <v>#N/A</v>
      </c>
    </row>
    <row r="158" spans="7:7" x14ac:dyDescent="0.3">
      <c r="G158" t="e">
        <f>E158*VLOOKUP(F158,'FX Rates'!A:B,2,FALSE)</f>
        <v>#N/A</v>
      </c>
    </row>
    <row r="159" spans="7:7" x14ac:dyDescent="0.3">
      <c r="G159" t="e">
        <f>E159*VLOOKUP(F159,'FX Rates'!A:B,2,FALSE)</f>
        <v>#N/A</v>
      </c>
    </row>
    <row r="160" spans="7:7" x14ac:dyDescent="0.3">
      <c r="G160" t="e">
        <f>E160*VLOOKUP(F160,'FX Rates'!A:B,2,FALSE)</f>
        <v>#N/A</v>
      </c>
    </row>
    <row r="161" spans="7:7" x14ac:dyDescent="0.3">
      <c r="G161" t="e">
        <f>E161*VLOOKUP(F161,'FX Rates'!A:B,2,FALSE)</f>
        <v>#N/A</v>
      </c>
    </row>
    <row r="162" spans="7:7" x14ac:dyDescent="0.3">
      <c r="G162" t="e">
        <f>E162*VLOOKUP(F162,'FX Rates'!A:B,2,FALSE)</f>
        <v>#N/A</v>
      </c>
    </row>
    <row r="163" spans="7:7" x14ac:dyDescent="0.3">
      <c r="G163" t="e">
        <f>E163*VLOOKUP(F163,'FX Rates'!A:B,2,FALSE)</f>
        <v>#N/A</v>
      </c>
    </row>
    <row r="164" spans="7:7" x14ac:dyDescent="0.3">
      <c r="G164" t="e">
        <f>E164*VLOOKUP(F164,'FX Rates'!A:B,2,FALSE)</f>
        <v>#N/A</v>
      </c>
    </row>
    <row r="165" spans="7:7" x14ac:dyDescent="0.3">
      <c r="G165" t="e">
        <f>E165*VLOOKUP(F165,'FX Rates'!A:B,2,FALSE)</f>
        <v>#N/A</v>
      </c>
    </row>
    <row r="166" spans="7:7" x14ac:dyDescent="0.3">
      <c r="G166" t="e">
        <f>E166*VLOOKUP(F166,'FX Rates'!A:B,2,FALSE)</f>
        <v>#N/A</v>
      </c>
    </row>
    <row r="167" spans="7:7" x14ac:dyDescent="0.3">
      <c r="G167" t="e">
        <f>E167*VLOOKUP(F167,'FX Rates'!A:B,2,FALSE)</f>
        <v>#N/A</v>
      </c>
    </row>
    <row r="168" spans="7:7" x14ac:dyDescent="0.3">
      <c r="G168" t="e">
        <f>E168*VLOOKUP(F168,'FX Rates'!A:B,2,FALSE)</f>
        <v>#N/A</v>
      </c>
    </row>
    <row r="169" spans="7:7" x14ac:dyDescent="0.3">
      <c r="G169" t="e">
        <f>E169*VLOOKUP(F169,'FX Rates'!A:B,2,FALSE)</f>
        <v>#N/A</v>
      </c>
    </row>
    <row r="170" spans="7:7" x14ac:dyDescent="0.3">
      <c r="G170" t="e">
        <f>E170*VLOOKUP(F170,'FX Rates'!A:B,2,FALSE)</f>
        <v>#N/A</v>
      </c>
    </row>
    <row r="171" spans="7:7" x14ac:dyDescent="0.3">
      <c r="G171" t="e">
        <f>E171*VLOOKUP(F171,'FX Rates'!A:B,2,FALSE)</f>
        <v>#N/A</v>
      </c>
    </row>
    <row r="172" spans="7:7" x14ac:dyDescent="0.3">
      <c r="G172" t="e">
        <f>E172*VLOOKUP(F172,'FX Rates'!A:B,2,FALSE)</f>
        <v>#N/A</v>
      </c>
    </row>
    <row r="173" spans="7:7" x14ac:dyDescent="0.3">
      <c r="G173" t="e">
        <f>E173*VLOOKUP(F173,'FX Rates'!A:B,2,FALSE)</f>
        <v>#N/A</v>
      </c>
    </row>
    <row r="174" spans="7:7" x14ac:dyDescent="0.3">
      <c r="G174" t="e">
        <f>E174*VLOOKUP(F174,'FX Rates'!A:B,2,FALSE)</f>
        <v>#N/A</v>
      </c>
    </row>
    <row r="175" spans="7:7" x14ac:dyDescent="0.3">
      <c r="G175" t="e">
        <f>E175*VLOOKUP(F175,'FX Rates'!A:B,2,FALSE)</f>
        <v>#N/A</v>
      </c>
    </row>
    <row r="176" spans="7:7" x14ac:dyDescent="0.3">
      <c r="G176" t="e">
        <f>E176*VLOOKUP(F176,'FX Rates'!A:B,2,FALSE)</f>
        <v>#N/A</v>
      </c>
    </row>
    <row r="177" spans="7:7" x14ac:dyDescent="0.3">
      <c r="G177" t="e">
        <f>E177*VLOOKUP(F177,'FX Rates'!A:B,2,FALSE)</f>
        <v>#N/A</v>
      </c>
    </row>
    <row r="178" spans="7:7" x14ac:dyDescent="0.3">
      <c r="G178" t="e">
        <f>E178*VLOOKUP(F178,'FX Rates'!A:B,2,FALSE)</f>
        <v>#N/A</v>
      </c>
    </row>
    <row r="179" spans="7:7" x14ac:dyDescent="0.3">
      <c r="G179" t="e">
        <f>E179*VLOOKUP(F179,'FX Rates'!A:B,2,FALSE)</f>
        <v>#N/A</v>
      </c>
    </row>
    <row r="180" spans="7:7" x14ac:dyDescent="0.3">
      <c r="G180" t="e">
        <f>E180*VLOOKUP(F180,'FX Rates'!A:B,2,FALSE)</f>
        <v>#N/A</v>
      </c>
    </row>
    <row r="181" spans="7:7" x14ac:dyDescent="0.3">
      <c r="G181" t="e">
        <f>E181*VLOOKUP(F181,'FX Rates'!A:B,2,FALSE)</f>
        <v>#N/A</v>
      </c>
    </row>
    <row r="182" spans="7:7" x14ac:dyDescent="0.3">
      <c r="G182" t="e">
        <f>E182*VLOOKUP(F182,'FX Rates'!A:B,2,FALSE)</f>
        <v>#N/A</v>
      </c>
    </row>
    <row r="183" spans="7:7" x14ac:dyDescent="0.3">
      <c r="G183" t="e">
        <f>E183*VLOOKUP(F183,'FX Rates'!A:B,2,FALSE)</f>
        <v>#N/A</v>
      </c>
    </row>
    <row r="184" spans="7:7" x14ac:dyDescent="0.3">
      <c r="G184" t="e">
        <f>E184*VLOOKUP(F184,'FX Rates'!A:B,2,FALSE)</f>
        <v>#N/A</v>
      </c>
    </row>
    <row r="185" spans="7:7" x14ac:dyDescent="0.3">
      <c r="G185" t="e">
        <f>E185*VLOOKUP(F185,'FX Rates'!A:B,2,FALSE)</f>
        <v>#N/A</v>
      </c>
    </row>
    <row r="186" spans="7:7" x14ac:dyDescent="0.3">
      <c r="G186" t="e">
        <f>E186*VLOOKUP(F186,'FX Rates'!A:B,2,FALSE)</f>
        <v>#N/A</v>
      </c>
    </row>
    <row r="187" spans="7:7" x14ac:dyDescent="0.3">
      <c r="G187" t="e">
        <f>E187*VLOOKUP(F187,'FX Rates'!A:B,2,FALSE)</f>
        <v>#N/A</v>
      </c>
    </row>
    <row r="188" spans="7:7" x14ac:dyDescent="0.3">
      <c r="G188" t="e">
        <f>E188*VLOOKUP(F188,'FX Rates'!A:B,2,FALSE)</f>
        <v>#N/A</v>
      </c>
    </row>
    <row r="189" spans="7:7" x14ac:dyDescent="0.3">
      <c r="G189" t="e">
        <f>E189*VLOOKUP(F189,'FX Rates'!A:B,2,FALSE)</f>
        <v>#N/A</v>
      </c>
    </row>
    <row r="190" spans="7:7" x14ac:dyDescent="0.3">
      <c r="G190" t="e">
        <f>E190*VLOOKUP(F190,'FX Rates'!A:B,2,FALSE)</f>
        <v>#N/A</v>
      </c>
    </row>
    <row r="191" spans="7:7" x14ac:dyDescent="0.3">
      <c r="G191" t="e">
        <f>E191*VLOOKUP(F191,'FX Rates'!A:B,2,FALSE)</f>
        <v>#N/A</v>
      </c>
    </row>
    <row r="192" spans="7:7" x14ac:dyDescent="0.3">
      <c r="G192" t="e">
        <f>E192*VLOOKUP(F192,'FX Rates'!A:B,2,FALSE)</f>
        <v>#N/A</v>
      </c>
    </row>
    <row r="193" spans="7:7" x14ac:dyDescent="0.3">
      <c r="G193" t="e">
        <f>E193*VLOOKUP(F193,'FX Rates'!A:B,2,FALSE)</f>
        <v>#N/A</v>
      </c>
    </row>
    <row r="194" spans="7:7" x14ac:dyDescent="0.3">
      <c r="G194" t="e">
        <f>E194*VLOOKUP(F194,'FX Rates'!A:B,2,FALSE)</f>
        <v>#N/A</v>
      </c>
    </row>
    <row r="195" spans="7:7" x14ac:dyDescent="0.3">
      <c r="G195" t="e">
        <f>E195*VLOOKUP(F195,'FX Rates'!A:B,2,FALSE)</f>
        <v>#N/A</v>
      </c>
    </row>
    <row r="196" spans="7:7" x14ac:dyDescent="0.3">
      <c r="G196" t="e">
        <f>E196*VLOOKUP(F196,'FX Rates'!A:B,2,FALSE)</f>
        <v>#N/A</v>
      </c>
    </row>
    <row r="197" spans="7:7" x14ac:dyDescent="0.3">
      <c r="G197" t="e">
        <f>E197*VLOOKUP(F197,'FX Rates'!A:B,2,FALSE)</f>
        <v>#N/A</v>
      </c>
    </row>
    <row r="198" spans="7:7" x14ac:dyDescent="0.3">
      <c r="G198" t="e">
        <f>E198*VLOOKUP(F198,'FX Rates'!A:B,2,FALSE)</f>
        <v>#N/A</v>
      </c>
    </row>
    <row r="199" spans="7:7" x14ac:dyDescent="0.3">
      <c r="G199" t="e">
        <f>E199*VLOOKUP(F199,'FX Rates'!A:B,2,FALSE)</f>
        <v>#N/A</v>
      </c>
    </row>
    <row r="200" spans="7:7" x14ac:dyDescent="0.3">
      <c r="G200" t="e">
        <f>E200*VLOOKUP(F200,'FX Rates'!A:B,2,FALSE)</f>
        <v>#N/A</v>
      </c>
    </row>
    <row r="201" spans="7:7" x14ac:dyDescent="0.3">
      <c r="G201" t="e">
        <f>E201*VLOOKUP(F201,'FX Rates'!A:B,2,FALSE)</f>
        <v>#N/A</v>
      </c>
    </row>
    <row r="202" spans="7:7" x14ac:dyDescent="0.3">
      <c r="G202" t="e">
        <f>E202*VLOOKUP(F202,'FX Rates'!A:B,2,FALSE)</f>
        <v>#N/A</v>
      </c>
    </row>
    <row r="203" spans="7:7" x14ac:dyDescent="0.3">
      <c r="G203" t="e">
        <f>E203*VLOOKUP(F203,'FX Rates'!A:B,2,FALSE)</f>
        <v>#N/A</v>
      </c>
    </row>
    <row r="204" spans="7:7" x14ac:dyDescent="0.3">
      <c r="G204" t="e">
        <f>E204*VLOOKUP(F204,'FX Rates'!A:B,2,FALSE)</f>
        <v>#N/A</v>
      </c>
    </row>
    <row r="205" spans="7:7" x14ac:dyDescent="0.3">
      <c r="G205" t="e">
        <f>E205*VLOOKUP(F205,'FX Rates'!A:B,2,FALSE)</f>
        <v>#N/A</v>
      </c>
    </row>
    <row r="206" spans="7:7" x14ac:dyDescent="0.3">
      <c r="G206" t="e">
        <f>E206*VLOOKUP(F206,'FX Rates'!A:B,2,FALSE)</f>
        <v>#N/A</v>
      </c>
    </row>
    <row r="207" spans="7:7" x14ac:dyDescent="0.3">
      <c r="G207" t="e">
        <f>E207*VLOOKUP(F207,'FX Rates'!A:B,2,FALSE)</f>
        <v>#N/A</v>
      </c>
    </row>
    <row r="208" spans="7:7" x14ac:dyDescent="0.3">
      <c r="G208" t="e">
        <f>E208*VLOOKUP(F208,'FX Rates'!A:B,2,FALSE)</f>
        <v>#N/A</v>
      </c>
    </row>
    <row r="209" spans="7:7" x14ac:dyDescent="0.3">
      <c r="G209" t="e">
        <f>E209*VLOOKUP(F209,'FX Rates'!A:B,2,FALSE)</f>
        <v>#N/A</v>
      </c>
    </row>
    <row r="210" spans="7:7" x14ac:dyDescent="0.3">
      <c r="G210" t="e">
        <f>E210*VLOOKUP(F210,'FX Rates'!A:B,2,FALSE)</f>
        <v>#N/A</v>
      </c>
    </row>
    <row r="211" spans="7:7" x14ac:dyDescent="0.3">
      <c r="G211" t="e">
        <f>E211*VLOOKUP(F211,'FX Rates'!A:B,2,FALSE)</f>
        <v>#N/A</v>
      </c>
    </row>
    <row r="212" spans="7:7" x14ac:dyDescent="0.3">
      <c r="G212" t="e">
        <f>E212*VLOOKUP(F212,'FX Rates'!A:B,2,FALSE)</f>
        <v>#N/A</v>
      </c>
    </row>
    <row r="213" spans="7:7" x14ac:dyDescent="0.3">
      <c r="G213" t="e">
        <f>E213*VLOOKUP(F213,'FX Rates'!A:B,2,FALSE)</f>
        <v>#N/A</v>
      </c>
    </row>
    <row r="214" spans="7:7" x14ac:dyDescent="0.3">
      <c r="G214" t="e">
        <f>E214*VLOOKUP(F214,'FX Rates'!A:B,2,FALSE)</f>
        <v>#N/A</v>
      </c>
    </row>
    <row r="215" spans="7:7" x14ac:dyDescent="0.3">
      <c r="G215" t="e">
        <f>E215*VLOOKUP(F215,'FX Rates'!A:B,2,FALSE)</f>
        <v>#N/A</v>
      </c>
    </row>
    <row r="216" spans="7:7" x14ac:dyDescent="0.3">
      <c r="G216" t="e">
        <f>E216*VLOOKUP(F216,'FX Rates'!A:B,2,FALSE)</f>
        <v>#N/A</v>
      </c>
    </row>
    <row r="217" spans="7:7" x14ac:dyDescent="0.3">
      <c r="G217" t="e">
        <f>E217*VLOOKUP(F217,'FX Rates'!A:B,2,FALSE)</f>
        <v>#N/A</v>
      </c>
    </row>
    <row r="218" spans="7:7" x14ac:dyDescent="0.3">
      <c r="G218" t="e">
        <f>E218*VLOOKUP(F218,'FX Rates'!A:B,2,FALSE)</f>
        <v>#N/A</v>
      </c>
    </row>
    <row r="219" spans="7:7" x14ac:dyDescent="0.3">
      <c r="G219" t="e">
        <f>E219*VLOOKUP(F219,'FX Rates'!A:B,2,FALSE)</f>
        <v>#N/A</v>
      </c>
    </row>
    <row r="220" spans="7:7" x14ac:dyDescent="0.3">
      <c r="G220" t="e">
        <f>E220*VLOOKUP(F220,'FX Rates'!A:B,2,FALSE)</f>
        <v>#N/A</v>
      </c>
    </row>
    <row r="221" spans="7:7" x14ac:dyDescent="0.3">
      <c r="G221" t="e">
        <f>E221*VLOOKUP(F221,'FX Rates'!A:B,2,FALSE)</f>
        <v>#N/A</v>
      </c>
    </row>
    <row r="222" spans="7:7" x14ac:dyDescent="0.3">
      <c r="G222" t="e">
        <f>E222*VLOOKUP(F222,'FX Rates'!A:B,2,FALSE)</f>
        <v>#N/A</v>
      </c>
    </row>
    <row r="223" spans="7:7" x14ac:dyDescent="0.3">
      <c r="G223" t="e">
        <f>E223*VLOOKUP(F223,'FX Rates'!A:B,2,FALSE)</f>
        <v>#N/A</v>
      </c>
    </row>
    <row r="224" spans="7:7" x14ac:dyDescent="0.3">
      <c r="G224" t="e">
        <f>E224*VLOOKUP(F224,'FX Rates'!A:B,2,FALSE)</f>
        <v>#N/A</v>
      </c>
    </row>
    <row r="225" spans="7:7" x14ac:dyDescent="0.3">
      <c r="G225" t="e">
        <f>E225*VLOOKUP(F225,'FX Rates'!A:B,2,FALSE)</f>
        <v>#N/A</v>
      </c>
    </row>
    <row r="226" spans="7:7" x14ac:dyDescent="0.3">
      <c r="G226" t="e">
        <f>E226*VLOOKUP(F226,'FX Rates'!A:B,2,FALSE)</f>
        <v>#N/A</v>
      </c>
    </row>
    <row r="227" spans="7:7" x14ac:dyDescent="0.3">
      <c r="G227" t="e">
        <f>E227*VLOOKUP(F227,'FX Rates'!A:B,2,FALSE)</f>
        <v>#N/A</v>
      </c>
    </row>
    <row r="228" spans="7:7" x14ac:dyDescent="0.3">
      <c r="G228" t="e">
        <f>E228*VLOOKUP(F228,'FX Rates'!A:B,2,FALSE)</f>
        <v>#N/A</v>
      </c>
    </row>
    <row r="229" spans="7:7" x14ac:dyDescent="0.3">
      <c r="G229" t="e">
        <f>E229*VLOOKUP(F229,'FX Rates'!A:B,2,FALSE)</f>
        <v>#N/A</v>
      </c>
    </row>
    <row r="230" spans="7:7" x14ac:dyDescent="0.3">
      <c r="G230" t="e">
        <f>E230*VLOOKUP(F230,'FX Rates'!A:B,2,FALSE)</f>
        <v>#N/A</v>
      </c>
    </row>
    <row r="231" spans="7:7" x14ac:dyDescent="0.3">
      <c r="G231" t="e">
        <f>E231*VLOOKUP(F231,'FX Rates'!A:B,2,FALSE)</f>
        <v>#N/A</v>
      </c>
    </row>
    <row r="232" spans="7:7" x14ac:dyDescent="0.3">
      <c r="G232" t="e">
        <f>E232*VLOOKUP(F232,'FX Rates'!A:B,2,FALSE)</f>
        <v>#N/A</v>
      </c>
    </row>
    <row r="233" spans="7:7" x14ac:dyDescent="0.3">
      <c r="G233" t="e">
        <f>E233*VLOOKUP(F233,'FX Rates'!A:B,2,FALSE)</f>
        <v>#N/A</v>
      </c>
    </row>
    <row r="234" spans="7:7" x14ac:dyDescent="0.3">
      <c r="G234" t="e">
        <f>E234*VLOOKUP(F234,'FX Rates'!A:B,2,FALSE)</f>
        <v>#N/A</v>
      </c>
    </row>
    <row r="235" spans="7:7" x14ac:dyDescent="0.3">
      <c r="G235" t="e">
        <f>E235*VLOOKUP(F235,'FX Rates'!A:B,2,FALSE)</f>
        <v>#N/A</v>
      </c>
    </row>
    <row r="236" spans="7:7" x14ac:dyDescent="0.3">
      <c r="G236" t="e">
        <f>E236*VLOOKUP(F236,'FX Rates'!A:B,2,FALSE)</f>
        <v>#N/A</v>
      </c>
    </row>
    <row r="237" spans="7:7" x14ac:dyDescent="0.3">
      <c r="G237" t="e">
        <f>E237*VLOOKUP(F237,'FX Rates'!A:B,2,FALSE)</f>
        <v>#N/A</v>
      </c>
    </row>
    <row r="238" spans="7:7" x14ac:dyDescent="0.3">
      <c r="G238" t="e">
        <f>E238*VLOOKUP(F238,'FX Rates'!A:B,2,FALSE)</f>
        <v>#N/A</v>
      </c>
    </row>
    <row r="239" spans="7:7" x14ac:dyDescent="0.3">
      <c r="G239" t="e">
        <f>E239*VLOOKUP(F239,'FX Rates'!A:B,2,FALSE)</f>
        <v>#N/A</v>
      </c>
    </row>
    <row r="240" spans="7:7" x14ac:dyDescent="0.3">
      <c r="G240" t="e">
        <f>E240*VLOOKUP(F240,'FX Rates'!A:B,2,FALSE)</f>
        <v>#N/A</v>
      </c>
    </row>
    <row r="241" spans="7:7" x14ac:dyDescent="0.3">
      <c r="G241" t="e">
        <f>E241*VLOOKUP(F241,'FX Rates'!A:B,2,FALSE)</f>
        <v>#N/A</v>
      </c>
    </row>
    <row r="242" spans="7:7" x14ac:dyDescent="0.3">
      <c r="G242" t="e">
        <f>E242*VLOOKUP(F242,'FX Rates'!A:B,2,FALSE)</f>
        <v>#N/A</v>
      </c>
    </row>
    <row r="243" spans="7:7" x14ac:dyDescent="0.3">
      <c r="G243" t="e">
        <f>E243*VLOOKUP(F243,'FX Rates'!A:B,2,FALSE)</f>
        <v>#N/A</v>
      </c>
    </row>
    <row r="244" spans="7:7" x14ac:dyDescent="0.3">
      <c r="G244" t="e">
        <f>E244*VLOOKUP(F244,'FX Rates'!A:B,2,FALSE)</f>
        <v>#N/A</v>
      </c>
    </row>
    <row r="245" spans="7:7" x14ac:dyDescent="0.3">
      <c r="G245" t="e">
        <f>E245*VLOOKUP(F245,'FX Rates'!A:B,2,FALSE)</f>
        <v>#N/A</v>
      </c>
    </row>
    <row r="246" spans="7:7" x14ac:dyDescent="0.3">
      <c r="G246" t="e">
        <f>E246*VLOOKUP(F246,'FX Rates'!A:B,2,FALSE)</f>
        <v>#N/A</v>
      </c>
    </row>
    <row r="247" spans="7:7" x14ac:dyDescent="0.3">
      <c r="G247" t="e">
        <f>E247*VLOOKUP(F247,'FX Rates'!A:B,2,FALSE)</f>
        <v>#N/A</v>
      </c>
    </row>
    <row r="248" spans="7:7" x14ac:dyDescent="0.3">
      <c r="G248" t="e">
        <f>E248*VLOOKUP(F248,'FX Rates'!A:B,2,FALSE)</f>
        <v>#N/A</v>
      </c>
    </row>
    <row r="249" spans="7:7" x14ac:dyDescent="0.3">
      <c r="G249" t="e">
        <f>E249*VLOOKUP(F249,'FX Rates'!A:B,2,FALSE)</f>
        <v>#N/A</v>
      </c>
    </row>
    <row r="250" spans="7:7" x14ac:dyDescent="0.3">
      <c r="G250" t="e">
        <f>E250*VLOOKUP(F250,'FX Rates'!A:B,2,FALSE)</f>
        <v>#N/A</v>
      </c>
    </row>
    <row r="251" spans="7:7" x14ac:dyDescent="0.3">
      <c r="G251" t="e">
        <f>E251*VLOOKUP(F251,'FX Rates'!A:B,2,FALSE)</f>
        <v>#N/A</v>
      </c>
    </row>
    <row r="252" spans="7:7" x14ac:dyDescent="0.3">
      <c r="G252" t="e">
        <f>E252*VLOOKUP(F252,'FX Rates'!A:B,2,FALSE)</f>
        <v>#N/A</v>
      </c>
    </row>
    <row r="253" spans="7:7" x14ac:dyDescent="0.3">
      <c r="G253" t="e">
        <f>E253*VLOOKUP(F253,'FX Rates'!A:B,2,FALSE)</f>
        <v>#N/A</v>
      </c>
    </row>
    <row r="254" spans="7:7" x14ac:dyDescent="0.3">
      <c r="G254" t="e">
        <f>E254*VLOOKUP(F254,'FX Rates'!A:B,2,FALSE)</f>
        <v>#N/A</v>
      </c>
    </row>
    <row r="255" spans="7:7" x14ac:dyDescent="0.3">
      <c r="G255" t="e">
        <f>E255*VLOOKUP(F255,'FX Rates'!A:B,2,FALSE)</f>
        <v>#N/A</v>
      </c>
    </row>
    <row r="256" spans="7:7" x14ac:dyDescent="0.3">
      <c r="G256" t="e">
        <f>E256*VLOOKUP(F256,'FX Rates'!A:B,2,FALSE)</f>
        <v>#N/A</v>
      </c>
    </row>
    <row r="257" spans="7:7" x14ac:dyDescent="0.3">
      <c r="G257" t="e">
        <f>E257*VLOOKUP(F257,'FX Rates'!A:B,2,FALSE)</f>
        <v>#N/A</v>
      </c>
    </row>
    <row r="258" spans="7:7" x14ac:dyDescent="0.3">
      <c r="G258" t="e">
        <f>E258*VLOOKUP(F258,'FX Rates'!A:B,2,FALSE)</f>
        <v>#N/A</v>
      </c>
    </row>
    <row r="259" spans="7:7" x14ac:dyDescent="0.3">
      <c r="G259" t="e">
        <f>E259*VLOOKUP(F259,'FX Rates'!A:B,2,FALSE)</f>
        <v>#N/A</v>
      </c>
    </row>
    <row r="260" spans="7:7" x14ac:dyDescent="0.3">
      <c r="G260" t="e">
        <f>E260*VLOOKUP(F260,'FX Rates'!A:B,2,FALSE)</f>
        <v>#N/A</v>
      </c>
    </row>
    <row r="261" spans="7:7" x14ac:dyDescent="0.3">
      <c r="G261" t="e">
        <f>E261*VLOOKUP(F261,'FX Rates'!A:B,2,FALSE)</f>
        <v>#N/A</v>
      </c>
    </row>
    <row r="262" spans="7:7" x14ac:dyDescent="0.3">
      <c r="G262" t="e">
        <f>E262*VLOOKUP(F262,'FX Rates'!A:B,2,FALSE)</f>
        <v>#N/A</v>
      </c>
    </row>
    <row r="263" spans="7:7" x14ac:dyDescent="0.3">
      <c r="G263" t="e">
        <f>E263*VLOOKUP(F263,'FX Rates'!A:B,2,FALSE)</f>
        <v>#N/A</v>
      </c>
    </row>
    <row r="264" spans="7:7" x14ac:dyDescent="0.3">
      <c r="G264" t="e">
        <f>E264*VLOOKUP(F264,'FX Rates'!A:B,2,FALSE)</f>
        <v>#N/A</v>
      </c>
    </row>
    <row r="265" spans="7:7" x14ac:dyDescent="0.3">
      <c r="G265" t="e">
        <f>E265*VLOOKUP(F265,'FX Rates'!A:B,2,FALSE)</f>
        <v>#N/A</v>
      </c>
    </row>
    <row r="266" spans="7:7" x14ac:dyDescent="0.3">
      <c r="G266" t="e">
        <f>E266*VLOOKUP(F266,'FX Rates'!A:B,2,FALSE)</f>
        <v>#N/A</v>
      </c>
    </row>
    <row r="267" spans="7:7" x14ac:dyDescent="0.3">
      <c r="G267" t="e">
        <f>E267*VLOOKUP(F267,'FX Rates'!A:B,2,FALSE)</f>
        <v>#N/A</v>
      </c>
    </row>
    <row r="268" spans="7:7" x14ac:dyDescent="0.3">
      <c r="G268" t="e">
        <f>E268*VLOOKUP(F268,'FX Rates'!A:B,2,FALSE)</f>
        <v>#N/A</v>
      </c>
    </row>
    <row r="269" spans="7:7" x14ac:dyDescent="0.3">
      <c r="G269" t="e">
        <f>E269*VLOOKUP(F269,'FX Rates'!A:B,2,FALSE)</f>
        <v>#N/A</v>
      </c>
    </row>
    <row r="270" spans="7:7" x14ac:dyDescent="0.3">
      <c r="G270" t="e">
        <f>E270*VLOOKUP(F270,'FX Rates'!A:B,2,FALSE)</f>
        <v>#N/A</v>
      </c>
    </row>
    <row r="271" spans="7:7" x14ac:dyDescent="0.3">
      <c r="G271" t="e">
        <f>E271*VLOOKUP(F271,'FX Rates'!A:B,2,FALSE)</f>
        <v>#N/A</v>
      </c>
    </row>
    <row r="272" spans="7:7" x14ac:dyDescent="0.3">
      <c r="G272" t="e">
        <f>E272*VLOOKUP(F272,'FX Rates'!A:B,2,FALSE)</f>
        <v>#N/A</v>
      </c>
    </row>
    <row r="273" spans="7:7" x14ac:dyDescent="0.3">
      <c r="G273" t="e">
        <f>E273*VLOOKUP(F273,'FX Rates'!A:B,2,FALSE)</f>
        <v>#N/A</v>
      </c>
    </row>
    <row r="274" spans="7:7" x14ac:dyDescent="0.3">
      <c r="G274" t="e">
        <f>E274*VLOOKUP(F274,'FX Rates'!A:B,2,FALSE)</f>
        <v>#N/A</v>
      </c>
    </row>
    <row r="275" spans="7:7" x14ac:dyDescent="0.3">
      <c r="G275" t="e">
        <f>E275*VLOOKUP(F275,'FX Rates'!A:B,2,FALSE)</f>
        <v>#N/A</v>
      </c>
    </row>
    <row r="276" spans="7:7" x14ac:dyDescent="0.3">
      <c r="G276" t="e">
        <f>E276*VLOOKUP(F276,'FX Rates'!A:B,2,FALSE)</f>
        <v>#N/A</v>
      </c>
    </row>
    <row r="277" spans="7:7" x14ac:dyDescent="0.3">
      <c r="G277" t="e">
        <f>E277*VLOOKUP(F277,'FX Rates'!A:B,2,FALSE)</f>
        <v>#N/A</v>
      </c>
    </row>
    <row r="278" spans="7:7" x14ac:dyDescent="0.3">
      <c r="G278" t="e">
        <f>E278*VLOOKUP(F278,'FX Rates'!A:B,2,FALSE)</f>
        <v>#N/A</v>
      </c>
    </row>
    <row r="279" spans="7:7" x14ac:dyDescent="0.3">
      <c r="G279" t="e">
        <f>E279*VLOOKUP(F279,'FX Rates'!A:B,2,FALSE)</f>
        <v>#N/A</v>
      </c>
    </row>
    <row r="280" spans="7:7" x14ac:dyDescent="0.3">
      <c r="G280" t="e">
        <f>E280*VLOOKUP(F280,'FX Rates'!A:B,2,FALSE)</f>
        <v>#N/A</v>
      </c>
    </row>
    <row r="281" spans="7:7" x14ac:dyDescent="0.3">
      <c r="G281" t="e">
        <f>E281*VLOOKUP(F281,'FX Rates'!A:B,2,FALSE)</f>
        <v>#N/A</v>
      </c>
    </row>
    <row r="282" spans="7:7" x14ac:dyDescent="0.3">
      <c r="G282" t="e">
        <f>E282*VLOOKUP(F282,'FX Rates'!A:B,2,FALSE)</f>
        <v>#N/A</v>
      </c>
    </row>
    <row r="283" spans="7:7" x14ac:dyDescent="0.3">
      <c r="G283" t="e">
        <f>E283*VLOOKUP(F283,'FX Rates'!A:B,2,FALSE)</f>
        <v>#N/A</v>
      </c>
    </row>
    <row r="284" spans="7:7" x14ac:dyDescent="0.3">
      <c r="G284" t="e">
        <f>E284*VLOOKUP(F284,'FX Rates'!A:B,2,FALSE)</f>
        <v>#N/A</v>
      </c>
    </row>
    <row r="285" spans="7:7" x14ac:dyDescent="0.3">
      <c r="G285" t="e">
        <f>E285*VLOOKUP(F285,'FX Rates'!A:B,2,FALSE)</f>
        <v>#N/A</v>
      </c>
    </row>
    <row r="286" spans="7:7" x14ac:dyDescent="0.3">
      <c r="G286" t="e">
        <f>E286*VLOOKUP(F286,'FX Rates'!A:B,2,FALSE)</f>
        <v>#N/A</v>
      </c>
    </row>
    <row r="287" spans="7:7" x14ac:dyDescent="0.3">
      <c r="G287" t="e">
        <f>E287*VLOOKUP(F287,'FX Rates'!A:B,2,FALSE)</f>
        <v>#N/A</v>
      </c>
    </row>
    <row r="288" spans="7:7" x14ac:dyDescent="0.3">
      <c r="G288" t="e">
        <f>E288*VLOOKUP(F288,'FX Rates'!A:B,2,FALSE)</f>
        <v>#N/A</v>
      </c>
    </row>
    <row r="289" spans="7:7" x14ac:dyDescent="0.3">
      <c r="G289" t="e">
        <f>E289*VLOOKUP(F289,'FX Rates'!A:B,2,FALSE)</f>
        <v>#N/A</v>
      </c>
    </row>
    <row r="290" spans="7:7" x14ac:dyDescent="0.3">
      <c r="G290" t="e">
        <f>E290*VLOOKUP(F290,'FX Rates'!A:B,2,FALSE)</f>
        <v>#N/A</v>
      </c>
    </row>
    <row r="291" spans="7:7" x14ac:dyDescent="0.3">
      <c r="G291" t="e">
        <f>E291*VLOOKUP(F291,'FX Rates'!A:B,2,FALSE)</f>
        <v>#N/A</v>
      </c>
    </row>
    <row r="292" spans="7:7" x14ac:dyDescent="0.3">
      <c r="G292" t="e">
        <f>E292*VLOOKUP(F292,'FX Rates'!A:B,2,FALSE)</f>
        <v>#N/A</v>
      </c>
    </row>
    <row r="293" spans="7:7" x14ac:dyDescent="0.3">
      <c r="G293" t="e">
        <f>E293*VLOOKUP(F293,'FX Rates'!A:B,2,FALSE)</f>
        <v>#N/A</v>
      </c>
    </row>
    <row r="294" spans="7:7" x14ac:dyDescent="0.3">
      <c r="G294" t="e">
        <f>E294*VLOOKUP(F294,'FX Rates'!A:B,2,FALSE)</f>
        <v>#N/A</v>
      </c>
    </row>
    <row r="295" spans="7:7" x14ac:dyDescent="0.3">
      <c r="G295" t="e">
        <f>E295*VLOOKUP(F295,'FX Rates'!A:B,2,FALSE)</f>
        <v>#N/A</v>
      </c>
    </row>
    <row r="296" spans="7:7" x14ac:dyDescent="0.3">
      <c r="G296" t="e">
        <f>E296*VLOOKUP(F296,'FX Rates'!A:B,2,FALSE)</f>
        <v>#N/A</v>
      </c>
    </row>
    <row r="297" spans="7:7" x14ac:dyDescent="0.3">
      <c r="G297" t="e">
        <f>E297*VLOOKUP(F297,'FX Rates'!A:B,2,FALSE)</f>
        <v>#N/A</v>
      </c>
    </row>
    <row r="298" spans="7:7" x14ac:dyDescent="0.3">
      <c r="G298" t="e">
        <f>E298*VLOOKUP(F298,'FX Rates'!A:B,2,FALSE)</f>
        <v>#N/A</v>
      </c>
    </row>
    <row r="299" spans="7:7" x14ac:dyDescent="0.3">
      <c r="G299" t="e">
        <f>E299*VLOOKUP(F299,'FX Rates'!A:B,2,FALSE)</f>
        <v>#N/A</v>
      </c>
    </row>
    <row r="300" spans="7:7" x14ac:dyDescent="0.3">
      <c r="G300" t="e">
        <f>E300*VLOOKUP(F300,'FX Rates'!A:B,2,FALSE)</f>
        <v>#N/A</v>
      </c>
    </row>
    <row r="301" spans="7:7" x14ac:dyDescent="0.3">
      <c r="G301" t="e">
        <f>E301*VLOOKUP(F301,'FX Rates'!A:B,2,FALSE)</f>
        <v>#N/A</v>
      </c>
    </row>
    <row r="302" spans="7:7" x14ac:dyDescent="0.3">
      <c r="G302" t="e">
        <f>E302*VLOOKUP(F302,'FX Rates'!A:B,2,FALSE)</f>
        <v>#N/A</v>
      </c>
    </row>
    <row r="303" spans="7:7" x14ac:dyDescent="0.3">
      <c r="G303" t="e">
        <f>E303*VLOOKUP(F303,'FX Rates'!A:B,2,FALSE)</f>
        <v>#N/A</v>
      </c>
    </row>
    <row r="304" spans="7:7" x14ac:dyDescent="0.3">
      <c r="G304" t="e">
        <f>E304*VLOOKUP(F304,'FX Rates'!A:B,2,FALSE)</f>
        <v>#N/A</v>
      </c>
    </row>
    <row r="305" spans="7:7" x14ac:dyDescent="0.3">
      <c r="G305" t="e">
        <f>E305*VLOOKUP(F305,'FX Rates'!A:B,2,FALSE)</f>
        <v>#N/A</v>
      </c>
    </row>
    <row r="306" spans="7:7" x14ac:dyDescent="0.3">
      <c r="G306" t="e">
        <f>E306*VLOOKUP(F306,'FX Rates'!A:B,2,FALSE)</f>
        <v>#N/A</v>
      </c>
    </row>
    <row r="307" spans="7:7" x14ac:dyDescent="0.3">
      <c r="G307" t="e">
        <f>E307*VLOOKUP(F307,'FX Rates'!A:B,2,FALSE)</f>
        <v>#N/A</v>
      </c>
    </row>
    <row r="308" spans="7:7" x14ac:dyDescent="0.3">
      <c r="G308" t="e">
        <f>E308*VLOOKUP(F308,'FX Rates'!A:B,2,FALSE)</f>
        <v>#N/A</v>
      </c>
    </row>
    <row r="309" spans="7:7" x14ac:dyDescent="0.3">
      <c r="G309" t="e">
        <f>E309*VLOOKUP(F309,'FX Rates'!A:B,2,FALSE)</f>
        <v>#N/A</v>
      </c>
    </row>
    <row r="310" spans="7:7" x14ac:dyDescent="0.3">
      <c r="G310" t="e">
        <f>E310*VLOOKUP(F310,'FX Rates'!A:B,2,FALSE)</f>
        <v>#N/A</v>
      </c>
    </row>
    <row r="311" spans="7:7" x14ac:dyDescent="0.3">
      <c r="G311" t="e">
        <f>E311*VLOOKUP(F311,'FX Rates'!A:B,2,FALSE)</f>
        <v>#N/A</v>
      </c>
    </row>
    <row r="312" spans="7:7" x14ac:dyDescent="0.3">
      <c r="G312" t="e">
        <f>E312*VLOOKUP(F312,'FX Rates'!A:B,2,FALSE)</f>
        <v>#N/A</v>
      </c>
    </row>
    <row r="313" spans="7:7" x14ac:dyDescent="0.3">
      <c r="G313" t="e">
        <f>E313*VLOOKUP(F313,'FX Rates'!A:B,2,FALSE)</f>
        <v>#N/A</v>
      </c>
    </row>
    <row r="314" spans="7:7" x14ac:dyDescent="0.3">
      <c r="G314" t="e">
        <f>E314*VLOOKUP(F314,'FX Rates'!A:B,2,FALSE)</f>
        <v>#N/A</v>
      </c>
    </row>
    <row r="315" spans="7:7" x14ac:dyDescent="0.3">
      <c r="G315" t="e">
        <f>E315*VLOOKUP(F315,'FX Rates'!A:B,2,FALSE)</f>
        <v>#N/A</v>
      </c>
    </row>
    <row r="316" spans="7:7" x14ac:dyDescent="0.3">
      <c r="G316" t="e">
        <f>E316*VLOOKUP(F316,'FX Rates'!A:B,2,FALSE)</f>
        <v>#N/A</v>
      </c>
    </row>
    <row r="317" spans="7:7" x14ac:dyDescent="0.3">
      <c r="G317" t="e">
        <f>E317*VLOOKUP(F317,'FX Rates'!A:B,2,FALSE)</f>
        <v>#N/A</v>
      </c>
    </row>
    <row r="318" spans="7:7" x14ac:dyDescent="0.3">
      <c r="G318" t="e">
        <f>E318*VLOOKUP(F318,'FX Rates'!A:B,2,FALSE)</f>
        <v>#N/A</v>
      </c>
    </row>
    <row r="319" spans="7:7" x14ac:dyDescent="0.3">
      <c r="G319" t="e">
        <f>E319*VLOOKUP(F319,'FX Rates'!A:B,2,FALSE)</f>
        <v>#N/A</v>
      </c>
    </row>
    <row r="320" spans="7:7" x14ac:dyDescent="0.3">
      <c r="G320" t="e">
        <f>E320*VLOOKUP(F320,'FX Rates'!A:B,2,FALSE)</f>
        <v>#N/A</v>
      </c>
    </row>
    <row r="321" spans="7:7" x14ac:dyDescent="0.3">
      <c r="G321" t="e">
        <f>E321*VLOOKUP(F321,'FX Rates'!A:B,2,FALSE)</f>
        <v>#N/A</v>
      </c>
    </row>
    <row r="322" spans="7:7" x14ac:dyDescent="0.3">
      <c r="G322" t="e">
        <f>E322*VLOOKUP(F322,'FX Rates'!A:B,2,FALSE)</f>
        <v>#N/A</v>
      </c>
    </row>
    <row r="323" spans="7:7" x14ac:dyDescent="0.3">
      <c r="G323" t="e">
        <f>E323*VLOOKUP(F323,'FX Rates'!A:B,2,FALSE)</f>
        <v>#N/A</v>
      </c>
    </row>
    <row r="324" spans="7:7" x14ac:dyDescent="0.3">
      <c r="G324" t="e">
        <f>E324*VLOOKUP(F324,'FX Rates'!A:B,2,FALSE)</f>
        <v>#N/A</v>
      </c>
    </row>
    <row r="325" spans="7:7" x14ac:dyDescent="0.3">
      <c r="G325" t="e">
        <f>E325*VLOOKUP(F325,'FX Rates'!A:B,2,FALSE)</f>
        <v>#N/A</v>
      </c>
    </row>
    <row r="326" spans="7:7" x14ac:dyDescent="0.3">
      <c r="G326" t="e">
        <f>E326*VLOOKUP(F326,'FX Rates'!A:B,2,FALSE)</f>
        <v>#N/A</v>
      </c>
    </row>
    <row r="327" spans="7:7" x14ac:dyDescent="0.3">
      <c r="G327" t="e">
        <f>E327*VLOOKUP(F327,'FX Rates'!A:B,2,FALSE)</f>
        <v>#N/A</v>
      </c>
    </row>
    <row r="328" spans="7:7" x14ac:dyDescent="0.3">
      <c r="G328" t="e">
        <f>E328*VLOOKUP(F328,'FX Rates'!A:B,2,FALSE)</f>
        <v>#N/A</v>
      </c>
    </row>
    <row r="329" spans="7:7" x14ac:dyDescent="0.3">
      <c r="G329" t="e">
        <f>E329*VLOOKUP(F329,'FX Rates'!A:B,2,FALSE)</f>
        <v>#N/A</v>
      </c>
    </row>
    <row r="330" spans="7:7" x14ac:dyDescent="0.3">
      <c r="G330" t="e">
        <f>E330*VLOOKUP(F330,'FX Rates'!A:B,2,FALSE)</f>
        <v>#N/A</v>
      </c>
    </row>
    <row r="331" spans="7:7" x14ac:dyDescent="0.3">
      <c r="G331" t="e">
        <f>E331*VLOOKUP(F331,'FX Rates'!A:B,2,FALSE)</f>
        <v>#N/A</v>
      </c>
    </row>
    <row r="332" spans="7:7" x14ac:dyDescent="0.3">
      <c r="G332" t="e">
        <f>E332*VLOOKUP(F332,'FX Rates'!A:B,2,FALSE)</f>
        <v>#N/A</v>
      </c>
    </row>
    <row r="333" spans="7:7" x14ac:dyDescent="0.3">
      <c r="G333" t="e">
        <f>E333*VLOOKUP(F333,'FX Rates'!A:B,2,FALSE)</f>
        <v>#N/A</v>
      </c>
    </row>
    <row r="334" spans="7:7" x14ac:dyDescent="0.3">
      <c r="G334" t="e">
        <f>E334*VLOOKUP(F334,'FX Rates'!A:B,2,FALSE)</f>
        <v>#N/A</v>
      </c>
    </row>
    <row r="335" spans="7:7" x14ac:dyDescent="0.3">
      <c r="G335" t="e">
        <f>E335*VLOOKUP(F335,'FX Rates'!A:B,2,FALSE)</f>
        <v>#N/A</v>
      </c>
    </row>
    <row r="336" spans="7:7" x14ac:dyDescent="0.3">
      <c r="G336" t="e">
        <f>E336*VLOOKUP(F336,'FX Rates'!A:B,2,FALSE)</f>
        <v>#N/A</v>
      </c>
    </row>
    <row r="337" spans="7:7" x14ac:dyDescent="0.3">
      <c r="G337" t="e">
        <f>E337*VLOOKUP(F337,'FX Rates'!A:B,2,FALSE)</f>
        <v>#N/A</v>
      </c>
    </row>
    <row r="338" spans="7:7" x14ac:dyDescent="0.3">
      <c r="G338" t="e">
        <f>E338*VLOOKUP(F338,'FX Rates'!A:B,2,FALSE)</f>
        <v>#N/A</v>
      </c>
    </row>
    <row r="339" spans="7:7" x14ac:dyDescent="0.3">
      <c r="G339" t="e">
        <f>E339*VLOOKUP(F339,'FX Rates'!A:B,2,FALSE)</f>
        <v>#N/A</v>
      </c>
    </row>
    <row r="340" spans="7:7" x14ac:dyDescent="0.3">
      <c r="G340" t="e">
        <f>E340*VLOOKUP(F340,'FX Rates'!A:B,2,FALSE)</f>
        <v>#N/A</v>
      </c>
    </row>
    <row r="341" spans="7:7" x14ac:dyDescent="0.3">
      <c r="G341" t="e">
        <f>E341*VLOOKUP(F341,'FX Rates'!A:B,2,FALSE)</f>
        <v>#N/A</v>
      </c>
    </row>
    <row r="342" spans="7:7" x14ac:dyDescent="0.3">
      <c r="G342" t="e">
        <f>E342*VLOOKUP(F342,'FX Rates'!A:B,2,FALSE)</f>
        <v>#N/A</v>
      </c>
    </row>
    <row r="343" spans="7:7" x14ac:dyDescent="0.3">
      <c r="G343" t="e">
        <f>E343*VLOOKUP(F343,'FX Rates'!A:B,2,FALSE)</f>
        <v>#N/A</v>
      </c>
    </row>
    <row r="344" spans="7:7" x14ac:dyDescent="0.3">
      <c r="G344" t="e">
        <f>E344*VLOOKUP(F344,'FX Rates'!A:B,2,FALSE)</f>
        <v>#N/A</v>
      </c>
    </row>
    <row r="345" spans="7:7" x14ac:dyDescent="0.3">
      <c r="G345" t="e">
        <f>E345*VLOOKUP(F345,'FX Rates'!A:B,2,FALSE)</f>
        <v>#N/A</v>
      </c>
    </row>
    <row r="346" spans="7:7" x14ac:dyDescent="0.3">
      <c r="G346" t="e">
        <f>E346*VLOOKUP(F346,'FX Rates'!A:B,2,FALSE)</f>
        <v>#N/A</v>
      </c>
    </row>
    <row r="347" spans="7:7" x14ac:dyDescent="0.3">
      <c r="G347" t="e">
        <f>E347*VLOOKUP(F347,'FX Rates'!A:B,2,FALSE)</f>
        <v>#N/A</v>
      </c>
    </row>
    <row r="348" spans="7:7" x14ac:dyDescent="0.3">
      <c r="G348" t="e">
        <f>E348*VLOOKUP(F348,'FX Rates'!A:B,2,FALSE)</f>
        <v>#N/A</v>
      </c>
    </row>
    <row r="349" spans="7:7" x14ac:dyDescent="0.3">
      <c r="G349" t="e">
        <f>E349*VLOOKUP(F349,'FX Rates'!A:B,2,FALSE)</f>
        <v>#N/A</v>
      </c>
    </row>
    <row r="350" spans="7:7" x14ac:dyDescent="0.3">
      <c r="G350" t="e">
        <f>E350*VLOOKUP(F350,'FX Rates'!A:B,2,FALSE)</f>
        <v>#N/A</v>
      </c>
    </row>
    <row r="351" spans="7:7" x14ac:dyDescent="0.3">
      <c r="G351" t="e">
        <f>E351*VLOOKUP(F351,'FX Rates'!A:B,2,FALSE)</f>
        <v>#N/A</v>
      </c>
    </row>
    <row r="352" spans="7:7" x14ac:dyDescent="0.3">
      <c r="G352" t="e">
        <f>E352*VLOOKUP(F352,'FX Rates'!A:B,2,FALSE)</f>
        <v>#N/A</v>
      </c>
    </row>
    <row r="353" spans="7:7" x14ac:dyDescent="0.3">
      <c r="G353" t="e">
        <f>E353*VLOOKUP(F353,'FX Rates'!A:B,2,FALSE)</f>
        <v>#N/A</v>
      </c>
    </row>
    <row r="354" spans="7:7" x14ac:dyDescent="0.3">
      <c r="G354" t="e">
        <f>E354*VLOOKUP(F354,'FX Rates'!A:B,2,FALSE)</f>
        <v>#N/A</v>
      </c>
    </row>
    <row r="355" spans="7:7" x14ac:dyDescent="0.3">
      <c r="G355" t="e">
        <f>E355*VLOOKUP(F355,'FX Rates'!A:B,2,FALSE)</f>
        <v>#N/A</v>
      </c>
    </row>
    <row r="356" spans="7:7" x14ac:dyDescent="0.3">
      <c r="G356" t="e">
        <f>E356*VLOOKUP(F356,'FX Rates'!A:B,2,FALSE)</f>
        <v>#N/A</v>
      </c>
    </row>
    <row r="357" spans="7:7" x14ac:dyDescent="0.3">
      <c r="G357" t="e">
        <f>E357*VLOOKUP(F357,'FX Rates'!A:B,2,FALSE)</f>
        <v>#N/A</v>
      </c>
    </row>
    <row r="358" spans="7:7" x14ac:dyDescent="0.3">
      <c r="G358" t="e">
        <f>E358*VLOOKUP(F358,'FX Rates'!A:B,2,FALSE)</f>
        <v>#N/A</v>
      </c>
    </row>
    <row r="359" spans="7:7" x14ac:dyDescent="0.3">
      <c r="G359" t="e">
        <f>E359*VLOOKUP(F359,'FX Rates'!A:B,2,FALSE)</f>
        <v>#N/A</v>
      </c>
    </row>
    <row r="360" spans="7:7" x14ac:dyDescent="0.3">
      <c r="G360" t="e">
        <f>E360*VLOOKUP(F360,'FX Rates'!A:B,2,FALSE)</f>
        <v>#N/A</v>
      </c>
    </row>
    <row r="361" spans="7:7" x14ac:dyDescent="0.3">
      <c r="G361" t="e">
        <f>E361*VLOOKUP(F361,'FX Rates'!A:B,2,FALSE)</f>
        <v>#N/A</v>
      </c>
    </row>
    <row r="362" spans="7:7" x14ac:dyDescent="0.3">
      <c r="G362" t="e">
        <f>E362*VLOOKUP(F362,'FX Rates'!A:B,2,FALSE)</f>
        <v>#N/A</v>
      </c>
    </row>
    <row r="363" spans="7:7" x14ac:dyDescent="0.3">
      <c r="G363" t="e">
        <f>E363*VLOOKUP(F363,'FX Rates'!A:B,2,FALSE)</f>
        <v>#N/A</v>
      </c>
    </row>
    <row r="364" spans="7:7" x14ac:dyDescent="0.3">
      <c r="G364" t="e">
        <f>E364*VLOOKUP(F364,'FX Rates'!A:B,2,FALSE)</f>
        <v>#N/A</v>
      </c>
    </row>
    <row r="365" spans="7:7" x14ac:dyDescent="0.3">
      <c r="G365" t="e">
        <f>E365*VLOOKUP(F365,'FX Rates'!A:B,2,FALSE)</f>
        <v>#N/A</v>
      </c>
    </row>
    <row r="366" spans="7:7" x14ac:dyDescent="0.3">
      <c r="G366" t="e">
        <f>E366*VLOOKUP(F366,'FX Rates'!A:B,2,FALSE)</f>
        <v>#N/A</v>
      </c>
    </row>
    <row r="367" spans="7:7" x14ac:dyDescent="0.3">
      <c r="G367" t="e">
        <f>E367*VLOOKUP(F367,'FX Rates'!A:B,2,FALSE)</f>
        <v>#N/A</v>
      </c>
    </row>
    <row r="368" spans="7:7" x14ac:dyDescent="0.3">
      <c r="G368" t="e">
        <f>E368*VLOOKUP(F368,'FX Rates'!A:B,2,FALSE)</f>
        <v>#N/A</v>
      </c>
    </row>
    <row r="369" spans="7:7" x14ac:dyDescent="0.3">
      <c r="G369" t="e">
        <f>E369*VLOOKUP(F369,'FX Rates'!A:B,2,FALSE)</f>
        <v>#N/A</v>
      </c>
    </row>
    <row r="370" spans="7:7" x14ac:dyDescent="0.3">
      <c r="G370" t="e">
        <f>E370*VLOOKUP(F370,'FX Rates'!A:B,2,FALSE)</f>
        <v>#N/A</v>
      </c>
    </row>
    <row r="371" spans="7:7" x14ac:dyDescent="0.3">
      <c r="G371" t="e">
        <f>E371*VLOOKUP(F371,'FX Rates'!A:B,2,FALSE)</f>
        <v>#N/A</v>
      </c>
    </row>
    <row r="372" spans="7:7" x14ac:dyDescent="0.3">
      <c r="G372" t="e">
        <f>E372*VLOOKUP(F372,'FX Rates'!A:B,2,FALSE)</f>
        <v>#N/A</v>
      </c>
    </row>
    <row r="373" spans="7:7" x14ac:dyDescent="0.3">
      <c r="G373" t="e">
        <f>E373*VLOOKUP(F373,'FX Rates'!A:B,2,FALSE)</f>
        <v>#N/A</v>
      </c>
    </row>
    <row r="374" spans="7:7" x14ac:dyDescent="0.3">
      <c r="G374" t="e">
        <f>E374*VLOOKUP(F374,'FX Rates'!A:B,2,FALSE)</f>
        <v>#N/A</v>
      </c>
    </row>
    <row r="375" spans="7:7" x14ac:dyDescent="0.3">
      <c r="G375" t="e">
        <f>E375*VLOOKUP(F375,'FX Rates'!A:B,2,FALSE)</f>
        <v>#N/A</v>
      </c>
    </row>
    <row r="376" spans="7:7" x14ac:dyDescent="0.3">
      <c r="G376" t="e">
        <f>E376*VLOOKUP(F376,'FX Rates'!A:B,2,FALSE)</f>
        <v>#N/A</v>
      </c>
    </row>
    <row r="377" spans="7:7" x14ac:dyDescent="0.3">
      <c r="G377" t="e">
        <f>E377*VLOOKUP(F377,'FX Rates'!A:B,2,FALSE)</f>
        <v>#N/A</v>
      </c>
    </row>
    <row r="378" spans="7:7" x14ac:dyDescent="0.3">
      <c r="G378" t="e">
        <f>E378*VLOOKUP(F378,'FX Rates'!A:B,2,FALSE)</f>
        <v>#N/A</v>
      </c>
    </row>
    <row r="379" spans="7:7" x14ac:dyDescent="0.3">
      <c r="G379" t="e">
        <f>E379*VLOOKUP(F379,'FX Rates'!A:B,2,FALSE)</f>
        <v>#N/A</v>
      </c>
    </row>
    <row r="380" spans="7:7" x14ac:dyDescent="0.3">
      <c r="G380" t="e">
        <f>E380*VLOOKUP(F380,'FX Rates'!A:B,2,FALSE)</f>
        <v>#N/A</v>
      </c>
    </row>
    <row r="381" spans="7:7" x14ac:dyDescent="0.3">
      <c r="G381" t="e">
        <f>E381*VLOOKUP(F381,'FX Rates'!A:B,2,FALSE)</f>
        <v>#N/A</v>
      </c>
    </row>
    <row r="382" spans="7:7" x14ac:dyDescent="0.3">
      <c r="G382" t="e">
        <f>E382*VLOOKUP(F382,'FX Rates'!A:B,2,FALSE)</f>
        <v>#N/A</v>
      </c>
    </row>
    <row r="383" spans="7:7" x14ac:dyDescent="0.3">
      <c r="G383" t="e">
        <f>E383*VLOOKUP(F383,'FX Rates'!A:B,2,FALSE)</f>
        <v>#N/A</v>
      </c>
    </row>
    <row r="384" spans="7:7" x14ac:dyDescent="0.3">
      <c r="G384" t="e">
        <f>E384*VLOOKUP(F384,'FX Rates'!A:B,2,FALSE)</f>
        <v>#N/A</v>
      </c>
    </row>
    <row r="385" spans="7:7" x14ac:dyDescent="0.3">
      <c r="G385" t="e">
        <f>E385*VLOOKUP(F385,'FX Rates'!A:B,2,FALSE)</f>
        <v>#N/A</v>
      </c>
    </row>
    <row r="386" spans="7:7" x14ac:dyDescent="0.3">
      <c r="G386" t="e">
        <f>E386*VLOOKUP(F386,'FX Rates'!A:B,2,FALSE)</f>
        <v>#N/A</v>
      </c>
    </row>
    <row r="387" spans="7:7" x14ac:dyDescent="0.3">
      <c r="G387" t="e">
        <f>E387*VLOOKUP(F387,'FX Rates'!A:B,2,FALSE)</f>
        <v>#N/A</v>
      </c>
    </row>
    <row r="388" spans="7:7" x14ac:dyDescent="0.3">
      <c r="G388" t="e">
        <f>E388*VLOOKUP(F388,'FX Rates'!A:B,2,FALSE)</f>
        <v>#N/A</v>
      </c>
    </row>
    <row r="389" spans="7:7" x14ac:dyDescent="0.3">
      <c r="G389" t="e">
        <f>E389*VLOOKUP(F389,'FX Rates'!A:B,2,FALSE)</f>
        <v>#N/A</v>
      </c>
    </row>
    <row r="390" spans="7:7" x14ac:dyDescent="0.3">
      <c r="G390" t="e">
        <f>E390*VLOOKUP(F390,'FX Rates'!A:B,2,FALSE)</f>
        <v>#N/A</v>
      </c>
    </row>
    <row r="391" spans="7:7" x14ac:dyDescent="0.3">
      <c r="G391" t="e">
        <f>E391*VLOOKUP(F391,'FX Rates'!A:B,2,FALSE)</f>
        <v>#N/A</v>
      </c>
    </row>
    <row r="392" spans="7:7" x14ac:dyDescent="0.3">
      <c r="G392" t="e">
        <f>E392*VLOOKUP(F392,'FX Rates'!A:B,2,FALSE)</f>
        <v>#N/A</v>
      </c>
    </row>
    <row r="393" spans="7:7" x14ac:dyDescent="0.3">
      <c r="G393" t="e">
        <f>E393*VLOOKUP(F393,'FX Rates'!A:B,2,FALSE)</f>
        <v>#N/A</v>
      </c>
    </row>
    <row r="394" spans="7:7" x14ac:dyDescent="0.3">
      <c r="G394" t="e">
        <f>E394*VLOOKUP(F394,'FX Rates'!A:B,2,FALSE)</f>
        <v>#N/A</v>
      </c>
    </row>
    <row r="395" spans="7:7" x14ac:dyDescent="0.3">
      <c r="G395" t="e">
        <f>E395*VLOOKUP(F395,'FX Rates'!A:B,2,FALSE)</f>
        <v>#N/A</v>
      </c>
    </row>
    <row r="396" spans="7:7" x14ac:dyDescent="0.3">
      <c r="G396" t="e">
        <f>E396*VLOOKUP(F396,'FX Rates'!A:B,2,FALSE)</f>
        <v>#N/A</v>
      </c>
    </row>
    <row r="397" spans="7:7" x14ac:dyDescent="0.3">
      <c r="G397" t="e">
        <f>E397*VLOOKUP(F397,'FX Rates'!A:B,2,FALSE)</f>
        <v>#N/A</v>
      </c>
    </row>
    <row r="398" spans="7:7" x14ac:dyDescent="0.3">
      <c r="G398" t="e">
        <f>E398*VLOOKUP(F398,'FX Rates'!A:B,2,FALSE)</f>
        <v>#N/A</v>
      </c>
    </row>
    <row r="399" spans="7:7" x14ac:dyDescent="0.3">
      <c r="G399" t="e">
        <f>E399*VLOOKUP(F399,'FX Rates'!A:B,2,FALSE)</f>
        <v>#N/A</v>
      </c>
    </row>
    <row r="400" spans="7:7" x14ac:dyDescent="0.3">
      <c r="G400" t="e">
        <f>E400*VLOOKUP(F400,'FX Rates'!A:B,2,FALSE)</f>
        <v>#N/A</v>
      </c>
    </row>
    <row r="401" spans="7:7" x14ac:dyDescent="0.3">
      <c r="G401" t="e">
        <f>E401*VLOOKUP(F401,'FX Rates'!A:B,2,FALSE)</f>
        <v>#N/A</v>
      </c>
    </row>
    <row r="402" spans="7:7" x14ac:dyDescent="0.3">
      <c r="G402" t="e">
        <f>E402*VLOOKUP(F402,'FX Rates'!A:B,2,FALSE)</f>
        <v>#N/A</v>
      </c>
    </row>
    <row r="403" spans="7:7" x14ac:dyDescent="0.3">
      <c r="G403" t="e">
        <f>E403*VLOOKUP(F403,'FX Rates'!A:B,2,FALSE)</f>
        <v>#N/A</v>
      </c>
    </row>
    <row r="404" spans="7:7" x14ac:dyDescent="0.3">
      <c r="G404" t="e">
        <f>E404*VLOOKUP(F404,'FX Rates'!A:B,2,FALSE)</f>
        <v>#N/A</v>
      </c>
    </row>
    <row r="405" spans="7:7" x14ac:dyDescent="0.3">
      <c r="G405" t="e">
        <f>E405*VLOOKUP(F405,'FX Rates'!A:B,2,FALSE)</f>
        <v>#N/A</v>
      </c>
    </row>
    <row r="406" spans="7:7" x14ac:dyDescent="0.3">
      <c r="G406" t="e">
        <f>E406*VLOOKUP(F406,'FX Rates'!A:B,2,FALSE)</f>
        <v>#N/A</v>
      </c>
    </row>
    <row r="407" spans="7:7" x14ac:dyDescent="0.3">
      <c r="G407" t="e">
        <f>E407*VLOOKUP(F407,'FX Rates'!A:B,2,FALSE)</f>
        <v>#N/A</v>
      </c>
    </row>
    <row r="408" spans="7:7" x14ac:dyDescent="0.3">
      <c r="G408" t="e">
        <f>E408*VLOOKUP(F408,'FX Rates'!A:B,2,FALSE)</f>
        <v>#N/A</v>
      </c>
    </row>
    <row r="409" spans="7:7" x14ac:dyDescent="0.3">
      <c r="G409" t="e">
        <f>E409*VLOOKUP(F409,'FX Rates'!A:B,2,FALSE)</f>
        <v>#N/A</v>
      </c>
    </row>
    <row r="410" spans="7:7" x14ac:dyDescent="0.3">
      <c r="G410" t="e">
        <f>E410*VLOOKUP(F410,'FX Rates'!A:B,2,FALSE)</f>
        <v>#N/A</v>
      </c>
    </row>
    <row r="411" spans="7:7" x14ac:dyDescent="0.3">
      <c r="G411" t="e">
        <f>E411*VLOOKUP(F411,'FX Rates'!A:B,2,FALSE)</f>
        <v>#N/A</v>
      </c>
    </row>
    <row r="412" spans="7:7" x14ac:dyDescent="0.3">
      <c r="G412" t="e">
        <f>E412*VLOOKUP(F412,'FX Rates'!A:B,2,FALSE)</f>
        <v>#N/A</v>
      </c>
    </row>
    <row r="413" spans="7:7" x14ac:dyDescent="0.3">
      <c r="G413" t="e">
        <f>E413*VLOOKUP(F413,'FX Rates'!A:B,2,FALSE)</f>
        <v>#N/A</v>
      </c>
    </row>
    <row r="414" spans="7:7" x14ac:dyDescent="0.3">
      <c r="G414" t="e">
        <f>E414*VLOOKUP(F414,'FX Rates'!A:B,2,FALSE)</f>
        <v>#N/A</v>
      </c>
    </row>
    <row r="415" spans="7:7" x14ac:dyDescent="0.3">
      <c r="G415" t="e">
        <f>E415*VLOOKUP(F415,'FX Rates'!A:B,2,FALSE)</f>
        <v>#N/A</v>
      </c>
    </row>
    <row r="416" spans="7:7" x14ac:dyDescent="0.3">
      <c r="G416" t="e">
        <f>E416*VLOOKUP(F416,'FX Rates'!A:B,2,FALSE)</f>
        <v>#N/A</v>
      </c>
    </row>
    <row r="417" spans="7:7" x14ac:dyDescent="0.3">
      <c r="G417" t="e">
        <f>E417*VLOOKUP(F417,'FX Rates'!A:B,2,FALSE)</f>
        <v>#N/A</v>
      </c>
    </row>
    <row r="418" spans="7:7" x14ac:dyDescent="0.3">
      <c r="G418" t="e">
        <f>E418*VLOOKUP(F418,'FX Rates'!A:B,2,FALSE)</f>
        <v>#N/A</v>
      </c>
    </row>
    <row r="419" spans="7:7" x14ac:dyDescent="0.3">
      <c r="G419" t="e">
        <f>E419*VLOOKUP(F419,'FX Rates'!A:B,2,FALSE)</f>
        <v>#N/A</v>
      </c>
    </row>
    <row r="420" spans="7:7" x14ac:dyDescent="0.3">
      <c r="G420" t="e">
        <f>E420*VLOOKUP(F420,'FX Rates'!A:B,2,FALSE)</f>
        <v>#N/A</v>
      </c>
    </row>
    <row r="421" spans="7:7" x14ac:dyDescent="0.3">
      <c r="G421" t="e">
        <f>E421*VLOOKUP(F421,'FX Rates'!A:B,2,FALSE)</f>
        <v>#N/A</v>
      </c>
    </row>
    <row r="422" spans="7:7" x14ac:dyDescent="0.3">
      <c r="G422" t="e">
        <f>E422*VLOOKUP(F422,'FX Rates'!A:B,2,FALSE)</f>
        <v>#N/A</v>
      </c>
    </row>
    <row r="423" spans="7:7" x14ac:dyDescent="0.3">
      <c r="G423" t="e">
        <f>E423*VLOOKUP(F423,'FX Rates'!A:B,2,FALSE)</f>
        <v>#N/A</v>
      </c>
    </row>
    <row r="424" spans="7:7" x14ac:dyDescent="0.3">
      <c r="G424" t="e">
        <f>E424*VLOOKUP(F424,'FX Rates'!A:B,2,FALSE)</f>
        <v>#N/A</v>
      </c>
    </row>
    <row r="425" spans="7:7" x14ac:dyDescent="0.3">
      <c r="G425" t="e">
        <f>E425*VLOOKUP(F425,'FX Rates'!A:B,2,FALSE)</f>
        <v>#N/A</v>
      </c>
    </row>
    <row r="426" spans="7:7" x14ac:dyDescent="0.3">
      <c r="G426" t="e">
        <f>E426*VLOOKUP(F426,'FX Rates'!A:B,2,FALSE)</f>
        <v>#N/A</v>
      </c>
    </row>
    <row r="427" spans="7:7" x14ac:dyDescent="0.3">
      <c r="G427" t="e">
        <f>E427*VLOOKUP(F427,'FX Rates'!A:B,2,FALSE)</f>
        <v>#N/A</v>
      </c>
    </row>
    <row r="428" spans="7:7" x14ac:dyDescent="0.3">
      <c r="G428" t="e">
        <f>E428*VLOOKUP(F428,'FX Rates'!A:B,2,FALSE)</f>
        <v>#N/A</v>
      </c>
    </row>
    <row r="429" spans="7:7" x14ac:dyDescent="0.3">
      <c r="G429" t="e">
        <f>E429*VLOOKUP(F429,'FX Rates'!A:B,2,FALSE)</f>
        <v>#N/A</v>
      </c>
    </row>
    <row r="430" spans="7:7" x14ac:dyDescent="0.3">
      <c r="G430" t="e">
        <f>E430*VLOOKUP(F430,'FX Rates'!A:B,2,FALSE)</f>
        <v>#N/A</v>
      </c>
    </row>
    <row r="431" spans="7:7" x14ac:dyDescent="0.3">
      <c r="G431" t="e">
        <f>E431*VLOOKUP(F431,'FX Rates'!A:B,2,FALSE)</f>
        <v>#N/A</v>
      </c>
    </row>
    <row r="432" spans="7:7" x14ac:dyDescent="0.3">
      <c r="G432" t="e">
        <f>E432*VLOOKUP(F432,'FX Rates'!A:B,2,FALSE)</f>
        <v>#N/A</v>
      </c>
    </row>
    <row r="433" spans="7:7" x14ac:dyDescent="0.3">
      <c r="G433" t="e">
        <f>E433*VLOOKUP(F433,'FX Rates'!A:B,2,FALSE)</f>
        <v>#N/A</v>
      </c>
    </row>
    <row r="434" spans="7:7" x14ac:dyDescent="0.3">
      <c r="G434" t="e">
        <f>E434*VLOOKUP(F434,'FX Rates'!A:B,2,FALSE)</f>
        <v>#N/A</v>
      </c>
    </row>
    <row r="435" spans="7:7" x14ac:dyDescent="0.3">
      <c r="G435" t="e">
        <f>E435*VLOOKUP(F435,'FX Rates'!A:B,2,FALSE)</f>
        <v>#N/A</v>
      </c>
    </row>
    <row r="436" spans="7:7" x14ac:dyDescent="0.3">
      <c r="G436" t="e">
        <f>E436*VLOOKUP(F436,'FX Rates'!A:B,2,FALSE)</f>
        <v>#N/A</v>
      </c>
    </row>
    <row r="437" spans="7:7" x14ac:dyDescent="0.3">
      <c r="G437" t="e">
        <f>E437*VLOOKUP(F437,'FX Rates'!A:B,2,FALSE)</f>
        <v>#N/A</v>
      </c>
    </row>
    <row r="438" spans="7:7" x14ac:dyDescent="0.3">
      <c r="G438" t="e">
        <f>E438*VLOOKUP(F438,'FX Rates'!A:B,2,FALSE)</f>
        <v>#N/A</v>
      </c>
    </row>
    <row r="439" spans="7:7" x14ac:dyDescent="0.3">
      <c r="G439" t="e">
        <f>E439*VLOOKUP(F439,'FX Rates'!A:B,2,FALSE)</f>
        <v>#N/A</v>
      </c>
    </row>
    <row r="440" spans="7:7" x14ac:dyDescent="0.3">
      <c r="G440" t="e">
        <f>E440*VLOOKUP(F440,'FX Rates'!A:B,2,FALSE)</f>
        <v>#N/A</v>
      </c>
    </row>
    <row r="441" spans="7:7" x14ac:dyDescent="0.3">
      <c r="G441" t="e">
        <f>E441*VLOOKUP(F441,'FX Rates'!A:B,2,FALSE)</f>
        <v>#N/A</v>
      </c>
    </row>
    <row r="442" spans="7:7" x14ac:dyDescent="0.3">
      <c r="G442" t="e">
        <f>E442*VLOOKUP(F442,'FX Rates'!A:B,2,FALSE)</f>
        <v>#N/A</v>
      </c>
    </row>
    <row r="443" spans="7:7" x14ac:dyDescent="0.3">
      <c r="G443" t="e">
        <f>E443*VLOOKUP(F443,'FX Rates'!A:B,2,FALSE)</f>
        <v>#N/A</v>
      </c>
    </row>
    <row r="444" spans="7:7" x14ac:dyDescent="0.3">
      <c r="G444" t="e">
        <f>E444*VLOOKUP(F444,'FX Rates'!A:B,2,FALSE)</f>
        <v>#N/A</v>
      </c>
    </row>
    <row r="445" spans="7:7" x14ac:dyDescent="0.3">
      <c r="G445" t="e">
        <f>E445*VLOOKUP(F445,'FX Rates'!A:B,2,FALSE)</f>
        <v>#N/A</v>
      </c>
    </row>
    <row r="446" spans="7:7" x14ac:dyDescent="0.3">
      <c r="G446" t="e">
        <f>E446*VLOOKUP(F446,'FX Rates'!A:B,2,FALSE)</f>
        <v>#N/A</v>
      </c>
    </row>
    <row r="447" spans="7:7" x14ac:dyDescent="0.3">
      <c r="G447" t="e">
        <f>E447*VLOOKUP(F447,'FX Rates'!A:B,2,FALSE)</f>
        <v>#N/A</v>
      </c>
    </row>
    <row r="448" spans="7:7" x14ac:dyDescent="0.3">
      <c r="G448" t="e">
        <f>E448*VLOOKUP(F448,'FX Rates'!A:B,2,FALSE)</f>
        <v>#N/A</v>
      </c>
    </row>
    <row r="449" spans="7:7" x14ac:dyDescent="0.3">
      <c r="G449" t="e">
        <f>E449*VLOOKUP(F449,'FX Rates'!A:B,2,FALSE)</f>
        <v>#N/A</v>
      </c>
    </row>
    <row r="450" spans="7:7" x14ac:dyDescent="0.3">
      <c r="G450" t="e">
        <f>E450*VLOOKUP(F450,'FX Rates'!A:B,2,FALSE)</f>
        <v>#N/A</v>
      </c>
    </row>
    <row r="451" spans="7:7" x14ac:dyDescent="0.3">
      <c r="G451" t="e">
        <f>E451*VLOOKUP(F451,'FX Rates'!A:B,2,FALSE)</f>
        <v>#N/A</v>
      </c>
    </row>
    <row r="452" spans="7:7" x14ac:dyDescent="0.3">
      <c r="G452" t="e">
        <f>E452*VLOOKUP(F452,'FX Rates'!A:B,2,FALSE)</f>
        <v>#N/A</v>
      </c>
    </row>
    <row r="453" spans="7:7" x14ac:dyDescent="0.3">
      <c r="G453" t="e">
        <f>E453*VLOOKUP(F453,'FX Rates'!A:B,2,FALSE)</f>
        <v>#N/A</v>
      </c>
    </row>
    <row r="454" spans="7:7" x14ac:dyDescent="0.3">
      <c r="G454" t="e">
        <f>E454*VLOOKUP(F454,'FX Rates'!A:B,2,FALSE)</f>
        <v>#N/A</v>
      </c>
    </row>
    <row r="455" spans="7:7" x14ac:dyDescent="0.3">
      <c r="G455" t="e">
        <f>E455*VLOOKUP(F455,'FX Rates'!A:B,2,FALSE)</f>
        <v>#N/A</v>
      </c>
    </row>
    <row r="456" spans="7:7" x14ac:dyDescent="0.3">
      <c r="G456" t="e">
        <f>E456*VLOOKUP(F456,'FX Rates'!A:B,2,FALSE)</f>
        <v>#N/A</v>
      </c>
    </row>
    <row r="457" spans="7:7" x14ac:dyDescent="0.3">
      <c r="G457" t="e">
        <f>E457*VLOOKUP(F457,'FX Rates'!A:B,2,FALSE)</f>
        <v>#N/A</v>
      </c>
    </row>
    <row r="458" spans="7:7" x14ac:dyDescent="0.3">
      <c r="G458" t="e">
        <f>E458*VLOOKUP(F458,'FX Rates'!A:B,2,FALSE)</f>
        <v>#N/A</v>
      </c>
    </row>
    <row r="459" spans="7:7" x14ac:dyDescent="0.3">
      <c r="G459" t="e">
        <f>E459*VLOOKUP(F459,'FX Rates'!A:B,2,FALSE)</f>
        <v>#N/A</v>
      </c>
    </row>
    <row r="460" spans="7:7" x14ac:dyDescent="0.3">
      <c r="G460" t="e">
        <f>E460*VLOOKUP(F460,'FX Rates'!A:B,2,FALSE)</f>
        <v>#N/A</v>
      </c>
    </row>
    <row r="461" spans="7:7" x14ac:dyDescent="0.3">
      <c r="G461" t="e">
        <f>E461*VLOOKUP(F461,'FX Rates'!A:B,2,FALSE)</f>
        <v>#N/A</v>
      </c>
    </row>
    <row r="462" spans="7:7" x14ac:dyDescent="0.3">
      <c r="G462" t="e">
        <f>E462*VLOOKUP(F462,'FX Rates'!A:B,2,FALSE)</f>
        <v>#N/A</v>
      </c>
    </row>
    <row r="463" spans="7:7" x14ac:dyDescent="0.3">
      <c r="G463" t="e">
        <f>E463*VLOOKUP(F463,'FX Rates'!A:B,2,FALSE)</f>
        <v>#N/A</v>
      </c>
    </row>
    <row r="464" spans="7:7" x14ac:dyDescent="0.3">
      <c r="G464" t="e">
        <f>E464*VLOOKUP(F464,'FX Rates'!A:B,2,FALSE)</f>
        <v>#N/A</v>
      </c>
    </row>
    <row r="465" spans="7:7" x14ac:dyDescent="0.3">
      <c r="G465" t="e">
        <f>E465*VLOOKUP(F465,'FX Rates'!A:B,2,FALSE)</f>
        <v>#N/A</v>
      </c>
    </row>
    <row r="466" spans="7:7" x14ac:dyDescent="0.3">
      <c r="G466" t="e">
        <f>E466*VLOOKUP(F466,'FX Rates'!A:B,2,FALSE)</f>
        <v>#N/A</v>
      </c>
    </row>
    <row r="467" spans="7:7" x14ac:dyDescent="0.3">
      <c r="G467" t="e">
        <f>E467*VLOOKUP(F467,'FX Rates'!A:B,2,FALSE)</f>
        <v>#N/A</v>
      </c>
    </row>
    <row r="468" spans="7:7" x14ac:dyDescent="0.3">
      <c r="G468" t="e">
        <f>E468*VLOOKUP(F468,'FX Rates'!A:B,2,FALSE)</f>
        <v>#N/A</v>
      </c>
    </row>
    <row r="469" spans="7:7" x14ac:dyDescent="0.3">
      <c r="G469" t="e">
        <f>E469*VLOOKUP(F469,'FX Rates'!A:B,2,FALSE)</f>
        <v>#N/A</v>
      </c>
    </row>
    <row r="470" spans="7:7" x14ac:dyDescent="0.3">
      <c r="G470" t="e">
        <f>E470*VLOOKUP(F470,'FX Rates'!A:B,2,FALSE)</f>
        <v>#N/A</v>
      </c>
    </row>
    <row r="471" spans="7:7" x14ac:dyDescent="0.3">
      <c r="G471" t="e">
        <f>E471*VLOOKUP(F471,'FX Rates'!A:B,2,FALSE)</f>
        <v>#N/A</v>
      </c>
    </row>
    <row r="472" spans="7:7" x14ac:dyDescent="0.3">
      <c r="G472" t="e">
        <f>E472*VLOOKUP(F472,'FX Rates'!A:B,2,FALSE)</f>
        <v>#N/A</v>
      </c>
    </row>
    <row r="473" spans="7:7" x14ac:dyDescent="0.3">
      <c r="G473" t="e">
        <f>E473*VLOOKUP(F473,'FX Rates'!A:B,2,FALSE)</f>
        <v>#N/A</v>
      </c>
    </row>
    <row r="474" spans="7:7" x14ac:dyDescent="0.3">
      <c r="G474" t="e">
        <f>E474*VLOOKUP(F474,'FX Rates'!A:B,2,FALSE)</f>
        <v>#N/A</v>
      </c>
    </row>
    <row r="475" spans="7:7" x14ac:dyDescent="0.3">
      <c r="G475" t="e">
        <f>E475*VLOOKUP(F475,'FX Rates'!A:B,2,FALSE)</f>
        <v>#N/A</v>
      </c>
    </row>
    <row r="476" spans="7:7" x14ac:dyDescent="0.3">
      <c r="G476" t="e">
        <f>E476*VLOOKUP(F476,'FX Rates'!A:B,2,FALSE)</f>
        <v>#N/A</v>
      </c>
    </row>
    <row r="477" spans="7:7" x14ac:dyDescent="0.3">
      <c r="G477" t="e">
        <f>E477*VLOOKUP(F477,'FX Rates'!A:B,2,FALSE)</f>
        <v>#N/A</v>
      </c>
    </row>
    <row r="478" spans="7:7" x14ac:dyDescent="0.3">
      <c r="G478" t="e">
        <f>E478*VLOOKUP(F478,'FX Rates'!A:B,2,FALSE)</f>
        <v>#N/A</v>
      </c>
    </row>
    <row r="479" spans="7:7" x14ac:dyDescent="0.3">
      <c r="G479" t="e">
        <f>E479*VLOOKUP(F479,'FX Rates'!A:B,2,FALSE)</f>
        <v>#N/A</v>
      </c>
    </row>
    <row r="480" spans="7:7" x14ac:dyDescent="0.3">
      <c r="G480" t="e">
        <f>E480*VLOOKUP(F480,'FX Rates'!A:B,2,FALSE)</f>
        <v>#N/A</v>
      </c>
    </row>
    <row r="481" spans="7:7" x14ac:dyDescent="0.3">
      <c r="G481" t="e">
        <f>E481*VLOOKUP(F481,'FX Rates'!A:B,2,FALSE)</f>
        <v>#N/A</v>
      </c>
    </row>
    <row r="482" spans="7:7" x14ac:dyDescent="0.3">
      <c r="G482" t="e">
        <f>E482*VLOOKUP(F482,'FX Rates'!A:B,2,FALSE)</f>
        <v>#N/A</v>
      </c>
    </row>
    <row r="483" spans="7:7" x14ac:dyDescent="0.3">
      <c r="G483" t="e">
        <f>E483*VLOOKUP(F483,'FX Rates'!A:B,2,FALSE)</f>
        <v>#N/A</v>
      </c>
    </row>
    <row r="484" spans="7:7" x14ac:dyDescent="0.3">
      <c r="G484" t="e">
        <f>E484*VLOOKUP(F484,'FX Rates'!A:B,2,FALSE)</f>
        <v>#N/A</v>
      </c>
    </row>
    <row r="485" spans="7:7" x14ac:dyDescent="0.3">
      <c r="G485" t="e">
        <f>E485*VLOOKUP(F485,'FX Rates'!A:B,2,FALSE)</f>
        <v>#N/A</v>
      </c>
    </row>
    <row r="486" spans="7:7" x14ac:dyDescent="0.3">
      <c r="G486" t="e">
        <f>E486*VLOOKUP(F486,'FX Rates'!A:B,2,FALSE)</f>
        <v>#N/A</v>
      </c>
    </row>
    <row r="487" spans="7:7" x14ac:dyDescent="0.3">
      <c r="G487" t="e">
        <f>E487*VLOOKUP(F487,'FX Rates'!A:B,2,FALSE)</f>
        <v>#N/A</v>
      </c>
    </row>
    <row r="488" spans="7:7" x14ac:dyDescent="0.3">
      <c r="G488" t="e">
        <f>E488*VLOOKUP(F488,'FX Rates'!A:B,2,FALSE)</f>
        <v>#N/A</v>
      </c>
    </row>
    <row r="489" spans="7:7" x14ac:dyDescent="0.3">
      <c r="G489" t="e">
        <f>E489*VLOOKUP(F489,'FX Rates'!A:B,2,FALSE)</f>
        <v>#N/A</v>
      </c>
    </row>
    <row r="490" spans="7:7" x14ac:dyDescent="0.3">
      <c r="G490" t="e">
        <f>E490*VLOOKUP(F490,'FX Rates'!A:B,2,FALSE)</f>
        <v>#N/A</v>
      </c>
    </row>
    <row r="491" spans="7:7" x14ac:dyDescent="0.3">
      <c r="G491" t="e">
        <f>E491*VLOOKUP(F491,'FX Rates'!A:B,2,FALSE)</f>
        <v>#N/A</v>
      </c>
    </row>
    <row r="492" spans="7:7" x14ac:dyDescent="0.3">
      <c r="G492" t="e">
        <f>E492*VLOOKUP(F492,'FX Rates'!A:B,2,FALSE)</f>
        <v>#N/A</v>
      </c>
    </row>
    <row r="493" spans="7:7" x14ac:dyDescent="0.3">
      <c r="G493" t="e">
        <f>E493*VLOOKUP(F493,'FX Rates'!A:B,2,FALSE)</f>
        <v>#N/A</v>
      </c>
    </row>
    <row r="494" spans="7:7" x14ac:dyDescent="0.3">
      <c r="G494" t="e">
        <f>E494*VLOOKUP(F494,'FX Rates'!A:B,2,FALSE)</f>
        <v>#N/A</v>
      </c>
    </row>
    <row r="495" spans="7:7" x14ac:dyDescent="0.3">
      <c r="G495" t="e">
        <f>E495*VLOOKUP(F495,'FX Rates'!A:B,2,FALSE)</f>
        <v>#N/A</v>
      </c>
    </row>
    <row r="496" spans="7:7" x14ac:dyDescent="0.3">
      <c r="G496" t="e">
        <f>E496*VLOOKUP(F496,'FX Rates'!A:B,2,FALSE)</f>
        <v>#N/A</v>
      </c>
    </row>
    <row r="497" spans="7:7" x14ac:dyDescent="0.3">
      <c r="G497" t="e">
        <f>E497*VLOOKUP(F497,'FX Rates'!A:B,2,FALSE)</f>
        <v>#N/A</v>
      </c>
    </row>
    <row r="498" spans="7:7" x14ac:dyDescent="0.3">
      <c r="G498" t="e">
        <f>E498*VLOOKUP(F498,'FX Rates'!A:B,2,FALSE)</f>
        <v>#N/A</v>
      </c>
    </row>
    <row r="499" spans="7:7" x14ac:dyDescent="0.3">
      <c r="G499" t="e">
        <f>E499*VLOOKUP(F499,'FX Rates'!A:B,2,FALSE)</f>
        <v>#N/A</v>
      </c>
    </row>
    <row r="500" spans="7:7" x14ac:dyDescent="0.3">
      <c r="G500" t="e">
        <f>E500*VLOOKUP(F500,'FX Rates'!A:B,2,FALSE)</f>
        <v>#N/A</v>
      </c>
    </row>
    <row r="501" spans="7:7" x14ac:dyDescent="0.3">
      <c r="G501" t="e">
        <f>E501*VLOOKUP(F501,'FX Rates'!A:B,2,FALSE)</f>
        <v>#N/A</v>
      </c>
    </row>
    <row r="502" spans="7:7" x14ac:dyDescent="0.3">
      <c r="G502" t="e">
        <f>E502*VLOOKUP(F502,'FX Rates'!A:B,2,FALSE)</f>
        <v>#N/A</v>
      </c>
    </row>
    <row r="503" spans="7:7" x14ac:dyDescent="0.3">
      <c r="G503" t="e">
        <f>E503*VLOOKUP(F503,'FX Rates'!A:B,2,FALSE)</f>
        <v>#N/A</v>
      </c>
    </row>
    <row r="504" spans="7:7" x14ac:dyDescent="0.3">
      <c r="G504" t="e">
        <f>E504*VLOOKUP(F504,'FX Rates'!A:B,2,FALSE)</f>
        <v>#N/A</v>
      </c>
    </row>
    <row r="505" spans="7:7" x14ac:dyDescent="0.3">
      <c r="G505" t="e">
        <f>E505*VLOOKUP(F505,'FX Rates'!A:B,2,FALSE)</f>
        <v>#N/A</v>
      </c>
    </row>
    <row r="506" spans="7:7" x14ac:dyDescent="0.3">
      <c r="G506" t="e">
        <f>E506*VLOOKUP(F506,'FX Rates'!A:B,2,FALSE)</f>
        <v>#N/A</v>
      </c>
    </row>
    <row r="507" spans="7:7" x14ac:dyDescent="0.3">
      <c r="G507" t="e">
        <f>E507*VLOOKUP(F507,'FX Rates'!A:B,2,FALSE)</f>
        <v>#N/A</v>
      </c>
    </row>
    <row r="508" spans="7:7" x14ac:dyDescent="0.3">
      <c r="G508" t="e">
        <f>E508*VLOOKUP(F508,'FX Rates'!A:B,2,FALSE)</f>
        <v>#N/A</v>
      </c>
    </row>
    <row r="509" spans="7:7" x14ac:dyDescent="0.3">
      <c r="G509" t="e">
        <f>E509*VLOOKUP(F509,'FX Rates'!A:B,2,FALSE)</f>
        <v>#N/A</v>
      </c>
    </row>
    <row r="510" spans="7:7" x14ac:dyDescent="0.3">
      <c r="G510" t="e">
        <f>E510*VLOOKUP(F510,'FX Rates'!A:B,2,FALSE)</f>
        <v>#N/A</v>
      </c>
    </row>
    <row r="511" spans="7:7" x14ac:dyDescent="0.3">
      <c r="G511" t="e">
        <f>E511*VLOOKUP(F511,'FX Rates'!A:B,2,FALSE)</f>
        <v>#N/A</v>
      </c>
    </row>
    <row r="512" spans="7:7" x14ac:dyDescent="0.3">
      <c r="G512" t="e">
        <f>E512*VLOOKUP(F512,'FX Rates'!A:B,2,FALSE)</f>
        <v>#N/A</v>
      </c>
    </row>
    <row r="513" spans="7:7" x14ac:dyDescent="0.3">
      <c r="G513" t="e">
        <f>E513*VLOOKUP(F513,'FX Rates'!A:B,2,FALSE)</f>
        <v>#N/A</v>
      </c>
    </row>
    <row r="514" spans="7:7" x14ac:dyDescent="0.3">
      <c r="G514" t="e">
        <f>E514*VLOOKUP(F514,'FX Rates'!A:B,2,FALSE)</f>
        <v>#N/A</v>
      </c>
    </row>
    <row r="515" spans="7:7" x14ac:dyDescent="0.3">
      <c r="G515" t="e">
        <f>E515*VLOOKUP(F515,'FX Rates'!A:B,2,FALSE)</f>
        <v>#N/A</v>
      </c>
    </row>
    <row r="516" spans="7:7" x14ac:dyDescent="0.3">
      <c r="G516" t="e">
        <f>E516*VLOOKUP(F516,'FX Rates'!A:B,2,FALSE)</f>
        <v>#N/A</v>
      </c>
    </row>
    <row r="517" spans="7:7" x14ac:dyDescent="0.3">
      <c r="G517" t="e">
        <f>E517*VLOOKUP(F517,'FX Rates'!A:B,2,FALSE)</f>
        <v>#N/A</v>
      </c>
    </row>
    <row r="518" spans="7:7" x14ac:dyDescent="0.3">
      <c r="G518" t="e">
        <f>E518*VLOOKUP(F518,'FX Rates'!A:B,2,FALSE)</f>
        <v>#N/A</v>
      </c>
    </row>
    <row r="519" spans="7:7" x14ac:dyDescent="0.3">
      <c r="G519" t="e">
        <f>E519*VLOOKUP(F519,'FX Rates'!A:B,2,FALSE)</f>
        <v>#N/A</v>
      </c>
    </row>
    <row r="520" spans="7:7" x14ac:dyDescent="0.3">
      <c r="G520" t="e">
        <f>E520*VLOOKUP(F520,'FX Rates'!A:B,2,FALSE)</f>
        <v>#N/A</v>
      </c>
    </row>
    <row r="521" spans="7:7" x14ac:dyDescent="0.3">
      <c r="G521" t="e">
        <f>E521*VLOOKUP(F521,'FX Rates'!A:B,2,FALSE)</f>
        <v>#N/A</v>
      </c>
    </row>
    <row r="522" spans="7:7" x14ac:dyDescent="0.3">
      <c r="G522" t="e">
        <f>E522*VLOOKUP(F522,'FX Rates'!A:B,2,FALSE)</f>
        <v>#N/A</v>
      </c>
    </row>
    <row r="523" spans="7:7" x14ac:dyDescent="0.3">
      <c r="G523" t="e">
        <f>E523*VLOOKUP(F523,'FX Rates'!A:B,2,FALSE)</f>
        <v>#N/A</v>
      </c>
    </row>
    <row r="524" spans="7:7" x14ac:dyDescent="0.3">
      <c r="G524" t="e">
        <f>E524*VLOOKUP(F524,'FX Rates'!A:B,2,FALSE)</f>
        <v>#N/A</v>
      </c>
    </row>
    <row r="525" spans="7:7" x14ac:dyDescent="0.3">
      <c r="G525" t="e">
        <f>E525*VLOOKUP(F525,'FX Rates'!A:B,2,FALSE)</f>
        <v>#N/A</v>
      </c>
    </row>
    <row r="526" spans="7:7" x14ac:dyDescent="0.3">
      <c r="G526" t="e">
        <f>E526*VLOOKUP(F526,'FX Rates'!A:B,2,FALSE)</f>
        <v>#N/A</v>
      </c>
    </row>
    <row r="527" spans="7:7" x14ac:dyDescent="0.3">
      <c r="G527" t="e">
        <f>E527*VLOOKUP(F527,'FX Rates'!A:B,2,FALSE)</f>
        <v>#N/A</v>
      </c>
    </row>
    <row r="528" spans="7:7" x14ac:dyDescent="0.3">
      <c r="G528" t="e">
        <f>E528*VLOOKUP(F528,'FX Rates'!A:B,2,FALSE)</f>
        <v>#N/A</v>
      </c>
    </row>
    <row r="529" spans="7:7" x14ac:dyDescent="0.3">
      <c r="G529" t="e">
        <f>E529*VLOOKUP(F529,'FX Rates'!A:B,2,FALSE)</f>
        <v>#N/A</v>
      </c>
    </row>
    <row r="530" spans="7:7" x14ac:dyDescent="0.3">
      <c r="G530" t="e">
        <f>E530*VLOOKUP(F530,'FX Rates'!A:B,2,FALSE)</f>
        <v>#N/A</v>
      </c>
    </row>
    <row r="531" spans="7:7" x14ac:dyDescent="0.3">
      <c r="G531" t="e">
        <f>E531*VLOOKUP(F531,'FX Rates'!A:B,2,FALSE)</f>
        <v>#N/A</v>
      </c>
    </row>
    <row r="532" spans="7:7" x14ac:dyDescent="0.3">
      <c r="G532" t="e">
        <f>E532*VLOOKUP(F532,'FX Rates'!A:B,2,FALSE)</f>
        <v>#N/A</v>
      </c>
    </row>
    <row r="533" spans="7:7" x14ac:dyDescent="0.3">
      <c r="G533" t="e">
        <f>E533*VLOOKUP(F533,'FX Rates'!A:B,2,FALSE)</f>
        <v>#N/A</v>
      </c>
    </row>
    <row r="534" spans="7:7" x14ac:dyDescent="0.3">
      <c r="G534" t="e">
        <f>E534*VLOOKUP(F534,'FX Rates'!A:B,2,FALSE)</f>
        <v>#N/A</v>
      </c>
    </row>
    <row r="535" spans="7:7" x14ac:dyDescent="0.3">
      <c r="G535" t="e">
        <f>E535*VLOOKUP(F535,'FX Rates'!A:B,2,FALSE)</f>
        <v>#N/A</v>
      </c>
    </row>
    <row r="536" spans="7:7" x14ac:dyDescent="0.3">
      <c r="G536" t="e">
        <f>E536*VLOOKUP(F536,'FX Rates'!A:B,2,FALSE)</f>
        <v>#N/A</v>
      </c>
    </row>
    <row r="537" spans="7:7" x14ac:dyDescent="0.3">
      <c r="G537" t="e">
        <f>E537*VLOOKUP(F537,'FX Rates'!A:B,2,FALSE)</f>
        <v>#N/A</v>
      </c>
    </row>
    <row r="538" spans="7:7" x14ac:dyDescent="0.3">
      <c r="G538" t="e">
        <f>E538*VLOOKUP(F538,'FX Rates'!A:B,2,FALSE)</f>
        <v>#N/A</v>
      </c>
    </row>
    <row r="539" spans="7:7" x14ac:dyDescent="0.3">
      <c r="G539" t="e">
        <f>E539*VLOOKUP(F539,'FX Rates'!A:B,2,FALSE)</f>
        <v>#N/A</v>
      </c>
    </row>
    <row r="540" spans="7:7" x14ac:dyDescent="0.3">
      <c r="G540" t="e">
        <f>E540*VLOOKUP(F540,'FX Rates'!A:B,2,FALSE)</f>
        <v>#N/A</v>
      </c>
    </row>
    <row r="541" spans="7:7" x14ac:dyDescent="0.3">
      <c r="G541" t="e">
        <f>E541*VLOOKUP(F541,'FX Rates'!A:B,2,FALSE)</f>
        <v>#N/A</v>
      </c>
    </row>
    <row r="542" spans="7:7" x14ac:dyDescent="0.3">
      <c r="G542" t="e">
        <f>E542*VLOOKUP(F542,'FX Rates'!A:B,2,FALSE)</f>
        <v>#N/A</v>
      </c>
    </row>
    <row r="543" spans="7:7" x14ac:dyDescent="0.3">
      <c r="G543" t="e">
        <f>E543*VLOOKUP(F543,'FX Rates'!A:B,2,FALSE)</f>
        <v>#N/A</v>
      </c>
    </row>
    <row r="544" spans="7:7" x14ac:dyDescent="0.3">
      <c r="G544" t="e">
        <f>E544*VLOOKUP(F544,'FX Rates'!A:B,2,FALSE)</f>
        <v>#N/A</v>
      </c>
    </row>
    <row r="545" spans="7:7" x14ac:dyDescent="0.3">
      <c r="G545" t="e">
        <f>E545*VLOOKUP(F545,'FX Rates'!A:B,2,FALSE)</f>
        <v>#N/A</v>
      </c>
    </row>
    <row r="546" spans="7:7" x14ac:dyDescent="0.3">
      <c r="G546" t="e">
        <f>E546*VLOOKUP(F546,'FX Rates'!A:B,2,FALSE)</f>
        <v>#N/A</v>
      </c>
    </row>
    <row r="547" spans="7:7" x14ac:dyDescent="0.3">
      <c r="G547" t="e">
        <f>E547*VLOOKUP(F547,'FX Rates'!A:B,2,FALSE)</f>
        <v>#N/A</v>
      </c>
    </row>
    <row r="548" spans="7:7" x14ac:dyDescent="0.3">
      <c r="G548" t="e">
        <f>E548*VLOOKUP(F548,'FX Rates'!A:B,2,FALSE)</f>
        <v>#N/A</v>
      </c>
    </row>
    <row r="549" spans="7:7" x14ac:dyDescent="0.3">
      <c r="G549" t="e">
        <f>E549*VLOOKUP(F549,'FX Rates'!A:B,2,FALSE)</f>
        <v>#N/A</v>
      </c>
    </row>
    <row r="550" spans="7:7" x14ac:dyDescent="0.3">
      <c r="G550" t="e">
        <f>E550*VLOOKUP(F550,'FX Rates'!A:B,2,FALSE)</f>
        <v>#N/A</v>
      </c>
    </row>
    <row r="551" spans="7:7" x14ac:dyDescent="0.3">
      <c r="G551" t="e">
        <f>E551*VLOOKUP(F551,'FX Rates'!A:B,2,FALSE)</f>
        <v>#N/A</v>
      </c>
    </row>
    <row r="552" spans="7:7" x14ac:dyDescent="0.3">
      <c r="G552" t="e">
        <f>E552*VLOOKUP(F552,'FX Rates'!A:B,2,FALSE)</f>
        <v>#N/A</v>
      </c>
    </row>
    <row r="553" spans="7:7" x14ac:dyDescent="0.3">
      <c r="G553" t="e">
        <f>E553*VLOOKUP(F553,'FX Rates'!A:B,2,FALSE)</f>
        <v>#N/A</v>
      </c>
    </row>
    <row r="554" spans="7:7" x14ac:dyDescent="0.3">
      <c r="G554" t="e">
        <f>E554*VLOOKUP(F554,'FX Rates'!A:B,2,FALSE)</f>
        <v>#N/A</v>
      </c>
    </row>
    <row r="555" spans="7:7" x14ac:dyDescent="0.3">
      <c r="G555" t="e">
        <f>E555*VLOOKUP(F555,'FX Rates'!A:B,2,FALSE)</f>
        <v>#N/A</v>
      </c>
    </row>
    <row r="556" spans="7:7" x14ac:dyDescent="0.3">
      <c r="G556" t="e">
        <f>E556*VLOOKUP(F556,'FX Rates'!A:B,2,FALSE)</f>
        <v>#N/A</v>
      </c>
    </row>
    <row r="557" spans="7:7" x14ac:dyDescent="0.3">
      <c r="G557" t="e">
        <f>E557*VLOOKUP(F557,'FX Rates'!A:B,2,FALSE)</f>
        <v>#N/A</v>
      </c>
    </row>
    <row r="558" spans="7:7" x14ac:dyDescent="0.3">
      <c r="G558" t="e">
        <f>E558*VLOOKUP(F558,'FX Rates'!A:B,2,FALSE)</f>
        <v>#N/A</v>
      </c>
    </row>
    <row r="559" spans="7:7" x14ac:dyDescent="0.3">
      <c r="G559" t="e">
        <f>E559*VLOOKUP(F559,'FX Rates'!A:B,2,FALSE)</f>
        <v>#N/A</v>
      </c>
    </row>
    <row r="560" spans="7:7" x14ac:dyDescent="0.3">
      <c r="G560" t="e">
        <f>E560*VLOOKUP(F560,'FX Rates'!A:B,2,FALSE)</f>
        <v>#N/A</v>
      </c>
    </row>
    <row r="561" spans="7:7" x14ac:dyDescent="0.3">
      <c r="G561" t="e">
        <f>E561*VLOOKUP(F561,'FX Rates'!A:B,2,FALSE)</f>
        <v>#N/A</v>
      </c>
    </row>
    <row r="562" spans="7:7" x14ac:dyDescent="0.3">
      <c r="G562" t="e">
        <f>E562*VLOOKUP(F562,'FX Rates'!A:B,2,FALSE)</f>
        <v>#N/A</v>
      </c>
    </row>
    <row r="563" spans="7:7" x14ac:dyDescent="0.3">
      <c r="G563" t="e">
        <f>E563*VLOOKUP(F563,'FX Rates'!A:B,2,FALSE)</f>
        <v>#N/A</v>
      </c>
    </row>
    <row r="564" spans="7:7" x14ac:dyDescent="0.3">
      <c r="G564" t="e">
        <f>E564*VLOOKUP(F564,'FX Rates'!A:B,2,FALSE)</f>
        <v>#N/A</v>
      </c>
    </row>
    <row r="565" spans="7:7" x14ac:dyDescent="0.3">
      <c r="G565" t="e">
        <f>E565*VLOOKUP(F565,'FX Rates'!A:B,2,FALSE)</f>
        <v>#N/A</v>
      </c>
    </row>
    <row r="566" spans="7:7" x14ac:dyDescent="0.3">
      <c r="G566" t="e">
        <f>E566*VLOOKUP(F566,'FX Rates'!A:B,2,FALSE)</f>
        <v>#N/A</v>
      </c>
    </row>
    <row r="567" spans="7:7" x14ac:dyDescent="0.3">
      <c r="G567" t="e">
        <f>E567*VLOOKUP(F567,'FX Rates'!A:B,2,FALSE)</f>
        <v>#N/A</v>
      </c>
    </row>
    <row r="568" spans="7:7" x14ac:dyDescent="0.3">
      <c r="G568" t="e">
        <f>E568*VLOOKUP(F568,'FX Rates'!A:B,2,FALSE)</f>
        <v>#N/A</v>
      </c>
    </row>
    <row r="569" spans="7:7" x14ac:dyDescent="0.3">
      <c r="G569" t="e">
        <f>E569*VLOOKUP(F569,'FX Rates'!A:B,2,FALSE)</f>
        <v>#N/A</v>
      </c>
    </row>
    <row r="570" spans="7:7" x14ac:dyDescent="0.3">
      <c r="G570" t="e">
        <f>E570*VLOOKUP(F570,'FX Rates'!A:B,2,FALSE)</f>
        <v>#N/A</v>
      </c>
    </row>
    <row r="571" spans="7:7" x14ac:dyDescent="0.3">
      <c r="G571" t="e">
        <f>E571*VLOOKUP(F571,'FX Rates'!A:B,2,FALSE)</f>
        <v>#N/A</v>
      </c>
    </row>
    <row r="572" spans="7:7" x14ac:dyDescent="0.3">
      <c r="G572" t="e">
        <f>E572*VLOOKUP(F572,'FX Rates'!A:B,2,FALSE)</f>
        <v>#N/A</v>
      </c>
    </row>
    <row r="573" spans="7:7" x14ac:dyDescent="0.3">
      <c r="G573" t="e">
        <f>E573*VLOOKUP(F573,'FX Rates'!A:B,2,FALSE)</f>
        <v>#N/A</v>
      </c>
    </row>
    <row r="574" spans="7:7" x14ac:dyDescent="0.3">
      <c r="G574" t="e">
        <f>E574*VLOOKUP(F574,'FX Rates'!A:B,2,FALSE)</f>
        <v>#N/A</v>
      </c>
    </row>
    <row r="575" spans="7:7" x14ac:dyDescent="0.3">
      <c r="G575" t="e">
        <f>E575*VLOOKUP(F575,'FX Rates'!A:B,2,FALSE)</f>
        <v>#N/A</v>
      </c>
    </row>
    <row r="576" spans="7:7" x14ac:dyDescent="0.3">
      <c r="G576" t="e">
        <f>E576*VLOOKUP(F576,'FX Rates'!A:B,2,FALSE)</f>
        <v>#N/A</v>
      </c>
    </row>
    <row r="577" spans="7:7" x14ac:dyDescent="0.3">
      <c r="G577" t="e">
        <f>E577*VLOOKUP(F577,'FX Rates'!A:B,2,FALSE)</f>
        <v>#N/A</v>
      </c>
    </row>
    <row r="578" spans="7:7" x14ac:dyDescent="0.3">
      <c r="G578" t="e">
        <f>E578*VLOOKUP(F578,'FX Rates'!A:B,2,FALSE)</f>
        <v>#N/A</v>
      </c>
    </row>
    <row r="579" spans="7:7" x14ac:dyDescent="0.3">
      <c r="G579" t="e">
        <f>E579*VLOOKUP(F579,'FX Rates'!A:B,2,FALSE)</f>
        <v>#N/A</v>
      </c>
    </row>
    <row r="580" spans="7:7" x14ac:dyDescent="0.3">
      <c r="G580" t="e">
        <f>E580*VLOOKUP(F580,'FX Rates'!A:B,2,FALSE)</f>
        <v>#N/A</v>
      </c>
    </row>
    <row r="581" spans="7:7" x14ac:dyDescent="0.3">
      <c r="G581" t="e">
        <f>E581*VLOOKUP(F581,'FX Rates'!A:B,2,FALSE)</f>
        <v>#N/A</v>
      </c>
    </row>
    <row r="582" spans="7:7" x14ac:dyDescent="0.3">
      <c r="G582" t="e">
        <f>E582*VLOOKUP(F582,'FX Rates'!A:B,2,FALSE)</f>
        <v>#N/A</v>
      </c>
    </row>
    <row r="583" spans="7:7" x14ac:dyDescent="0.3">
      <c r="G583" t="e">
        <f>E583*VLOOKUP(F583,'FX Rates'!A:B,2,FALSE)</f>
        <v>#N/A</v>
      </c>
    </row>
    <row r="584" spans="7:7" x14ac:dyDescent="0.3">
      <c r="G584" t="e">
        <f>E584*VLOOKUP(F584,'FX Rates'!A:B,2,FALSE)</f>
        <v>#N/A</v>
      </c>
    </row>
    <row r="585" spans="7:7" x14ac:dyDescent="0.3">
      <c r="G585" t="e">
        <f>E585*VLOOKUP(F585,'FX Rates'!A:B,2,FALSE)</f>
        <v>#N/A</v>
      </c>
    </row>
    <row r="586" spans="7:7" x14ac:dyDescent="0.3">
      <c r="G586" t="e">
        <f>E586*VLOOKUP(F586,'FX Rates'!A:B,2,FALSE)</f>
        <v>#N/A</v>
      </c>
    </row>
    <row r="587" spans="7:7" x14ac:dyDescent="0.3">
      <c r="G587" t="e">
        <f>E587*VLOOKUP(F587,'FX Rates'!A:B,2,FALSE)</f>
        <v>#N/A</v>
      </c>
    </row>
    <row r="588" spans="7:7" x14ac:dyDescent="0.3">
      <c r="G588" t="e">
        <f>E588*VLOOKUP(F588,'FX Rates'!A:B,2,FALSE)</f>
        <v>#N/A</v>
      </c>
    </row>
    <row r="589" spans="7:7" x14ac:dyDescent="0.3">
      <c r="G589" t="e">
        <f>E589*VLOOKUP(F589,'FX Rates'!A:B,2,FALSE)</f>
        <v>#N/A</v>
      </c>
    </row>
    <row r="590" spans="7:7" x14ac:dyDescent="0.3">
      <c r="G590" t="e">
        <f>E590*VLOOKUP(F590,'FX Rates'!A:B,2,FALSE)</f>
        <v>#N/A</v>
      </c>
    </row>
    <row r="591" spans="7:7" x14ac:dyDescent="0.3">
      <c r="G591" t="e">
        <f>E591*VLOOKUP(F591,'FX Rates'!A:B,2,FALSE)</f>
        <v>#N/A</v>
      </c>
    </row>
    <row r="592" spans="7:7" x14ac:dyDescent="0.3">
      <c r="G592" t="e">
        <f>E592*VLOOKUP(F592,'FX Rates'!A:B,2,FALSE)</f>
        <v>#N/A</v>
      </c>
    </row>
    <row r="593" spans="7:7" x14ac:dyDescent="0.3">
      <c r="G593" t="e">
        <f>E593*VLOOKUP(F593,'FX Rates'!A:B,2,FALSE)</f>
        <v>#N/A</v>
      </c>
    </row>
    <row r="594" spans="7:7" x14ac:dyDescent="0.3">
      <c r="G594" t="e">
        <f>E594*VLOOKUP(F594,'FX Rates'!A:B,2,FALSE)</f>
        <v>#N/A</v>
      </c>
    </row>
    <row r="595" spans="7:7" x14ac:dyDescent="0.3">
      <c r="G595" t="e">
        <f>E595*VLOOKUP(F595,'FX Rates'!A:B,2,FALSE)</f>
        <v>#N/A</v>
      </c>
    </row>
    <row r="596" spans="7:7" x14ac:dyDescent="0.3">
      <c r="G596" t="e">
        <f>E596*VLOOKUP(F596,'FX Rates'!A:B,2,FALSE)</f>
        <v>#N/A</v>
      </c>
    </row>
    <row r="597" spans="7:7" x14ac:dyDescent="0.3">
      <c r="G597" t="e">
        <f>E597*VLOOKUP(F597,'FX Rates'!A:B,2,FALSE)</f>
        <v>#N/A</v>
      </c>
    </row>
    <row r="598" spans="7:7" x14ac:dyDescent="0.3">
      <c r="G598" t="e">
        <f>E598*VLOOKUP(F598,'FX Rates'!A:B,2,FALSE)</f>
        <v>#N/A</v>
      </c>
    </row>
    <row r="599" spans="7:7" x14ac:dyDescent="0.3">
      <c r="G599" t="e">
        <f>E599*VLOOKUP(F599,'FX Rates'!A:B,2,FALSE)</f>
        <v>#N/A</v>
      </c>
    </row>
    <row r="600" spans="7:7" x14ac:dyDescent="0.3">
      <c r="G600" t="e">
        <f>E600*VLOOKUP(F600,'FX Rates'!A:B,2,FALSE)</f>
        <v>#N/A</v>
      </c>
    </row>
    <row r="601" spans="7:7" x14ac:dyDescent="0.3">
      <c r="G601" t="e">
        <f>E601*VLOOKUP(F601,'FX Rates'!A:B,2,FALSE)</f>
        <v>#N/A</v>
      </c>
    </row>
    <row r="602" spans="7:7" x14ac:dyDescent="0.3">
      <c r="G602" t="e">
        <f>E602*VLOOKUP(F602,'FX Rates'!A:B,2,FALSE)</f>
        <v>#N/A</v>
      </c>
    </row>
    <row r="603" spans="7:7" x14ac:dyDescent="0.3">
      <c r="G603" t="e">
        <f>E603*VLOOKUP(F603,'FX Rates'!A:B,2,FALSE)</f>
        <v>#N/A</v>
      </c>
    </row>
    <row r="604" spans="7:7" x14ac:dyDescent="0.3">
      <c r="G604" t="e">
        <f>E604*VLOOKUP(F604,'FX Rates'!A:B,2,FALSE)</f>
        <v>#N/A</v>
      </c>
    </row>
    <row r="605" spans="7:7" x14ac:dyDescent="0.3">
      <c r="G605" t="e">
        <f>E605*VLOOKUP(F605,'FX Rates'!A:B,2,FALSE)</f>
        <v>#N/A</v>
      </c>
    </row>
    <row r="606" spans="7:7" x14ac:dyDescent="0.3">
      <c r="G606" t="e">
        <f>E606*VLOOKUP(F606,'FX Rates'!A:B,2,FALSE)</f>
        <v>#N/A</v>
      </c>
    </row>
    <row r="607" spans="7:7" x14ac:dyDescent="0.3">
      <c r="G607" t="e">
        <f>E607*VLOOKUP(F607,'FX Rates'!A:B,2,FALSE)</f>
        <v>#N/A</v>
      </c>
    </row>
    <row r="608" spans="7:7" x14ac:dyDescent="0.3">
      <c r="G608" t="e">
        <f>E608*VLOOKUP(F608,'FX Rates'!A:B,2,FALSE)</f>
        <v>#N/A</v>
      </c>
    </row>
    <row r="609" spans="7:7" x14ac:dyDescent="0.3">
      <c r="G609" t="e">
        <f>E609*VLOOKUP(F609,'FX Rates'!A:B,2,FALSE)</f>
        <v>#N/A</v>
      </c>
    </row>
    <row r="610" spans="7:7" x14ac:dyDescent="0.3">
      <c r="G610" t="e">
        <f>E610*VLOOKUP(F610,'FX Rates'!A:B,2,FALSE)</f>
        <v>#N/A</v>
      </c>
    </row>
    <row r="611" spans="7:7" x14ac:dyDescent="0.3">
      <c r="G611" t="e">
        <f>E611*VLOOKUP(F611,'FX Rates'!A:B,2,FALSE)</f>
        <v>#N/A</v>
      </c>
    </row>
    <row r="612" spans="7:7" x14ac:dyDescent="0.3">
      <c r="G612" t="e">
        <f>E612*VLOOKUP(F612,'FX Rates'!A:B,2,FALSE)</f>
        <v>#N/A</v>
      </c>
    </row>
    <row r="613" spans="7:7" x14ac:dyDescent="0.3">
      <c r="G613" t="e">
        <f>E613*VLOOKUP(F613,'FX Rates'!A:B,2,FALSE)</f>
        <v>#N/A</v>
      </c>
    </row>
    <row r="614" spans="7:7" x14ac:dyDescent="0.3">
      <c r="G614" t="e">
        <f>E614*VLOOKUP(F614,'FX Rates'!A:B,2,FALSE)</f>
        <v>#N/A</v>
      </c>
    </row>
    <row r="615" spans="7:7" x14ac:dyDescent="0.3">
      <c r="G615" t="e">
        <f>E615*VLOOKUP(F615,'FX Rates'!A:B,2,FALSE)</f>
        <v>#N/A</v>
      </c>
    </row>
    <row r="616" spans="7:7" x14ac:dyDescent="0.3">
      <c r="G616" t="e">
        <f>E616*VLOOKUP(F616,'FX Rates'!A:B,2,FALSE)</f>
        <v>#N/A</v>
      </c>
    </row>
    <row r="617" spans="7:7" x14ac:dyDescent="0.3">
      <c r="G617" t="e">
        <f>E617*VLOOKUP(F617,'FX Rates'!A:B,2,FALSE)</f>
        <v>#N/A</v>
      </c>
    </row>
    <row r="618" spans="7:7" x14ac:dyDescent="0.3">
      <c r="G618" t="e">
        <f>E618*VLOOKUP(F618,'FX Rates'!A:B,2,FALSE)</f>
        <v>#N/A</v>
      </c>
    </row>
    <row r="619" spans="7:7" x14ac:dyDescent="0.3">
      <c r="G619" t="e">
        <f>E619*VLOOKUP(F619,'FX Rates'!A:B,2,FALSE)</f>
        <v>#N/A</v>
      </c>
    </row>
    <row r="620" spans="7:7" x14ac:dyDescent="0.3">
      <c r="G620" t="e">
        <f>E620*VLOOKUP(F620,'FX Rates'!A:B,2,FALSE)</f>
        <v>#N/A</v>
      </c>
    </row>
    <row r="621" spans="7:7" x14ac:dyDescent="0.3">
      <c r="G621" t="e">
        <f>E621*VLOOKUP(F621,'FX Rates'!A:B,2,FALSE)</f>
        <v>#N/A</v>
      </c>
    </row>
    <row r="622" spans="7:7" x14ac:dyDescent="0.3">
      <c r="G622" t="e">
        <f>E622*VLOOKUP(F622,'FX Rates'!A:B,2,FALSE)</f>
        <v>#N/A</v>
      </c>
    </row>
    <row r="623" spans="7:7" x14ac:dyDescent="0.3">
      <c r="G623" t="e">
        <f>E623*VLOOKUP(F623,'FX Rates'!A:B,2,FALSE)</f>
        <v>#N/A</v>
      </c>
    </row>
    <row r="624" spans="7:7" x14ac:dyDescent="0.3">
      <c r="G624" t="e">
        <f>E624*VLOOKUP(F624,'FX Rates'!A:B,2,FALSE)</f>
        <v>#N/A</v>
      </c>
    </row>
    <row r="625" spans="7:7" x14ac:dyDescent="0.3">
      <c r="G625" t="e">
        <f>E625*VLOOKUP(F625,'FX Rates'!A:B,2,FALSE)</f>
        <v>#N/A</v>
      </c>
    </row>
    <row r="626" spans="7:7" x14ac:dyDescent="0.3">
      <c r="G626" t="e">
        <f>E626*VLOOKUP(F626,'FX Rates'!A:B,2,FALSE)</f>
        <v>#N/A</v>
      </c>
    </row>
    <row r="627" spans="7:7" x14ac:dyDescent="0.3">
      <c r="G627" t="e">
        <f>E627*VLOOKUP(F627,'FX Rates'!A:B,2,FALSE)</f>
        <v>#N/A</v>
      </c>
    </row>
    <row r="628" spans="7:7" x14ac:dyDescent="0.3">
      <c r="G628" t="e">
        <f>E628*VLOOKUP(F628,'FX Rates'!A:B,2,FALSE)</f>
        <v>#N/A</v>
      </c>
    </row>
    <row r="629" spans="7:7" x14ac:dyDescent="0.3">
      <c r="G629" t="e">
        <f>E629*VLOOKUP(F629,'FX Rates'!A:B,2,FALSE)</f>
        <v>#N/A</v>
      </c>
    </row>
    <row r="630" spans="7:7" x14ac:dyDescent="0.3">
      <c r="G630" t="e">
        <f>E630*VLOOKUP(F630,'FX Rates'!A:B,2,FALSE)</f>
        <v>#N/A</v>
      </c>
    </row>
    <row r="631" spans="7:7" x14ac:dyDescent="0.3">
      <c r="G631" t="e">
        <f>E631*VLOOKUP(F631,'FX Rates'!A:B,2,FALSE)</f>
        <v>#N/A</v>
      </c>
    </row>
    <row r="632" spans="7:7" x14ac:dyDescent="0.3">
      <c r="G632" t="e">
        <f>E632*VLOOKUP(F632,'FX Rates'!A:B,2,FALSE)</f>
        <v>#N/A</v>
      </c>
    </row>
    <row r="633" spans="7:7" x14ac:dyDescent="0.3">
      <c r="G633" t="e">
        <f>E633*VLOOKUP(F633,'FX Rates'!A:B,2,FALSE)</f>
        <v>#N/A</v>
      </c>
    </row>
    <row r="634" spans="7:7" x14ac:dyDescent="0.3">
      <c r="G634" t="e">
        <f>E634*VLOOKUP(F634,'FX Rates'!A:B,2,FALSE)</f>
        <v>#N/A</v>
      </c>
    </row>
    <row r="635" spans="7:7" x14ac:dyDescent="0.3">
      <c r="G635" t="e">
        <f>E635*VLOOKUP(F635,'FX Rates'!A:B,2,FALSE)</f>
        <v>#N/A</v>
      </c>
    </row>
    <row r="636" spans="7:7" x14ac:dyDescent="0.3">
      <c r="G636" t="e">
        <f>E636*VLOOKUP(F636,'FX Rates'!A:B,2,FALSE)</f>
        <v>#N/A</v>
      </c>
    </row>
    <row r="637" spans="7:7" x14ac:dyDescent="0.3">
      <c r="G637" t="e">
        <f>E637*VLOOKUP(F637,'FX Rates'!A:B,2,FALSE)</f>
        <v>#N/A</v>
      </c>
    </row>
    <row r="638" spans="7:7" x14ac:dyDescent="0.3">
      <c r="G638" t="e">
        <f>E638*VLOOKUP(F638,'FX Rates'!A:B,2,FALSE)</f>
        <v>#N/A</v>
      </c>
    </row>
    <row r="639" spans="7:7" x14ac:dyDescent="0.3">
      <c r="G639" t="e">
        <f>E639*VLOOKUP(F639,'FX Rates'!A:B,2,FALSE)</f>
        <v>#N/A</v>
      </c>
    </row>
    <row r="640" spans="7:7" x14ac:dyDescent="0.3">
      <c r="G640" t="e">
        <f>E640*VLOOKUP(F640,'FX Rates'!A:B,2,FALSE)</f>
        <v>#N/A</v>
      </c>
    </row>
    <row r="641" spans="7:7" x14ac:dyDescent="0.3">
      <c r="G641" t="e">
        <f>E641*VLOOKUP(F641,'FX Rates'!A:B,2,FALSE)</f>
        <v>#N/A</v>
      </c>
    </row>
    <row r="642" spans="7:7" x14ac:dyDescent="0.3">
      <c r="G642" t="e">
        <f>E642*VLOOKUP(F642,'FX Rates'!A:B,2,FALSE)</f>
        <v>#N/A</v>
      </c>
    </row>
    <row r="643" spans="7:7" x14ac:dyDescent="0.3">
      <c r="G643" t="e">
        <f>E643*VLOOKUP(F643,'FX Rates'!A:B,2,FALSE)</f>
        <v>#N/A</v>
      </c>
    </row>
    <row r="644" spans="7:7" x14ac:dyDescent="0.3">
      <c r="G644" t="e">
        <f>E644*VLOOKUP(F644,'FX Rates'!A:B,2,FALSE)</f>
        <v>#N/A</v>
      </c>
    </row>
    <row r="645" spans="7:7" x14ac:dyDescent="0.3">
      <c r="G645" t="e">
        <f>E645*VLOOKUP(F645,'FX Rates'!A:B,2,FALSE)</f>
        <v>#N/A</v>
      </c>
    </row>
    <row r="646" spans="7:7" x14ac:dyDescent="0.3">
      <c r="G646" t="e">
        <f>E646*VLOOKUP(F646,'FX Rates'!A:B,2,FALSE)</f>
        <v>#N/A</v>
      </c>
    </row>
    <row r="647" spans="7:7" x14ac:dyDescent="0.3">
      <c r="G647" t="e">
        <f>E647*VLOOKUP(F647,'FX Rates'!A:B,2,FALSE)</f>
        <v>#N/A</v>
      </c>
    </row>
    <row r="648" spans="7:7" x14ac:dyDescent="0.3">
      <c r="G648" t="e">
        <f>E648*VLOOKUP(F648,'FX Rates'!A:B,2,FALSE)</f>
        <v>#N/A</v>
      </c>
    </row>
    <row r="649" spans="7:7" x14ac:dyDescent="0.3">
      <c r="G649" t="e">
        <f>E649*VLOOKUP(F649,'FX Rates'!A:B,2,FALSE)</f>
        <v>#N/A</v>
      </c>
    </row>
    <row r="650" spans="7:7" x14ac:dyDescent="0.3">
      <c r="G650" t="e">
        <f>E650*VLOOKUP(F650,'FX Rates'!A:B,2,FALSE)</f>
        <v>#N/A</v>
      </c>
    </row>
    <row r="651" spans="7:7" x14ac:dyDescent="0.3">
      <c r="G651" t="e">
        <f>E651*VLOOKUP(F651,'FX Rates'!A:B,2,FALSE)</f>
        <v>#N/A</v>
      </c>
    </row>
    <row r="652" spans="7:7" x14ac:dyDescent="0.3">
      <c r="G652" t="e">
        <f>E652*VLOOKUP(F652,'FX Rates'!A:B,2,FALSE)</f>
        <v>#N/A</v>
      </c>
    </row>
    <row r="653" spans="7:7" x14ac:dyDescent="0.3">
      <c r="G653" t="e">
        <f>E653*VLOOKUP(F653,'FX Rates'!A:B,2,FALSE)</f>
        <v>#N/A</v>
      </c>
    </row>
    <row r="654" spans="7:7" x14ac:dyDescent="0.3">
      <c r="G654" t="e">
        <f>E654*VLOOKUP(F654,'FX Rates'!A:B,2,FALSE)</f>
        <v>#N/A</v>
      </c>
    </row>
    <row r="655" spans="7:7" x14ac:dyDescent="0.3">
      <c r="G655" t="e">
        <f>E655*VLOOKUP(F655,'FX Rates'!A:B,2,FALSE)</f>
        <v>#N/A</v>
      </c>
    </row>
    <row r="656" spans="7:7" x14ac:dyDescent="0.3">
      <c r="G656" t="e">
        <f>E656*VLOOKUP(F656,'FX Rates'!A:B,2,FALSE)</f>
        <v>#N/A</v>
      </c>
    </row>
    <row r="657" spans="7:7" x14ac:dyDescent="0.3">
      <c r="G657" t="e">
        <f>E657*VLOOKUP(F657,'FX Rates'!A:B,2,FALSE)</f>
        <v>#N/A</v>
      </c>
    </row>
    <row r="658" spans="7:7" x14ac:dyDescent="0.3">
      <c r="G658" t="e">
        <f>E658*VLOOKUP(F658,'FX Rates'!A:B,2,FALSE)</f>
        <v>#N/A</v>
      </c>
    </row>
    <row r="659" spans="7:7" x14ac:dyDescent="0.3">
      <c r="G659" t="e">
        <f>E659*VLOOKUP(F659,'FX Rates'!A:B,2,FALSE)</f>
        <v>#N/A</v>
      </c>
    </row>
    <row r="660" spans="7:7" x14ac:dyDescent="0.3">
      <c r="G660" t="e">
        <f>E660*VLOOKUP(F660,'FX Rates'!A:B,2,FALSE)</f>
        <v>#N/A</v>
      </c>
    </row>
    <row r="661" spans="7:7" x14ac:dyDescent="0.3">
      <c r="G661" t="e">
        <f>E661*VLOOKUP(F661,'FX Rates'!A:B,2,FALSE)</f>
        <v>#N/A</v>
      </c>
    </row>
    <row r="662" spans="7:7" x14ac:dyDescent="0.3">
      <c r="G662" t="e">
        <f>E662*VLOOKUP(F662,'FX Rates'!A:B,2,FALSE)</f>
        <v>#N/A</v>
      </c>
    </row>
    <row r="663" spans="7:7" x14ac:dyDescent="0.3">
      <c r="G663" t="e">
        <f>E663*VLOOKUP(F663,'FX Rates'!A:B,2,FALSE)</f>
        <v>#N/A</v>
      </c>
    </row>
    <row r="664" spans="7:7" x14ac:dyDescent="0.3">
      <c r="G664" t="e">
        <f>E664*VLOOKUP(F664,'FX Rates'!A:B,2,FALSE)</f>
        <v>#N/A</v>
      </c>
    </row>
    <row r="665" spans="7:7" x14ac:dyDescent="0.3">
      <c r="G665" t="e">
        <f>E665*VLOOKUP(F665,'FX Rates'!A:B,2,FALSE)</f>
        <v>#N/A</v>
      </c>
    </row>
    <row r="666" spans="7:7" x14ac:dyDescent="0.3">
      <c r="G666" t="e">
        <f>E666*VLOOKUP(F666,'FX Rates'!A:B,2,FALSE)</f>
        <v>#N/A</v>
      </c>
    </row>
    <row r="667" spans="7:7" x14ac:dyDescent="0.3">
      <c r="G667" t="e">
        <f>E667*VLOOKUP(F667,'FX Rates'!A:B,2,FALSE)</f>
        <v>#N/A</v>
      </c>
    </row>
    <row r="668" spans="7:7" x14ac:dyDescent="0.3">
      <c r="G668" t="e">
        <f>E668*VLOOKUP(F668,'FX Rates'!A:B,2,FALSE)</f>
        <v>#N/A</v>
      </c>
    </row>
    <row r="669" spans="7:7" x14ac:dyDescent="0.3">
      <c r="G669" t="e">
        <f>E669*VLOOKUP(F669,'FX Rates'!A:B,2,FALSE)</f>
        <v>#N/A</v>
      </c>
    </row>
    <row r="670" spans="7:7" x14ac:dyDescent="0.3">
      <c r="G670" t="e">
        <f>E670*VLOOKUP(F670,'FX Rates'!A:B,2,FALSE)</f>
        <v>#N/A</v>
      </c>
    </row>
    <row r="671" spans="7:7" x14ac:dyDescent="0.3">
      <c r="G671" t="e">
        <f>E671*VLOOKUP(F671,'FX Rates'!A:B,2,FALSE)</f>
        <v>#N/A</v>
      </c>
    </row>
    <row r="672" spans="7:7" x14ac:dyDescent="0.3">
      <c r="G672" t="e">
        <f>E672*VLOOKUP(F672,'FX Rates'!A:B,2,FALSE)</f>
        <v>#N/A</v>
      </c>
    </row>
    <row r="673" spans="7:7" x14ac:dyDescent="0.3">
      <c r="G673" t="e">
        <f>E673*VLOOKUP(F673,'FX Rates'!A:B,2,FALSE)</f>
        <v>#N/A</v>
      </c>
    </row>
    <row r="674" spans="7:7" x14ac:dyDescent="0.3">
      <c r="G674" t="e">
        <f>E674*VLOOKUP(F674,'FX Rates'!A:B,2,FALSE)</f>
        <v>#N/A</v>
      </c>
    </row>
    <row r="675" spans="7:7" x14ac:dyDescent="0.3">
      <c r="G675" t="e">
        <f>E675*VLOOKUP(F675,'FX Rates'!A:B,2,FALSE)</f>
        <v>#N/A</v>
      </c>
    </row>
    <row r="676" spans="7:7" x14ac:dyDescent="0.3">
      <c r="G676" t="e">
        <f>E676*VLOOKUP(F676,'FX Rates'!A:B,2,FALSE)</f>
        <v>#N/A</v>
      </c>
    </row>
    <row r="677" spans="7:7" x14ac:dyDescent="0.3">
      <c r="G677" t="e">
        <f>E677*VLOOKUP(F677,'FX Rates'!A:B,2,FALSE)</f>
        <v>#N/A</v>
      </c>
    </row>
    <row r="678" spans="7:7" x14ac:dyDescent="0.3">
      <c r="G678" t="e">
        <f>E678*VLOOKUP(F678,'FX Rates'!A:B,2,FALSE)</f>
        <v>#N/A</v>
      </c>
    </row>
    <row r="679" spans="7:7" x14ac:dyDescent="0.3">
      <c r="G679" t="e">
        <f>E679*VLOOKUP(F679,'FX Rates'!A:B,2,FALSE)</f>
        <v>#N/A</v>
      </c>
    </row>
    <row r="680" spans="7:7" x14ac:dyDescent="0.3">
      <c r="G680" t="e">
        <f>E680*VLOOKUP(F680,'FX Rates'!A:B,2,FALSE)</f>
        <v>#N/A</v>
      </c>
    </row>
    <row r="681" spans="7:7" x14ac:dyDescent="0.3">
      <c r="G681" t="e">
        <f>E681*VLOOKUP(F681,'FX Rates'!A:B,2,FALSE)</f>
        <v>#N/A</v>
      </c>
    </row>
    <row r="682" spans="7:7" x14ac:dyDescent="0.3">
      <c r="G682" t="e">
        <f>E682*VLOOKUP(F682,'FX Rates'!A:B,2,FALSE)</f>
        <v>#N/A</v>
      </c>
    </row>
    <row r="683" spans="7:7" x14ac:dyDescent="0.3">
      <c r="G683" t="e">
        <f>E683*VLOOKUP(F683,'FX Rates'!A:B,2,FALSE)</f>
        <v>#N/A</v>
      </c>
    </row>
    <row r="684" spans="7:7" x14ac:dyDescent="0.3">
      <c r="G684" t="e">
        <f>E684*VLOOKUP(F684,'FX Rates'!A:B,2,FALSE)</f>
        <v>#N/A</v>
      </c>
    </row>
    <row r="685" spans="7:7" x14ac:dyDescent="0.3">
      <c r="G685" t="e">
        <f>E685*VLOOKUP(F685,'FX Rates'!A:B,2,FALSE)</f>
        <v>#N/A</v>
      </c>
    </row>
    <row r="686" spans="7:7" x14ac:dyDescent="0.3">
      <c r="G686" t="e">
        <f>E686*VLOOKUP(F686,'FX Rates'!A:B,2,FALSE)</f>
        <v>#N/A</v>
      </c>
    </row>
    <row r="687" spans="7:7" x14ac:dyDescent="0.3">
      <c r="G687" t="e">
        <f>E687*VLOOKUP(F687,'FX Rates'!A:B,2,FALSE)</f>
        <v>#N/A</v>
      </c>
    </row>
    <row r="688" spans="7:7" x14ac:dyDescent="0.3">
      <c r="G688" t="e">
        <f>E688*VLOOKUP(F688,'FX Rates'!A:B,2,FALSE)</f>
        <v>#N/A</v>
      </c>
    </row>
    <row r="689" spans="7:7" x14ac:dyDescent="0.3">
      <c r="G689" t="e">
        <f>E689*VLOOKUP(F689,'FX Rates'!A:B,2,FALSE)</f>
        <v>#N/A</v>
      </c>
    </row>
    <row r="690" spans="7:7" x14ac:dyDescent="0.3">
      <c r="G690" t="e">
        <f>E690*VLOOKUP(F690,'FX Rates'!A:B,2,FALSE)</f>
        <v>#N/A</v>
      </c>
    </row>
    <row r="691" spans="7:7" x14ac:dyDescent="0.3">
      <c r="G691" t="e">
        <f>E691*VLOOKUP(F691,'FX Rates'!A:B,2,FALSE)</f>
        <v>#N/A</v>
      </c>
    </row>
    <row r="692" spans="7:7" x14ac:dyDescent="0.3">
      <c r="G692" t="e">
        <f>E692*VLOOKUP(F692,'FX Rates'!A:B,2,FALSE)</f>
        <v>#N/A</v>
      </c>
    </row>
    <row r="693" spans="7:7" x14ac:dyDescent="0.3">
      <c r="G693" t="e">
        <f>E693*VLOOKUP(F693,'FX Rates'!A:B,2,FALSE)</f>
        <v>#N/A</v>
      </c>
    </row>
    <row r="694" spans="7:7" x14ac:dyDescent="0.3">
      <c r="G694" t="e">
        <f>E694*VLOOKUP(F694,'FX Rates'!A:B,2,FALSE)</f>
        <v>#N/A</v>
      </c>
    </row>
    <row r="695" spans="7:7" x14ac:dyDescent="0.3">
      <c r="G695" t="e">
        <f>E695*VLOOKUP(F695,'FX Rates'!A:B,2,FALSE)</f>
        <v>#N/A</v>
      </c>
    </row>
    <row r="696" spans="7:7" x14ac:dyDescent="0.3">
      <c r="G696" t="e">
        <f>E696*VLOOKUP(F696,'FX Rates'!A:B,2,FALSE)</f>
        <v>#N/A</v>
      </c>
    </row>
    <row r="697" spans="7:7" x14ac:dyDescent="0.3">
      <c r="G697" t="e">
        <f>E697*VLOOKUP(F697,'FX Rates'!A:B,2,FALSE)</f>
        <v>#N/A</v>
      </c>
    </row>
    <row r="698" spans="7:7" x14ac:dyDescent="0.3">
      <c r="G698" t="e">
        <f>E698*VLOOKUP(F698,'FX Rates'!A:B,2,FALSE)</f>
        <v>#N/A</v>
      </c>
    </row>
    <row r="699" spans="7:7" x14ac:dyDescent="0.3">
      <c r="G699" t="e">
        <f>E699*VLOOKUP(F699,'FX Rates'!A:B,2,FALSE)</f>
        <v>#N/A</v>
      </c>
    </row>
    <row r="700" spans="7:7" x14ac:dyDescent="0.3">
      <c r="G700" t="e">
        <f>E700*VLOOKUP(F700,'FX Rates'!A:B,2,FALSE)</f>
        <v>#N/A</v>
      </c>
    </row>
    <row r="701" spans="7:7" x14ac:dyDescent="0.3">
      <c r="G701" t="e">
        <f>E701*VLOOKUP(F701,'FX Rates'!A:B,2,FALSE)</f>
        <v>#N/A</v>
      </c>
    </row>
    <row r="702" spans="7:7" x14ac:dyDescent="0.3">
      <c r="G702" t="e">
        <f>E702*VLOOKUP(F702,'FX Rates'!A:B,2,FALSE)</f>
        <v>#N/A</v>
      </c>
    </row>
    <row r="703" spans="7:7" x14ac:dyDescent="0.3">
      <c r="G703" t="e">
        <f>E703*VLOOKUP(F703,'FX Rates'!A:B,2,FALSE)</f>
        <v>#N/A</v>
      </c>
    </row>
    <row r="704" spans="7:7" x14ac:dyDescent="0.3">
      <c r="G704" t="e">
        <f>E704*VLOOKUP(F704,'FX Rates'!A:B,2,FALSE)</f>
        <v>#N/A</v>
      </c>
    </row>
    <row r="705" spans="7:7" x14ac:dyDescent="0.3">
      <c r="G705" t="e">
        <f>E705*VLOOKUP(F705,'FX Rates'!A:B,2,FALSE)</f>
        <v>#N/A</v>
      </c>
    </row>
    <row r="706" spans="7:7" x14ac:dyDescent="0.3">
      <c r="G706" t="e">
        <f>E706*VLOOKUP(F706,'FX Rates'!A:B,2,FALSE)</f>
        <v>#N/A</v>
      </c>
    </row>
    <row r="707" spans="7:7" x14ac:dyDescent="0.3">
      <c r="G707" t="e">
        <f>E707*VLOOKUP(F707,'FX Rates'!A:B,2,FALSE)</f>
        <v>#N/A</v>
      </c>
    </row>
    <row r="708" spans="7:7" x14ac:dyDescent="0.3">
      <c r="G708" t="e">
        <f>E708*VLOOKUP(F708,'FX Rates'!A:B,2,FALSE)</f>
        <v>#N/A</v>
      </c>
    </row>
    <row r="709" spans="7:7" x14ac:dyDescent="0.3">
      <c r="G709" t="e">
        <f>E709*VLOOKUP(F709,'FX Rates'!A:B,2,FALSE)</f>
        <v>#N/A</v>
      </c>
    </row>
    <row r="710" spans="7:7" x14ac:dyDescent="0.3">
      <c r="G710" t="e">
        <f>E710*VLOOKUP(F710,'FX Rates'!A:B,2,FALSE)</f>
        <v>#N/A</v>
      </c>
    </row>
    <row r="711" spans="7:7" x14ac:dyDescent="0.3">
      <c r="G711" t="e">
        <f>E711*VLOOKUP(F711,'FX Rates'!A:B,2,FALSE)</f>
        <v>#N/A</v>
      </c>
    </row>
    <row r="712" spans="7:7" x14ac:dyDescent="0.3">
      <c r="G712" t="e">
        <f>E712*VLOOKUP(F712,'FX Rates'!A:B,2,FALSE)</f>
        <v>#N/A</v>
      </c>
    </row>
    <row r="713" spans="7:7" x14ac:dyDescent="0.3">
      <c r="G713" t="e">
        <f>E713*VLOOKUP(F713,'FX Rates'!A:B,2,FALSE)</f>
        <v>#N/A</v>
      </c>
    </row>
    <row r="714" spans="7:7" x14ac:dyDescent="0.3">
      <c r="G714" t="e">
        <f>E714*VLOOKUP(F714,'FX Rates'!A:B,2,FALSE)</f>
        <v>#N/A</v>
      </c>
    </row>
    <row r="715" spans="7:7" x14ac:dyDescent="0.3">
      <c r="G715" t="e">
        <f>E715*VLOOKUP(F715,'FX Rates'!A:B,2,FALSE)</f>
        <v>#N/A</v>
      </c>
    </row>
    <row r="716" spans="7:7" x14ac:dyDescent="0.3">
      <c r="G716" t="e">
        <f>E716*VLOOKUP(F716,'FX Rates'!A:B,2,FALSE)</f>
        <v>#N/A</v>
      </c>
    </row>
    <row r="717" spans="7:7" x14ac:dyDescent="0.3">
      <c r="G717" t="e">
        <f>E717*VLOOKUP(F717,'FX Rates'!A:B,2,FALSE)</f>
        <v>#N/A</v>
      </c>
    </row>
    <row r="718" spans="7:7" x14ac:dyDescent="0.3">
      <c r="G718" t="e">
        <f>E718*VLOOKUP(F718,'FX Rates'!A:B,2,FALSE)</f>
        <v>#N/A</v>
      </c>
    </row>
    <row r="719" spans="7:7" x14ac:dyDescent="0.3">
      <c r="G719" t="e">
        <f>E719*VLOOKUP(F719,'FX Rates'!A:B,2,FALSE)</f>
        <v>#N/A</v>
      </c>
    </row>
    <row r="720" spans="7:7" x14ac:dyDescent="0.3">
      <c r="G720" t="e">
        <f>E720*VLOOKUP(F720,'FX Rates'!A:B,2,FALSE)</f>
        <v>#N/A</v>
      </c>
    </row>
    <row r="721" spans="7:7" x14ac:dyDescent="0.3">
      <c r="G721" t="e">
        <f>E721*VLOOKUP(F721,'FX Rates'!A:B,2,FALSE)</f>
        <v>#N/A</v>
      </c>
    </row>
    <row r="722" spans="7:7" x14ac:dyDescent="0.3">
      <c r="G722" t="e">
        <f>E722*VLOOKUP(F722,'FX Rates'!A:B,2,FALSE)</f>
        <v>#N/A</v>
      </c>
    </row>
    <row r="723" spans="7:7" x14ac:dyDescent="0.3">
      <c r="G723" t="e">
        <f>E723*VLOOKUP(F723,'FX Rates'!A:B,2,FALSE)</f>
        <v>#N/A</v>
      </c>
    </row>
    <row r="724" spans="7:7" x14ac:dyDescent="0.3">
      <c r="G724" t="e">
        <f>E724*VLOOKUP(F724,'FX Rates'!A:B,2,FALSE)</f>
        <v>#N/A</v>
      </c>
    </row>
    <row r="725" spans="7:7" x14ac:dyDescent="0.3">
      <c r="G725" t="e">
        <f>E725*VLOOKUP(F725,'FX Rates'!A:B,2,FALSE)</f>
        <v>#N/A</v>
      </c>
    </row>
    <row r="726" spans="7:7" x14ac:dyDescent="0.3">
      <c r="G726" t="e">
        <f>E726*VLOOKUP(F726,'FX Rates'!A:B,2,FALSE)</f>
        <v>#N/A</v>
      </c>
    </row>
    <row r="727" spans="7:7" x14ac:dyDescent="0.3">
      <c r="G727" t="e">
        <f>E727*VLOOKUP(F727,'FX Rates'!A:B,2,FALSE)</f>
        <v>#N/A</v>
      </c>
    </row>
    <row r="728" spans="7:7" x14ac:dyDescent="0.3">
      <c r="G728" t="e">
        <f>E728*VLOOKUP(F728,'FX Rates'!A:B,2,FALSE)</f>
        <v>#N/A</v>
      </c>
    </row>
    <row r="729" spans="7:7" x14ac:dyDescent="0.3">
      <c r="G729" t="e">
        <f>E729*VLOOKUP(F729,'FX Rates'!A:B,2,FALSE)</f>
        <v>#N/A</v>
      </c>
    </row>
    <row r="730" spans="7:7" x14ac:dyDescent="0.3">
      <c r="G730" t="e">
        <f>E730*VLOOKUP(F730,'FX Rates'!A:B,2,FALSE)</f>
        <v>#N/A</v>
      </c>
    </row>
    <row r="731" spans="7:7" x14ac:dyDescent="0.3">
      <c r="G731" t="e">
        <f>E731*VLOOKUP(F731,'FX Rates'!A:B,2,FALSE)</f>
        <v>#N/A</v>
      </c>
    </row>
    <row r="732" spans="7:7" x14ac:dyDescent="0.3">
      <c r="G732" t="e">
        <f>E732*VLOOKUP(F732,'FX Rates'!A:B,2,FALSE)</f>
        <v>#N/A</v>
      </c>
    </row>
    <row r="733" spans="7:7" x14ac:dyDescent="0.3">
      <c r="G733" t="e">
        <f>E733*VLOOKUP(F733,'FX Rates'!A:B,2,FALSE)</f>
        <v>#N/A</v>
      </c>
    </row>
    <row r="734" spans="7:7" x14ac:dyDescent="0.3">
      <c r="G734" t="e">
        <f>E734*VLOOKUP(F734,'FX Rates'!A:B,2,FALSE)</f>
        <v>#N/A</v>
      </c>
    </row>
    <row r="735" spans="7:7" x14ac:dyDescent="0.3">
      <c r="G735" t="e">
        <f>E735*VLOOKUP(F735,'FX Rates'!A:B,2,FALSE)</f>
        <v>#N/A</v>
      </c>
    </row>
    <row r="736" spans="7:7" x14ac:dyDescent="0.3">
      <c r="G736" t="e">
        <f>E736*VLOOKUP(F736,'FX Rates'!A:B,2,FALSE)</f>
        <v>#N/A</v>
      </c>
    </row>
    <row r="737" spans="7:7" x14ac:dyDescent="0.3">
      <c r="G737" t="e">
        <f>E737*VLOOKUP(F737,'FX Rates'!A:B,2,FALSE)</f>
        <v>#N/A</v>
      </c>
    </row>
    <row r="738" spans="7:7" x14ac:dyDescent="0.3">
      <c r="G738" t="e">
        <f>E738*VLOOKUP(F738,'FX Rates'!A:B,2,FALSE)</f>
        <v>#N/A</v>
      </c>
    </row>
    <row r="739" spans="7:7" x14ac:dyDescent="0.3">
      <c r="G739" t="e">
        <f>E739*VLOOKUP(F739,'FX Rates'!A:B,2,FALSE)</f>
        <v>#N/A</v>
      </c>
    </row>
    <row r="740" spans="7:7" x14ac:dyDescent="0.3">
      <c r="G740" t="e">
        <f>E740*VLOOKUP(F740,'FX Rates'!A:B,2,FALSE)</f>
        <v>#N/A</v>
      </c>
    </row>
    <row r="741" spans="7:7" x14ac:dyDescent="0.3">
      <c r="G741" t="e">
        <f>E741*VLOOKUP(F741,'FX Rates'!A:B,2,FALSE)</f>
        <v>#N/A</v>
      </c>
    </row>
    <row r="742" spans="7:7" x14ac:dyDescent="0.3">
      <c r="G742" t="e">
        <f>E742*VLOOKUP(F742,'FX Rates'!A:B,2,FALSE)</f>
        <v>#N/A</v>
      </c>
    </row>
    <row r="743" spans="7:7" x14ac:dyDescent="0.3">
      <c r="G743" t="e">
        <f>E743*VLOOKUP(F743,'FX Rates'!A:B,2,FALSE)</f>
        <v>#N/A</v>
      </c>
    </row>
    <row r="744" spans="7:7" x14ac:dyDescent="0.3">
      <c r="G744" t="e">
        <f>E744*VLOOKUP(F744,'FX Rates'!A:B,2,FALSE)</f>
        <v>#N/A</v>
      </c>
    </row>
    <row r="745" spans="7:7" x14ac:dyDescent="0.3">
      <c r="G745" t="e">
        <f>E745*VLOOKUP(F745,'FX Rates'!A:B,2,FALSE)</f>
        <v>#N/A</v>
      </c>
    </row>
    <row r="746" spans="7:7" x14ac:dyDescent="0.3">
      <c r="G746" t="e">
        <f>E746*VLOOKUP(F746,'FX Rates'!A:B,2,FALSE)</f>
        <v>#N/A</v>
      </c>
    </row>
    <row r="747" spans="7:7" x14ac:dyDescent="0.3">
      <c r="G747" t="e">
        <f>E747*VLOOKUP(F747,'FX Rates'!A:B,2,FALSE)</f>
        <v>#N/A</v>
      </c>
    </row>
    <row r="748" spans="7:7" x14ac:dyDescent="0.3">
      <c r="G748" t="e">
        <f>E748*VLOOKUP(F748,'FX Rates'!A:B,2,FALSE)</f>
        <v>#N/A</v>
      </c>
    </row>
    <row r="749" spans="7:7" x14ac:dyDescent="0.3">
      <c r="G749" t="e">
        <f>E749*VLOOKUP(F749,'FX Rates'!A:B,2,FALSE)</f>
        <v>#N/A</v>
      </c>
    </row>
    <row r="750" spans="7:7" x14ac:dyDescent="0.3">
      <c r="G750" t="e">
        <f>E750*VLOOKUP(F750,'FX Rates'!A:B,2,FALSE)</f>
        <v>#N/A</v>
      </c>
    </row>
    <row r="751" spans="7:7" x14ac:dyDescent="0.3">
      <c r="G751" t="e">
        <f>E751*VLOOKUP(F751,'FX Rates'!A:B,2,FALSE)</f>
        <v>#N/A</v>
      </c>
    </row>
    <row r="752" spans="7:7" x14ac:dyDescent="0.3">
      <c r="G752" t="e">
        <f>E752*VLOOKUP(F752,'FX Rates'!A:B,2,FALSE)</f>
        <v>#N/A</v>
      </c>
    </row>
    <row r="753" spans="7:7" x14ac:dyDescent="0.3">
      <c r="G753" t="e">
        <f>E753*VLOOKUP(F753,'FX Rates'!A:B,2,FALSE)</f>
        <v>#N/A</v>
      </c>
    </row>
    <row r="754" spans="7:7" x14ac:dyDescent="0.3">
      <c r="G754" t="e">
        <f>E754*VLOOKUP(F754,'FX Rates'!A:B,2,FALSE)</f>
        <v>#N/A</v>
      </c>
    </row>
    <row r="755" spans="7:7" x14ac:dyDescent="0.3">
      <c r="G755" t="e">
        <f>E755*VLOOKUP(F755,'FX Rates'!A:B,2,FALSE)</f>
        <v>#N/A</v>
      </c>
    </row>
    <row r="756" spans="7:7" x14ac:dyDescent="0.3">
      <c r="G756" t="e">
        <f>E756*VLOOKUP(F756,'FX Rates'!A:B,2,FALSE)</f>
        <v>#N/A</v>
      </c>
    </row>
    <row r="757" spans="7:7" x14ac:dyDescent="0.3">
      <c r="G757" t="e">
        <f>E757*VLOOKUP(F757,'FX Rates'!A:B,2,FALSE)</f>
        <v>#N/A</v>
      </c>
    </row>
    <row r="758" spans="7:7" x14ac:dyDescent="0.3">
      <c r="G758" t="e">
        <f>E758*VLOOKUP(F758,'FX Rates'!A:B,2,FALSE)</f>
        <v>#N/A</v>
      </c>
    </row>
    <row r="759" spans="7:7" x14ac:dyDescent="0.3">
      <c r="G759" t="e">
        <f>E759*VLOOKUP(F759,'FX Rates'!A:B,2,FALSE)</f>
        <v>#N/A</v>
      </c>
    </row>
    <row r="760" spans="7:7" x14ac:dyDescent="0.3">
      <c r="G760" t="e">
        <f>E760*VLOOKUP(F760,'FX Rates'!A:B,2,FALSE)</f>
        <v>#N/A</v>
      </c>
    </row>
    <row r="761" spans="7:7" x14ac:dyDescent="0.3">
      <c r="G761" t="e">
        <f>E761*VLOOKUP(F761,'FX Rates'!A:B,2,FALSE)</f>
        <v>#N/A</v>
      </c>
    </row>
    <row r="762" spans="7:7" x14ac:dyDescent="0.3">
      <c r="G762" t="e">
        <f>E762*VLOOKUP(F762,'FX Rates'!A:B,2,FALSE)</f>
        <v>#N/A</v>
      </c>
    </row>
    <row r="763" spans="7:7" x14ac:dyDescent="0.3">
      <c r="G763" t="e">
        <f>E763*VLOOKUP(F763,'FX Rates'!A:B,2,FALSE)</f>
        <v>#N/A</v>
      </c>
    </row>
    <row r="764" spans="7:7" x14ac:dyDescent="0.3">
      <c r="G764" t="e">
        <f>E764*VLOOKUP(F764,'FX Rates'!A:B,2,FALSE)</f>
        <v>#N/A</v>
      </c>
    </row>
    <row r="765" spans="7:7" x14ac:dyDescent="0.3">
      <c r="G765" t="e">
        <f>E765*VLOOKUP(F765,'FX Rates'!A:B,2,FALSE)</f>
        <v>#N/A</v>
      </c>
    </row>
    <row r="766" spans="7:7" x14ac:dyDescent="0.3">
      <c r="G766" t="e">
        <f>E766*VLOOKUP(F766,'FX Rates'!A:B,2,FALSE)</f>
        <v>#N/A</v>
      </c>
    </row>
    <row r="767" spans="7:7" x14ac:dyDescent="0.3">
      <c r="G767" t="e">
        <f>E767*VLOOKUP(F767,'FX Rates'!A:B,2,FALSE)</f>
        <v>#N/A</v>
      </c>
    </row>
    <row r="768" spans="7:7" x14ac:dyDescent="0.3">
      <c r="G768" t="e">
        <f>E768*VLOOKUP(F768,'FX Rates'!A:B,2,FALSE)</f>
        <v>#N/A</v>
      </c>
    </row>
    <row r="769" spans="7:7" x14ac:dyDescent="0.3">
      <c r="G769" t="e">
        <f>E769*VLOOKUP(F769,'FX Rates'!A:B,2,FALSE)</f>
        <v>#N/A</v>
      </c>
    </row>
    <row r="770" spans="7:7" x14ac:dyDescent="0.3">
      <c r="G770" t="e">
        <f>E770*VLOOKUP(F770,'FX Rates'!A:B,2,FALSE)</f>
        <v>#N/A</v>
      </c>
    </row>
    <row r="771" spans="7:7" x14ac:dyDescent="0.3">
      <c r="G771" t="e">
        <f>E771*VLOOKUP(F771,'FX Rates'!A:B,2,FALSE)</f>
        <v>#N/A</v>
      </c>
    </row>
    <row r="772" spans="7:7" x14ac:dyDescent="0.3">
      <c r="G772" t="e">
        <f>E772*VLOOKUP(F772,'FX Rates'!A:B,2,FALSE)</f>
        <v>#N/A</v>
      </c>
    </row>
    <row r="773" spans="7:7" x14ac:dyDescent="0.3">
      <c r="G773" t="e">
        <f>E773*VLOOKUP(F773,'FX Rates'!A:B,2,FALSE)</f>
        <v>#N/A</v>
      </c>
    </row>
    <row r="774" spans="7:7" x14ac:dyDescent="0.3">
      <c r="G774" t="e">
        <f>E774*VLOOKUP(F774,'FX Rates'!A:B,2,FALSE)</f>
        <v>#N/A</v>
      </c>
    </row>
    <row r="775" spans="7:7" x14ac:dyDescent="0.3">
      <c r="G775" t="e">
        <f>E775*VLOOKUP(F775,'FX Rates'!A:B,2,FALSE)</f>
        <v>#N/A</v>
      </c>
    </row>
    <row r="776" spans="7:7" x14ac:dyDescent="0.3">
      <c r="G776" t="e">
        <f>E776*VLOOKUP(F776,'FX Rates'!A:B,2,FALSE)</f>
        <v>#N/A</v>
      </c>
    </row>
    <row r="777" spans="7:7" x14ac:dyDescent="0.3">
      <c r="G777" t="e">
        <f>E777*VLOOKUP(F777,'FX Rates'!A:B,2,FALSE)</f>
        <v>#N/A</v>
      </c>
    </row>
    <row r="778" spans="7:7" x14ac:dyDescent="0.3">
      <c r="G778" t="e">
        <f>E778*VLOOKUP(F778,'FX Rates'!A:B,2,FALSE)</f>
        <v>#N/A</v>
      </c>
    </row>
    <row r="779" spans="7:7" x14ac:dyDescent="0.3">
      <c r="G779" t="e">
        <f>E779*VLOOKUP(F779,'FX Rates'!A:B,2,FALSE)</f>
        <v>#N/A</v>
      </c>
    </row>
    <row r="780" spans="7:7" x14ac:dyDescent="0.3">
      <c r="G780" t="e">
        <f>E780*VLOOKUP(F780,'FX Rates'!A:B,2,FALSE)</f>
        <v>#N/A</v>
      </c>
    </row>
    <row r="781" spans="7:7" x14ac:dyDescent="0.3">
      <c r="G781" t="e">
        <f>E781*VLOOKUP(F781,'FX Rates'!A:B,2,FALSE)</f>
        <v>#N/A</v>
      </c>
    </row>
    <row r="782" spans="7:7" x14ac:dyDescent="0.3">
      <c r="G782" t="e">
        <f>E782*VLOOKUP(F782,'FX Rates'!A:B,2,FALSE)</f>
        <v>#N/A</v>
      </c>
    </row>
    <row r="783" spans="7:7" x14ac:dyDescent="0.3">
      <c r="G783" t="e">
        <f>E783*VLOOKUP(F783,'FX Rates'!A:B,2,FALSE)</f>
        <v>#N/A</v>
      </c>
    </row>
    <row r="784" spans="7:7" x14ac:dyDescent="0.3">
      <c r="G784" t="e">
        <f>E784*VLOOKUP(F784,'FX Rates'!A:B,2,FALSE)</f>
        <v>#N/A</v>
      </c>
    </row>
    <row r="785" spans="7:7" x14ac:dyDescent="0.3">
      <c r="G785" t="e">
        <f>E785*VLOOKUP(F785,'FX Rates'!A:B,2,FALSE)</f>
        <v>#N/A</v>
      </c>
    </row>
    <row r="786" spans="7:7" x14ac:dyDescent="0.3">
      <c r="G786" t="e">
        <f>E786*VLOOKUP(F786,'FX Rates'!A:B,2,FALSE)</f>
        <v>#N/A</v>
      </c>
    </row>
    <row r="787" spans="7:7" x14ac:dyDescent="0.3">
      <c r="G787" t="e">
        <f>E787*VLOOKUP(F787,'FX Rates'!A:B,2,FALSE)</f>
        <v>#N/A</v>
      </c>
    </row>
    <row r="788" spans="7:7" x14ac:dyDescent="0.3">
      <c r="G788" t="e">
        <f>E788*VLOOKUP(F788,'FX Rates'!A:B,2,FALSE)</f>
        <v>#N/A</v>
      </c>
    </row>
    <row r="789" spans="7:7" x14ac:dyDescent="0.3">
      <c r="G789" t="e">
        <f>E789*VLOOKUP(F789,'FX Rates'!A:B,2,FALSE)</f>
        <v>#N/A</v>
      </c>
    </row>
    <row r="790" spans="7:7" x14ac:dyDescent="0.3">
      <c r="G790" t="e">
        <f>E790*VLOOKUP(F790,'FX Rates'!A:B,2,FALSE)</f>
        <v>#N/A</v>
      </c>
    </row>
    <row r="791" spans="7:7" x14ac:dyDescent="0.3">
      <c r="G791" t="e">
        <f>E791*VLOOKUP(F791,'FX Rates'!A:B,2,FALSE)</f>
        <v>#N/A</v>
      </c>
    </row>
    <row r="792" spans="7:7" x14ac:dyDescent="0.3">
      <c r="G792" t="e">
        <f>E792*VLOOKUP(F792,'FX Rates'!A:B,2,FALSE)</f>
        <v>#N/A</v>
      </c>
    </row>
    <row r="793" spans="7:7" x14ac:dyDescent="0.3">
      <c r="G793" t="e">
        <f>E793*VLOOKUP(F793,'FX Rates'!A:B,2,FALSE)</f>
        <v>#N/A</v>
      </c>
    </row>
    <row r="794" spans="7:7" x14ac:dyDescent="0.3">
      <c r="G794" t="e">
        <f>E794*VLOOKUP(F794,'FX Rates'!A:B,2,FALSE)</f>
        <v>#N/A</v>
      </c>
    </row>
    <row r="795" spans="7:7" x14ac:dyDescent="0.3">
      <c r="G795" t="e">
        <f>E795*VLOOKUP(F795,'FX Rates'!A:B,2,FALSE)</f>
        <v>#N/A</v>
      </c>
    </row>
    <row r="796" spans="7:7" x14ac:dyDescent="0.3">
      <c r="G796" t="e">
        <f>E796*VLOOKUP(F796,'FX Rates'!A:B,2,FALSE)</f>
        <v>#N/A</v>
      </c>
    </row>
    <row r="797" spans="7:7" x14ac:dyDescent="0.3">
      <c r="G797" t="e">
        <f>E797*VLOOKUP(F797,'FX Rates'!A:B,2,FALSE)</f>
        <v>#N/A</v>
      </c>
    </row>
    <row r="798" spans="7:7" x14ac:dyDescent="0.3">
      <c r="G798" t="e">
        <f>E798*VLOOKUP(F798,'FX Rates'!A:B,2,FALSE)</f>
        <v>#N/A</v>
      </c>
    </row>
    <row r="799" spans="7:7" x14ac:dyDescent="0.3">
      <c r="G799" t="e">
        <f>E799*VLOOKUP(F799,'FX Rates'!A:B,2,FALSE)</f>
        <v>#N/A</v>
      </c>
    </row>
    <row r="800" spans="7:7" x14ac:dyDescent="0.3">
      <c r="G800" t="e">
        <f>E800*VLOOKUP(F800,'FX Rates'!A:B,2,FALSE)</f>
        <v>#N/A</v>
      </c>
    </row>
    <row r="801" spans="7:7" x14ac:dyDescent="0.3">
      <c r="G801" t="e">
        <f>E801*VLOOKUP(F801,'FX Rates'!A:B,2,FALSE)</f>
        <v>#N/A</v>
      </c>
    </row>
    <row r="802" spans="7:7" x14ac:dyDescent="0.3">
      <c r="G802" t="e">
        <f>E802*VLOOKUP(F802,'FX Rates'!A:B,2,FALSE)</f>
        <v>#N/A</v>
      </c>
    </row>
    <row r="803" spans="7:7" x14ac:dyDescent="0.3">
      <c r="G803" t="e">
        <f>E803*VLOOKUP(F803,'FX Rates'!A:B,2,FALSE)</f>
        <v>#N/A</v>
      </c>
    </row>
    <row r="804" spans="7:7" x14ac:dyDescent="0.3">
      <c r="G804" t="e">
        <f>E804*VLOOKUP(F804,'FX Rates'!A:B,2,FALSE)</f>
        <v>#N/A</v>
      </c>
    </row>
    <row r="805" spans="7:7" x14ac:dyDescent="0.3">
      <c r="G805" t="e">
        <f>E805*VLOOKUP(F805,'FX Rates'!A:B,2,FALSE)</f>
        <v>#N/A</v>
      </c>
    </row>
    <row r="806" spans="7:7" x14ac:dyDescent="0.3">
      <c r="G806" t="e">
        <f>E806*VLOOKUP(F806,'FX Rates'!A:B,2,FALSE)</f>
        <v>#N/A</v>
      </c>
    </row>
    <row r="807" spans="7:7" x14ac:dyDescent="0.3">
      <c r="G807" t="e">
        <f>E807*VLOOKUP(F807,'FX Rates'!A:B,2,FALSE)</f>
        <v>#N/A</v>
      </c>
    </row>
    <row r="808" spans="7:7" x14ac:dyDescent="0.3">
      <c r="G808" t="e">
        <f>E808*VLOOKUP(F808,'FX Rates'!A:B,2,FALSE)</f>
        <v>#N/A</v>
      </c>
    </row>
    <row r="809" spans="7:7" x14ac:dyDescent="0.3">
      <c r="G809" t="e">
        <f>E809*VLOOKUP(F809,'FX Rates'!A:B,2,FALSE)</f>
        <v>#N/A</v>
      </c>
    </row>
    <row r="810" spans="7:7" x14ac:dyDescent="0.3">
      <c r="G810" t="e">
        <f>E810*VLOOKUP(F810,'FX Rates'!A:B,2,FALSE)</f>
        <v>#N/A</v>
      </c>
    </row>
    <row r="811" spans="7:7" x14ac:dyDescent="0.3">
      <c r="G811" t="e">
        <f>E811*VLOOKUP(F811,'FX Rates'!A:B,2,FALSE)</f>
        <v>#N/A</v>
      </c>
    </row>
    <row r="812" spans="7:7" x14ac:dyDescent="0.3">
      <c r="G812" t="e">
        <f>E812*VLOOKUP(F812,'FX Rates'!A:B,2,FALSE)</f>
        <v>#N/A</v>
      </c>
    </row>
    <row r="813" spans="7:7" x14ac:dyDescent="0.3">
      <c r="G813" t="e">
        <f>E813*VLOOKUP(F813,'FX Rates'!A:B,2,FALSE)</f>
        <v>#N/A</v>
      </c>
    </row>
    <row r="814" spans="7:7" x14ac:dyDescent="0.3">
      <c r="G814" t="e">
        <f>E814*VLOOKUP(F814,'FX Rates'!A:B,2,FALSE)</f>
        <v>#N/A</v>
      </c>
    </row>
    <row r="815" spans="7:7" x14ac:dyDescent="0.3">
      <c r="G815" t="e">
        <f>E815*VLOOKUP(F815,'FX Rates'!A:B,2,FALSE)</f>
        <v>#N/A</v>
      </c>
    </row>
    <row r="816" spans="7:7" x14ac:dyDescent="0.3">
      <c r="G816" t="e">
        <f>E816*VLOOKUP(F816,'FX Rates'!A:B,2,FALSE)</f>
        <v>#N/A</v>
      </c>
    </row>
    <row r="817" spans="7:7" x14ac:dyDescent="0.3">
      <c r="G817" t="e">
        <f>E817*VLOOKUP(F817,'FX Rates'!A:B,2,FALSE)</f>
        <v>#N/A</v>
      </c>
    </row>
    <row r="818" spans="7:7" x14ac:dyDescent="0.3">
      <c r="G818" t="e">
        <f>E818*VLOOKUP(F818,'FX Rates'!A:B,2,FALSE)</f>
        <v>#N/A</v>
      </c>
    </row>
    <row r="819" spans="7:7" x14ac:dyDescent="0.3">
      <c r="G819" t="e">
        <f>E819*VLOOKUP(F819,'FX Rates'!A:B,2,FALSE)</f>
        <v>#N/A</v>
      </c>
    </row>
    <row r="820" spans="7:7" x14ac:dyDescent="0.3">
      <c r="G820" t="e">
        <f>E820*VLOOKUP(F820,'FX Rates'!A:B,2,FALSE)</f>
        <v>#N/A</v>
      </c>
    </row>
    <row r="821" spans="7:7" x14ac:dyDescent="0.3">
      <c r="G821" t="e">
        <f>E821*VLOOKUP(F821,'FX Rates'!A:B,2,FALSE)</f>
        <v>#N/A</v>
      </c>
    </row>
    <row r="822" spans="7:7" x14ac:dyDescent="0.3">
      <c r="G822" t="e">
        <f>E822*VLOOKUP(F822,'FX Rates'!A:B,2,FALSE)</f>
        <v>#N/A</v>
      </c>
    </row>
    <row r="823" spans="7:7" x14ac:dyDescent="0.3">
      <c r="G823" t="e">
        <f>E823*VLOOKUP(F823,'FX Rates'!A:B,2,FALSE)</f>
        <v>#N/A</v>
      </c>
    </row>
    <row r="824" spans="7:7" x14ac:dyDescent="0.3">
      <c r="G824" t="e">
        <f>E824*VLOOKUP(F824,'FX Rates'!A:B,2,FALSE)</f>
        <v>#N/A</v>
      </c>
    </row>
    <row r="825" spans="7:7" x14ac:dyDescent="0.3">
      <c r="G825" t="e">
        <f>E825*VLOOKUP(F825,'FX Rates'!A:B,2,FALSE)</f>
        <v>#N/A</v>
      </c>
    </row>
    <row r="826" spans="7:7" x14ac:dyDescent="0.3">
      <c r="G826" t="e">
        <f>E826*VLOOKUP(F826,'FX Rates'!A:B,2,FALSE)</f>
        <v>#N/A</v>
      </c>
    </row>
    <row r="827" spans="7:7" x14ac:dyDescent="0.3">
      <c r="G827" t="e">
        <f>E827*VLOOKUP(F827,'FX Rates'!A:B,2,FALSE)</f>
        <v>#N/A</v>
      </c>
    </row>
    <row r="828" spans="7:7" x14ac:dyDescent="0.3">
      <c r="G828" t="e">
        <f>E828*VLOOKUP(F828,'FX Rates'!A:B,2,FALSE)</f>
        <v>#N/A</v>
      </c>
    </row>
    <row r="829" spans="7:7" x14ac:dyDescent="0.3">
      <c r="G829" t="e">
        <f>E829*VLOOKUP(F829,'FX Rates'!A:B,2,FALSE)</f>
        <v>#N/A</v>
      </c>
    </row>
    <row r="830" spans="7:7" x14ac:dyDescent="0.3">
      <c r="G830" t="e">
        <f>E830*VLOOKUP(F830,'FX Rates'!A:B,2,FALSE)</f>
        <v>#N/A</v>
      </c>
    </row>
    <row r="831" spans="7:7" x14ac:dyDescent="0.3">
      <c r="G831" t="e">
        <f>E831*VLOOKUP(F831,'FX Rates'!A:B,2,FALSE)</f>
        <v>#N/A</v>
      </c>
    </row>
    <row r="832" spans="7:7" x14ac:dyDescent="0.3">
      <c r="G832" t="e">
        <f>E832*VLOOKUP(F832,'FX Rates'!A:B,2,FALSE)</f>
        <v>#N/A</v>
      </c>
    </row>
    <row r="833" spans="7:7" x14ac:dyDescent="0.3">
      <c r="G833" t="e">
        <f>E833*VLOOKUP(F833,'FX Rates'!A:B,2,FALSE)</f>
        <v>#N/A</v>
      </c>
    </row>
    <row r="834" spans="7:7" x14ac:dyDescent="0.3">
      <c r="G834" t="e">
        <f>E834*VLOOKUP(F834,'FX Rates'!A:B,2,FALSE)</f>
        <v>#N/A</v>
      </c>
    </row>
    <row r="835" spans="7:7" x14ac:dyDescent="0.3">
      <c r="G835" t="e">
        <f>E835*VLOOKUP(F835,'FX Rates'!A:B,2,FALSE)</f>
        <v>#N/A</v>
      </c>
    </row>
    <row r="836" spans="7:7" x14ac:dyDescent="0.3">
      <c r="G836" t="e">
        <f>E836*VLOOKUP(F836,'FX Rates'!A:B,2,FALSE)</f>
        <v>#N/A</v>
      </c>
    </row>
    <row r="837" spans="7:7" x14ac:dyDescent="0.3">
      <c r="G837" t="e">
        <f>E837*VLOOKUP(F837,'FX Rates'!A:B,2,FALSE)</f>
        <v>#N/A</v>
      </c>
    </row>
    <row r="838" spans="7:7" x14ac:dyDescent="0.3">
      <c r="G838" t="e">
        <f>E838*VLOOKUP(F838,'FX Rates'!A:B,2,FALSE)</f>
        <v>#N/A</v>
      </c>
    </row>
    <row r="839" spans="7:7" x14ac:dyDescent="0.3">
      <c r="G839" t="e">
        <f>E839*VLOOKUP(F839,'FX Rates'!A:B,2,FALSE)</f>
        <v>#N/A</v>
      </c>
    </row>
    <row r="840" spans="7:7" x14ac:dyDescent="0.3">
      <c r="G840" t="e">
        <f>E840*VLOOKUP(F840,'FX Rates'!A:B,2,FALSE)</f>
        <v>#N/A</v>
      </c>
    </row>
    <row r="841" spans="7:7" x14ac:dyDescent="0.3">
      <c r="G841" t="e">
        <f>E841*VLOOKUP(F841,'FX Rates'!A:B,2,FALSE)</f>
        <v>#N/A</v>
      </c>
    </row>
    <row r="842" spans="7:7" x14ac:dyDescent="0.3">
      <c r="G842" t="e">
        <f>E842*VLOOKUP(F842,'FX Rates'!A:B,2,FALSE)</f>
        <v>#N/A</v>
      </c>
    </row>
    <row r="843" spans="7:7" x14ac:dyDescent="0.3">
      <c r="G843" t="e">
        <f>E843*VLOOKUP(F843,'FX Rates'!A:B,2,FALSE)</f>
        <v>#N/A</v>
      </c>
    </row>
    <row r="844" spans="7:7" x14ac:dyDescent="0.3">
      <c r="G844" t="e">
        <f>E844*VLOOKUP(F844,'FX Rates'!A:B,2,FALSE)</f>
        <v>#N/A</v>
      </c>
    </row>
    <row r="845" spans="7:7" x14ac:dyDescent="0.3">
      <c r="G845" t="e">
        <f>E845*VLOOKUP(F845,'FX Rates'!A:B,2,FALSE)</f>
        <v>#N/A</v>
      </c>
    </row>
    <row r="846" spans="7:7" x14ac:dyDescent="0.3">
      <c r="G846" t="e">
        <f>E846*VLOOKUP(F846,'FX Rates'!A:B,2,FALSE)</f>
        <v>#N/A</v>
      </c>
    </row>
    <row r="847" spans="7:7" x14ac:dyDescent="0.3">
      <c r="G847" t="e">
        <f>E847*VLOOKUP(F847,'FX Rates'!A:B,2,FALSE)</f>
        <v>#N/A</v>
      </c>
    </row>
    <row r="848" spans="7:7" x14ac:dyDescent="0.3">
      <c r="G848" t="e">
        <f>E848*VLOOKUP(F848,'FX Rates'!A:B,2,FALSE)</f>
        <v>#N/A</v>
      </c>
    </row>
    <row r="849" spans="7:7" x14ac:dyDescent="0.3">
      <c r="G849" t="e">
        <f>E849*VLOOKUP(F849,'FX Rates'!A:B,2,FALSE)</f>
        <v>#N/A</v>
      </c>
    </row>
    <row r="850" spans="7:7" x14ac:dyDescent="0.3">
      <c r="G850" t="e">
        <f>E850*VLOOKUP(F850,'FX Rates'!A:B,2,FALSE)</f>
        <v>#N/A</v>
      </c>
    </row>
    <row r="851" spans="7:7" x14ac:dyDescent="0.3">
      <c r="G851" t="e">
        <f>E851*VLOOKUP(F851,'FX Rates'!A:B,2,FALSE)</f>
        <v>#N/A</v>
      </c>
    </row>
    <row r="852" spans="7:7" x14ac:dyDescent="0.3">
      <c r="G852" t="e">
        <f>E852*VLOOKUP(F852,'FX Rates'!A:B,2,FALSE)</f>
        <v>#N/A</v>
      </c>
    </row>
    <row r="853" spans="7:7" x14ac:dyDescent="0.3">
      <c r="G853" t="e">
        <f>E853*VLOOKUP(F853,'FX Rates'!A:B,2,FALSE)</f>
        <v>#N/A</v>
      </c>
    </row>
    <row r="854" spans="7:7" x14ac:dyDescent="0.3">
      <c r="G854" t="e">
        <f>E854*VLOOKUP(F854,'FX Rates'!A:B,2,FALSE)</f>
        <v>#N/A</v>
      </c>
    </row>
    <row r="855" spans="7:7" x14ac:dyDescent="0.3">
      <c r="G855" t="e">
        <f>E855*VLOOKUP(F855,'FX Rates'!A:B,2,FALSE)</f>
        <v>#N/A</v>
      </c>
    </row>
    <row r="856" spans="7:7" x14ac:dyDescent="0.3">
      <c r="G856" t="e">
        <f>E856*VLOOKUP(F856,'FX Rates'!A:B,2,FALSE)</f>
        <v>#N/A</v>
      </c>
    </row>
    <row r="857" spans="7:7" x14ac:dyDescent="0.3">
      <c r="G857" t="e">
        <f>E857*VLOOKUP(F857,'FX Rates'!A:B,2,FALSE)</f>
        <v>#N/A</v>
      </c>
    </row>
    <row r="858" spans="7:7" x14ac:dyDescent="0.3">
      <c r="G858" t="e">
        <f>E858*VLOOKUP(F858,'FX Rates'!A:B,2,FALSE)</f>
        <v>#N/A</v>
      </c>
    </row>
    <row r="859" spans="7:7" x14ac:dyDescent="0.3">
      <c r="G859" t="e">
        <f>E859*VLOOKUP(F859,'FX Rates'!A:B,2,FALSE)</f>
        <v>#N/A</v>
      </c>
    </row>
    <row r="860" spans="7:7" x14ac:dyDescent="0.3">
      <c r="G860" t="e">
        <f>E860*VLOOKUP(F860,'FX Rates'!A:B,2,FALSE)</f>
        <v>#N/A</v>
      </c>
    </row>
    <row r="861" spans="7:7" x14ac:dyDescent="0.3">
      <c r="G861" t="e">
        <f>E861*VLOOKUP(F861,'FX Rates'!A:B,2,FALSE)</f>
        <v>#N/A</v>
      </c>
    </row>
    <row r="862" spans="7:7" x14ac:dyDescent="0.3">
      <c r="G862" t="e">
        <f>E862*VLOOKUP(F862,'FX Rates'!A:B,2,FALSE)</f>
        <v>#N/A</v>
      </c>
    </row>
    <row r="863" spans="7:7" x14ac:dyDescent="0.3">
      <c r="G863" t="e">
        <f>E863*VLOOKUP(F863,'FX Rates'!A:B,2,FALSE)</f>
        <v>#N/A</v>
      </c>
    </row>
    <row r="864" spans="7:7" x14ac:dyDescent="0.3">
      <c r="G864" t="e">
        <f>E864*VLOOKUP(F864,'FX Rates'!A:B,2,FALSE)</f>
        <v>#N/A</v>
      </c>
    </row>
    <row r="865" spans="7:7" x14ac:dyDescent="0.3">
      <c r="G865" t="e">
        <f>E865*VLOOKUP(F865,'FX Rates'!A:B,2,FALSE)</f>
        <v>#N/A</v>
      </c>
    </row>
    <row r="866" spans="7:7" x14ac:dyDescent="0.3">
      <c r="G866" t="e">
        <f>E866*VLOOKUP(F866,'FX Rates'!A:B,2,FALSE)</f>
        <v>#N/A</v>
      </c>
    </row>
    <row r="867" spans="7:7" x14ac:dyDescent="0.3">
      <c r="G867" t="e">
        <f>E867*VLOOKUP(F867,'FX Rates'!A:B,2,FALSE)</f>
        <v>#N/A</v>
      </c>
    </row>
    <row r="868" spans="7:7" x14ac:dyDescent="0.3">
      <c r="G868" t="e">
        <f>E868*VLOOKUP(F868,'FX Rates'!A:B,2,FALSE)</f>
        <v>#N/A</v>
      </c>
    </row>
    <row r="869" spans="7:7" x14ac:dyDescent="0.3">
      <c r="G869" t="e">
        <f>E869*VLOOKUP(F869,'FX Rates'!A:B,2,FALSE)</f>
        <v>#N/A</v>
      </c>
    </row>
    <row r="870" spans="7:7" x14ac:dyDescent="0.3">
      <c r="G870" t="e">
        <f>E870*VLOOKUP(F870,'FX Rates'!A:B,2,FALSE)</f>
        <v>#N/A</v>
      </c>
    </row>
    <row r="871" spans="7:7" x14ac:dyDescent="0.3">
      <c r="G871" t="e">
        <f>E871*VLOOKUP(F871,'FX Rates'!A:B,2,FALSE)</f>
        <v>#N/A</v>
      </c>
    </row>
    <row r="872" spans="7:7" x14ac:dyDescent="0.3">
      <c r="G872" t="e">
        <f>E872*VLOOKUP(F872,'FX Rates'!A:B,2,FALSE)</f>
        <v>#N/A</v>
      </c>
    </row>
    <row r="873" spans="7:7" x14ac:dyDescent="0.3">
      <c r="G873" t="e">
        <f>E873*VLOOKUP(F873,'FX Rates'!A:B,2,FALSE)</f>
        <v>#N/A</v>
      </c>
    </row>
    <row r="874" spans="7:7" x14ac:dyDescent="0.3">
      <c r="G874" t="e">
        <f>E874*VLOOKUP(F874,'FX Rates'!A:B,2,FALSE)</f>
        <v>#N/A</v>
      </c>
    </row>
    <row r="875" spans="7:7" x14ac:dyDescent="0.3">
      <c r="G875" t="e">
        <f>E875*VLOOKUP(F875,'FX Rates'!A:B,2,FALSE)</f>
        <v>#N/A</v>
      </c>
    </row>
    <row r="876" spans="7:7" x14ac:dyDescent="0.3">
      <c r="G876" t="e">
        <f>E876*VLOOKUP(F876,'FX Rates'!A:B,2,FALSE)</f>
        <v>#N/A</v>
      </c>
    </row>
    <row r="877" spans="7:7" x14ac:dyDescent="0.3">
      <c r="G877" t="e">
        <f>E877*VLOOKUP(F877,'FX Rates'!A:B,2,FALSE)</f>
        <v>#N/A</v>
      </c>
    </row>
    <row r="878" spans="7:7" x14ac:dyDescent="0.3">
      <c r="G878" t="e">
        <f>E878*VLOOKUP(F878,'FX Rates'!A:B,2,FALSE)</f>
        <v>#N/A</v>
      </c>
    </row>
    <row r="879" spans="7:7" x14ac:dyDescent="0.3">
      <c r="G879" t="e">
        <f>E879*VLOOKUP(F879,'FX Rates'!A:B,2,FALSE)</f>
        <v>#N/A</v>
      </c>
    </row>
    <row r="880" spans="7:7" x14ac:dyDescent="0.3">
      <c r="G880" t="e">
        <f>E880*VLOOKUP(F880,'FX Rates'!A:B,2,FALSE)</f>
        <v>#N/A</v>
      </c>
    </row>
    <row r="881" spans="7:7" x14ac:dyDescent="0.3">
      <c r="G881" t="e">
        <f>E881*VLOOKUP(F881,'FX Rates'!A:B,2,FALSE)</f>
        <v>#N/A</v>
      </c>
    </row>
    <row r="882" spans="7:7" x14ac:dyDescent="0.3">
      <c r="G882" t="e">
        <f>E882*VLOOKUP(F882,'FX Rates'!A:B,2,FALSE)</f>
        <v>#N/A</v>
      </c>
    </row>
    <row r="883" spans="7:7" x14ac:dyDescent="0.3">
      <c r="G883" t="e">
        <f>E883*VLOOKUP(F883,'FX Rates'!A:B,2,FALSE)</f>
        <v>#N/A</v>
      </c>
    </row>
    <row r="884" spans="7:7" x14ac:dyDescent="0.3">
      <c r="G884" t="e">
        <f>E884*VLOOKUP(F884,'FX Rates'!A:B,2,FALSE)</f>
        <v>#N/A</v>
      </c>
    </row>
    <row r="885" spans="7:7" x14ac:dyDescent="0.3">
      <c r="G885" t="e">
        <f>E885*VLOOKUP(F885,'FX Rates'!A:B,2,FALSE)</f>
        <v>#N/A</v>
      </c>
    </row>
    <row r="886" spans="7:7" x14ac:dyDescent="0.3">
      <c r="G886" t="e">
        <f>E886*VLOOKUP(F886,'FX Rates'!A:B,2,FALSE)</f>
        <v>#N/A</v>
      </c>
    </row>
    <row r="887" spans="7:7" x14ac:dyDescent="0.3">
      <c r="G887" t="e">
        <f>E887*VLOOKUP(F887,'FX Rates'!A:B,2,FALSE)</f>
        <v>#N/A</v>
      </c>
    </row>
    <row r="888" spans="7:7" x14ac:dyDescent="0.3">
      <c r="G888" t="e">
        <f>E888*VLOOKUP(F888,'FX Rates'!A:B,2,FALSE)</f>
        <v>#N/A</v>
      </c>
    </row>
    <row r="889" spans="7:7" x14ac:dyDescent="0.3">
      <c r="G889" t="e">
        <f>E889*VLOOKUP(F889,'FX Rates'!A:B,2,FALSE)</f>
        <v>#N/A</v>
      </c>
    </row>
    <row r="890" spans="7:7" x14ac:dyDescent="0.3">
      <c r="G890" t="e">
        <f>E890*VLOOKUP(F890,'FX Rates'!A:B,2,FALSE)</f>
        <v>#N/A</v>
      </c>
    </row>
    <row r="891" spans="7:7" x14ac:dyDescent="0.3">
      <c r="G891" t="e">
        <f>E891*VLOOKUP(F891,'FX Rates'!A:B,2,FALSE)</f>
        <v>#N/A</v>
      </c>
    </row>
    <row r="892" spans="7:7" x14ac:dyDescent="0.3">
      <c r="G892" t="e">
        <f>E892*VLOOKUP(F892,'FX Rates'!A:B,2,FALSE)</f>
        <v>#N/A</v>
      </c>
    </row>
    <row r="893" spans="7:7" x14ac:dyDescent="0.3">
      <c r="G893" t="e">
        <f>E893*VLOOKUP(F893,'FX Rates'!A:B,2,FALSE)</f>
        <v>#N/A</v>
      </c>
    </row>
    <row r="894" spans="7:7" x14ac:dyDescent="0.3">
      <c r="G894" t="e">
        <f>E894*VLOOKUP(F894,'FX Rates'!A:B,2,FALSE)</f>
        <v>#N/A</v>
      </c>
    </row>
    <row r="895" spans="7:7" x14ac:dyDescent="0.3">
      <c r="G895" t="e">
        <f>E895*VLOOKUP(F895,'FX Rates'!A:B,2,FALSE)</f>
        <v>#N/A</v>
      </c>
    </row>
    <row r="896" spans="7:7" x14ac:dyDescent="0.3">
      <c r="G896" t="e">
        <f>E896*VLOOKUP(F896,'FX Rates'!A:B,2,FALSE)</f>
        <v>#N/A</v>
      </c>
    </row>
    <row r="897" spans="7:7" x14ac:dyDescent="0.3">
      <c r="G897" t="e">
        <f>E897*VLOOKUP(F897,'FX Rates'!A:B,2,FALSE)</f>
        <v>#N/A</v>
      </c>
    </row>
    <row r="898" spans="7:7" x14ac:dyDescent="0.3">
      <c r="G898" t="e">
        <f>E898*VLOOKUP(F898,'FX Rates'!A:B,2,FALSE)</f>
        <v>#N/A</v>
      </c>
    </row>
    <row r="899" spans="7:7" x14ac:dyDescent="0.3">
      <c r="G899" t="e">
        <f>E899*VLOOKUP(F899,'FX Rates'!A:B,2,FALSE)</f>
        <v>#N/A</v>
      </c>
    </row>
    <row r="900" spans="7:7" x14ac:dyDescent="0.3">
      <c r="G900" t="e">
        <f>E900*VLOOKUP(F900,'FX Rates'!A:B,2,FALSE)</f>
        <v>#N/A</v>
      </c>
    </row>
    <row r="901" spans="7:7" x14ac:dyDescent="0.3">
      <c r="G901" t="e">
        <f>E901*VLOOKUP(F901,'FX Rates'!A:B,2,FALSE)</f>
        <v>#N/A</v>
      </c>
    </row>
    <row r="902" spans="7:7" x14ac:dyDescent="0.3">
      <c r="G902" t="e">
        <f>E902*VLOOKUP(F902,'FX Rates'!A:B,2,FALSE)</f>
        <v>#N/A</v>
      </c>
    </row>
    <row r="903" spans="7:7" x14ac:dyDescent="0.3">
      <c r="G903" t="e">
        <f>E903*VLOOKUP(F903,'FX Rates'!A:B,2,FALSE)</f>
        <v>#N/A</v>
      </c>
    </row>
    <row r="904" spans="7:7" x14ac:dyDescent="0.3">
      <c r="G904" t="e">
        <f>E904*VLOOKUP(F904,'FX Rates'!A:B,2,FALSE)</f>
        <v>#N/A</v>
      </c>
    </row>
    <row r="905" spans="7:7" x14ac:dyDescent="0.3">
      <c r="G905" t="e">
        <f>E905*VLOOKUP(F905,'FX Rates'!A:B,2,FALSE)</f>
        <v>#N/A</v>
      </c>
    </row>
    <row r="906" spans="7:7" x14ac:dyDescent="0.3">
      <c r="G906" t="e">
        <f>E906*VLOOKUP(F906,'FX Rates'!A:B,2,FALSE)</f>
        <v>#N/A</v>
      </c>
    </row>
    <row r="907" spans="7:7" x14ac:dyDescent="0.3">
      <c r="G907" t="e">
        <f>E907*VLOOKUP(F907,'FX Rates'!A:B,2,FALSE)</f>
        <v>#N/A</v>
      </c>
    </row>
    <row r="908" spans="7:7" x14ac:dyDescent="0.3">
      <c r="G908" t="e">
        <f>E908*VLOOKUP(F908,'FX Rates'!A:B,2,FALSE)</f>
        <v>#N/A</v>
      </c>
    </row>
    <row r="909" spans="7:7" x14ac:dyDescent="0.3">
      <c r="G909" t="e">
        <f>E909*VLOOKUP(F909,'FX Rates'!A:B,2,FALSE)</f>
        <v>#N/A</v>
      </c>
    </row>
    <row r="910" spans="7:7" x14ac:dyDescent="0.3">
      <c r="G910" t="e">
        <f>E910*VLOOKUP(F910,'FX Rates'!A:B,2,FALSE)</f>
        <v>#N/A</v>
      </c>
    </row>
    <row r="911" spans="7:7" x14ac:dyDescent="0.3">
      <c r="G911" t="e">
        <f>E911*VLOOKUP(F911,'FX Rates'!A:B,2,FALSE)</f>
        <v>#N/A</v>
      </c>
    </row>
    <row r="912" spans="7:7" x14ac:dyDescent="0.3">
      <c r="G912" t="e">
        <f>E912*VLOOKUP(F912,'FX Rates'!A:B,2,FALSE)</f>
        <v>#N/A</v>
      </c>
    </row>
    <row r="913" spans="7:7" x14ac:dyDescent="0.3">
      <c r="G913" t="e">
        <f>E913*VLOOKUP(F913,'FX Rates'!A:B,2,FALSE)</f>
        <v>#N/A</v>
      </c>
    </row>
    <row r="914" spans="7:7" x14ac:dyDescent="0.3">
      <c r="G914" t="e">
        <f>E914*VLOOKUP(F914,'FX Rates'!A:B,2,FALSE)</f>
        <v>#N/A</v>
      </c>
    </row>
    <row r="915" spans="7:7" x14ac:dyDescent="0.3">
      <c r="G915" t="e">
        <f>E915*VLOOKUP(F915,'FX Rates'!A:B,2,FALSE)</f>
        <v>#N/A</v>
      </c>
    </row>
    <row r="916" spans="7:7" x14ac:dyDescent="0.3">
      <c r="G916" t="e">
        <f>E916*VLOOKUP(F916,'FX Rates'!A:B,2,FALSE)</f>
        <v>#N/A</v>
      </c>
    </row>
    <row r="917" spans="7:7" x14ac:dyDescent="0.3">
      <c r="G917" t="e">
        <f>E917*VLOOKUP(F917,'FX Rates'!A:B,2,FALSE)</f>
        <v>#N/A</v>
      </c>
    </row>
    <row r="918" spans="7:7" x14ac:dyDescent="0.3">
      <c r="G918" t="e">
        <f>E918*VLOOKUP(F918,'FX Rates'!A:B,2,FALSE)</f>
        <v>#N/A</v>
      </c>
    </row>
    <row r="919" spans="7:7" x14ac:dyDescent="0.3">
      <c r="G919" t="e">
        <f>E919*VLOOKUP(F919,'FX Rates'!A:B,2,FALSE)</f>
        <v>#N/A</v>
      </c>
    </row>
    <row r="920" spans="7:7" x14ac:dyDescent="0.3">
      <c r="G920" t="e">
        <f>E920*VLOOKUP(F920,'FX Rates'!A:B,2,FALSE)</f>
        <v>#N/A</v>
      </c>
    </row>
    <row r="921" spans="7:7" x14ac:dyDescent="0.3">
      <c r="G921" t="e">
        <f>E921*VLOOKUP(F921,'FX Rates'!A:B,2,FALSE)</f>
        <v>#N/A</v>
      </c>
    </row>
    <row r="922" spans="7:7" x14ac:dyDescent="0.3">
      <c r="G922" t="e">
        <f>E922*VLOOKUP(F922,'FX Rates'!A:B,2,FALSE)</f>
        <v>#N/A</v>
      </c>
    </row>
    <row r="923" spans="7:7" x14ac:dyDescent="0.3">
      <c r="G923" t="e">
        <f>E923*VLOOKUP(F923,'FX Rates'!A:B,2,FALSE)</f>
        <v>#N/A</v>
      </c>
    </row>
    <row r="924" spans="7:7" x14ac:dyDescent="0.3">
      <c r="G924" t="e">
        <f>E924*VLOOKUP(F924,'FX Rates'!A:B,2,FALSE)</f>
        <v>#N/A</v>
      </c>
    </row>
    <row r="925" spans="7:7" x14ac:dyDescent="0.3">
      <c r="G925" t="e">
        <f>E925*VLOOKUP(F925,'FX Rates'!A:B,2,FALSE)</f>
        <v>#N/A</v>
      </c>
    </row>
    <row r="926" spans="7:7" x14ac:dyDescent="0.3">
      <c r="G926" t="e">
        <f>E926*VLOOKUP(F926,'FX Rates'!A:B,2,FALSE)</f>
        <v>#N/A</v>
      </c>
    </row>
    <row r="927" spans="7:7" x14ac:dyDescent="0.3">
      <c r="G927" t="e">
        <f>E927*VLOOKUP(F927,'FX Rates'!A:B,2,FALSE)</f>
        <v>#N/A</v>
      </c>
    </row>
    <row r="928" spans="7:7" x14ac:dyDescent="0.3">
      <c r="G928" t="e">
        <f>E928*VLOOKUP(F928,'FX Rates'!A:B,2,FALSE)</f>
        <v>#N/A</v>
      </c>
    </row>
    <row r="929" spans="7:7" x14ac:dyDescent="0.3">
      <c r="G929" t="e">
        <f>E929*VLOOKUP(F929,'FX Rates'!A:B,2,FALSE)</f>
        <v>#N/A</v>
      </c>
    </row>
    <row r="930" spans="7:7" x14ac:dyDescent="0.3">
      <c r="G930" t="e">
        <f>E930*VLOOKUP(F930,'FX Rates'!A:B,2,FALSE)</f>
        <v>#N/A</v>
      </c>
    </row>
    <row r="931" spans="7:7" x14ac:dyDescent="0.3">
      <c r="G931" t="e">
        <f>E931*VLOOKUP(F931,'FX Rates'!A:B,2,FALSE)</f>
        <v>#N/A</v>
      </c>
    </row>
    <row r="932" spans="7:7" x14ac:dyDescent="0.3">
      <c r="G932" t="e">
        <f>E932*VLOOKUP(F932,'FX Rates'!A:B,2,FALSE)</f>
        <v>#N/A</v>
      </c>
    </row>
    <row r="933" spans="7:7" x14ac:dyDescent="0.3">
      <c r="G933" t="e">
        <f>E933*VLOOKUP(F933,'FX Rates'!A:B,2,FALSE)</f>
        <v>#N/A</v>
      </c>
    </row>
    <row r="934" spans="7:7" x14ac:dyDescent="0.3">
      <c r="G934" t="e">
        <f>E934*VLOOKUP(F934,'FX Rates'!A:B,2,FALSE)</f>
        <v>#N/A</v>
      </c>
    </row>
    <row r="935" spans="7:7" x14ac:dyDescent="0.3">
      <c r="G935" t="e">
        <f>E935*VLOOKUP(F935,'FX Rates'!A:B,2,FALSE)</f>
        <v>#N/A</v>
      </c>
    </row>
    <row r="936" spans="7:7" x14ac:dyDescent="0.3">
      <c r="G936" t="e">
        <f>E936*VLOOKUP(F936,'FX Rates'!A:B,2,FALSE)</f>
        <v>#N/A</v>
      </c>
    </row>
    <row r="937" spans="7:7" x14ac:dyDescent="0.3">
      <c r="G937" t="e">
        <f>E937*VLOOKUP(F937,'FX Rates'!A:B,2,FALSE)</f>
        <v>#N/A</v>
      </c>
    </row>
    <row r="938" spans="7:7" x14ac:dyDescent="0.3">
      <c r="G938" t="e">
        <f>E938*VLOOKUP(F938,'FX Rates'!A:B,2,FALSE)</f>
        <v>#N/A</v>
      </c>
    </row>
    <row r="939" spans="7:7" x14ac:dyDescent="0.3">
      <c r="G939" t="e">
        <f>E939*VLOOKUP(F939,'FX Rates'!A:B,2,FALSE)</f>
        <v>#N/A</v>
      </c>
    </row>
    <row r="940" spans="7:7" x14ac:dyDescent="0.3">
      <c r="G940" t="e">
        <f>E940*VLOOKUP(F940,'FX Rates'!A:B,2,FALSE)</f>
        <v>#N/A</v>
      </c>
    </row>
    <row r="941" spans="7:7" x14ac:dyDescent="0.3">
      <c r="G941" t="e">
        <f>E941*VLOOKUP(F941,'FX Rates'!A:B,2,FALSE)</f>
        <v>#N/A</v>
      </c>
    </row>
    <row r="942" spans="7:7" x14ac:dyDescent="0.3">
      <c r="G942" t="e">
        <f>E942*VLOOKUP(F942,'FX Rates'!A:B,2,FALSE)</f>
        <v>#N/A</v>
      </c>
    </row>
    <row r="943" spans="7:7" x14ac:dyDescent="0.3">
      <c r="G943" t="e">
        <f>E943*VLOOKUP(F943,'FX Rates'!A:B,2,FALSE)</f>
        <v>#N/A</v>
      </c>
    </row>
    <row r="944" spans="7:7" x14ac:dyDescent="0.3">
      <c r="G944" t="e">
        <f>E944*VLOOKUP(F944,'FX Rates'!A:B,2,FALSE)</f>
        <v>#N/A</v>
      </c>
    </row>
    <row r="945" spans="7:7" x14ac:dyDescent="0.3">
      <c r="G945" t="e">
        <f>E945*VLOOKUP(F945,'FX Rates'!A:B,2,FALSE)</f>
        <v>#N/A</v>
      </c>
    </row>
    <row r="946" spans="7:7" x14ac:dyDescent="0.3">
      <c r="G946" t="e">
        <f>E946*VLOOKUP(F946,'FX Rates'!A:B,2,FALSE)</f>
        <v>#N/A</v>
      </c>
    </row>
    <row r="947" spans="7:7" x14ac:dyDescent="0.3">
      <c r="G947" t="e">
        <f>E947*VLOOKUP(F947,'FX Rates'!A:B,2,FALSE)</f>
        <v>#N/A</v>
      </c>
    </row>
    <row r="948" spans="7:7" x14ac:dyDescent="0.3">
      <c r="G948" t="e">
        <f>E948*VLOOKUP(F948,'FX Rates'!A:B,2,FALSE)</f>
        <v>#N/A</v>
      </c>
    </row>
    <row r="949" spans="7:7" x14ac:dyDescent="0.3">
      <c r="G949" t="e">
        <f>E949*VLOOKUP(F949,'FX Rates'!A:B,2,FALSE)</f>
        <v>#N/A</v>
      </c>
    </row>
    <row r="950" spans="7:7" x14ac:dyDescent="0.3">
      <c r="G950" t="e">
        <f>E950*VLOOKUP(F950,'FX Rates'!A:B,2,FALSE)</f>
        <v>#N/A</v>
      </c>
    </row>
    <row r="951" spans="7:7" x14ac:dyDescent="0.3">
      <c r="G951" t="e">
        <f>E951*VLOOKUP(F951,'FX Rates'!A:B,2,FALSE)</f>
        <v>#N/A</v>
      </c>
    </row>
    <row r="952" spans="7:7" x14ac:dyDescent="0.3">
      <c r="G952" t="e">
        <f>E952*VLOOKUP(F952,'FX Rates'!A:B,2,FALSE)</f>
        <v>#N/A</v>
      </c>
    </row>
    <row r="953" spans="7:7" x14ac:dyDescent="0.3">
      <c r="G953" t="e">
        <f>E953*VLOOKUP(F953,'FX Rates'!A:B,2,FALSE)</f>
        <v>#N/A</v>
      </c>
    </row>
    <row r="954" spans="7:7" x14ac:dyDescent="0.3">
      <c r="G954" t="e">
        <f>E954*VLOOKUP(F954,'FX Rates'!A:B,2,FALSE)</f>
        <v>#N/A</v>
      </c>
    </row>
    <row r="955" spans="7:7" x14ac:dyDescent="0.3">
      <c r="G955" t="e">
        <f>E955*VLOOKUP(F955,'FX Rates'!A:B,2,FALSE)</f>
        <v>#N/A</v>
      </c>
    </row>
    <row r="956" spans="7:7" x14ac:dyDescent="0.3">
      <c r="G956" t="e">
        <f>E956*VLOOKUP(F956,'FX Rates'!A:B,2,FALSE)</f>
        <v>#N/A</v>
      </c>
    </row>
    <row r="957" spans="7:7" x14ac:dyDescent="0.3">
      <c r="G957" t="e">
        <f>E957*VLOOKUP(F957,'FX Rates'!A:B,2,FALSE)</f>
        <v>#N/A</v>
      </c>
    </row>
    <row r="958" spans="7:7" x14ac:dyDescent="0.3">
      <c r="G958" t="e">
        <f>E958*VLOOKUP(F958,'FX Rates'!A:B,2,FALSE)</f>
        <v>#N/A</v>
      </c>
    </row>
    <row r="959" spans="7:7" x14ac:dyDescent="0.3">
      <c r="G959" t="e">
        <f>E959*VLOOKUP(F959,'FX Rates'!A:B,2,FALSE)</f>
        <v>#N/A</v>
      </c>
    </row>
    <row r="960" spans="7:7" x14ac:dyDescent="0.3">
      <c r="G960" t="e">
        <f>E960*VLOOKUP(F960,'FX Rates'!A:B,2,FALSE)</f>
        <v>#N/A</v>
      </c>
    </row>
    <row r="961" spans="7:7" x14ac:dyDescent="0.3">
      <c r="G961" t="e">
        <f>E961*VLOOKUP(F961,'FX Rates'!A:B,2,FALSE)</f>
        <v>#N/A</v>
      </c>
    </row>
    <row r="962" spans="7:7" x14ac:dyDescent="0.3">
      <c r="G962" t="e">
        <f>E962*VLOOKUP(F962,'FX Rates'!A:B,2,FALSE)</f>
        <v>#N/A</v>
      </c>
    </row>
    <row r="963" spans="7:7" x14ac:dyDescent="0.3">
      <c r="G963" t="e">
        <f>E963*VLOOKUP(F963,'FX Rates'!A:B,2,FALSE)</f>
        <v>#N/A</v>
      </c>
    </row>
    <row r="964" spans="7:7" x14ac:dyDescent="0.3">
      <c r="G964" t="e">
        <f>E964*VLOOKUP(F964,'FX Rates'!A:B,2,FALSE)</f>
        <v>#N/A</v>
      </c>
    </row>
    <row r="965" spans="7:7" x14ac:dyDescent="0.3">
      <c r="G965" t="e">
        <f>E965*VLOOKUP(F965,'FX Rates'!A:B,2,FALSE)</f>
        <v>#N/A</v>
      </c>
    </row>
    <row r="966" spans="7:7" x14ac:dyDescent="0.3">
      <c r="G966" t="e">
        <f>E966*VLOOKUP(F966,'FX Rates'!A:B,2,FALSE)</f>
        <v>#N/A</v>
      </c>
    </row>
    <row r="967" spans="7:7" x14ac:dyDescent="0.3">
      <c r="G967" t="e">
        <f>E967*VLOOKUP(F967,'FX Rates'!A:B,2,FALSE)</f>
        <v>#N/A</v>
      </c>
    </row>
    <row r="968" spans="7:7" x14ac:dyDescent="0.3">
      <c r="G968" t="e">
        <f>E968*VLOOKUP(F968,'FX Rates'!A:B,2,FALSE)</f>
        <v>#N/A</v>
      </c>
    </row>
    <row r="969" spans="7:7" x14ac:dyDescent="0.3">
      <c r="G969" t="e">
        <f>E969*VLOOKUP(F969,'FX Rates'!A:B,2,FALSE)</f>
        <v>#N/A</v>
      </c>
    </row>
    <row r="970" spans="7:7" x14ac:dyDescent="0.3">
      <c r="G970" t="e">
        <f>E970*VLOOKUP(F970,'FX Rates'!A:B,2,FALSE)</f>
        <v>#N/A</v>
      </c>
    </row>
    <row r="971" spans="7:7" x14ac:dyDescent="0.3">
      <c r="G971" t="e">
        <f>E971*VLOOKUP(F971,'FX Rates'!A:B,2,FALSE)</f>
        <v>#N/A</v>
      </c>
    </row>
    <row r="972" spans="7:7" x14ac:dyDescent="0.3">
      <c r="G972" t="e">
        <f>E972*VLOOKUP(F972,'FX Rates'!A:B,2,FALSE)</f>
        <v>#N/A</v>
      </c>
    </row>
    <row r="973" spans="7:7" x14ac:dyDescent="0.3">
      <c r="G973" t="e">
        <f>E973*VLOOKUP(F973,'FX Rates'!A:B,2,FALSE)</f>
        <v>#N/A</v>
      </c>
    </row>
    <row r="974" spans="7:7" x14ac:dyDescent="0.3">
      <c r="G974" t="e">
        <f>E974*VLOOKUP(F974,'FX Rates'!A:B,2,FALSE)</f>
        <v>#N/A</v>
      </c>
    </row>
    <row r="975" spans="7:7" x14ac:dyDescent="0.3">
      <c r="G975" t="e">
        <f>E975*VLOOKUP(F975,'FX Rates'!A:B,2,FALSE)</f>
        <v>#N/A</v>
      </c>
    </row>
    <row r="976" spans="7:7" x14ac:dyDescent="0.3">
      <c r="G976" t="e">
        <f>E976*VLOOKUP(F976,'FX Rates'!A:B,2,FALSE)</f>
        <v>#N/A</v>
      </c>
    </row>
    <row r="977" spans="7:7" x14ac:dyDescent="0.3">
      <c r="G977" t="e">
        <f>E977*VLOOKUP(F977,'FX Rates'!A:B,2,FALSE)</f>
        <v>#N/A</v>
      </c>
    </row>
    <row r="978" spans="7:7" x14ac:dyDescent="0.3">
      <c r="G978" t="e">
        <f>E978*VLOOKUP(F978,'FX Rates'!A:B,2,FALSE)</f>
        <v>#N/A</v>
      </c>
    </row>
    <row r="979" spans="7:7" x14ac:dyDescent="0.3">
      <c r="G979" t="e">
        <f>E979*VLOOKUP(F979,'FX Rates'!A:B,2,FALSE)</f>
        <v>#N/A</v>
      </c>
    </row>
    <row r="980" spans="7:7" x14ac:dyDescent="0.3">
      <c r="G980" t="e">
        <f>E980*VLOOKUP(F980,'FX Rates'!A:B,2,FALSE)</f>
        <v>#N/A</v>
      </c>
    </row>
    <row r="981" spans="7:7" x14ac:dyDescent="0.3">
      <c r="G981" t="e">
        <f>E981*VLOOKUP(F981,'FX Rates'!A:B,2,FALSE)</f>
        <v>#N/A</v>
      </c>
    </row>
    <row r="982" spans="7:7" x14ac:dyDescent="0.3">
      <c r="G982" t="e">
        <f>E982*VLOOKUP(F982,'FX Rates'!A:B,2,FALSE)</f>
        <v>#N/A</v>
      </c>
    </row>
    <row r="983" spans="7:7" x14ac:dyDescent="0.3">
      <c r="G983" t="e">
        <f>E983*VLOOKUP(F983,'FX Rates'!A:B,2,FALSE)</f>
        <v>#N/A</v>
      </c>
    </row>
    <row r="984" spans="7:7" x14ac:dyDescent="0.3">
      <c r="G984" t="e">
        <f>E984*VLOOKUP(F984,'FX Rates'!A:B,2,FALSE)</f>
        <v>#N/A</v>
      </c>
    </row>
    <row r="985" spans="7:7" x14ac:dyDescent="0.3">
      <c r="G985" t="e">
        <f>E985*VLOOKUP(F985,'FX Rates'!A:B,2,FALSE)</f>
        <v>#N/A</v>
      </c>
    </row>
    <row r="986" spans="7:7" x14ac:dyDescent="0.3">
      <c r="G986" t="e">
        <f>E986*VLOOKUP(F986,'FX Rates'!A:B,2,FALSE)</f>
        <v>#N/A</v>
      </c>
    </row>
    <row r="987" spans="7:7" x14ac:dyDescent="0.3">
      <c r="G987" t="e">
        <f>E987*VLOOKUP(F987,'FX Rates'!A:B,2,FALSE)</f>
        <v>#N/A</v>
      </c>
    </row>
    <row r="988" spans="7:7" x14ac:dyDescent="0.3">
      <c r="G988" t="e">
        <f>E988*VLOOKUP(F988,'FX Rates'!A:B,2,FALSE)</f>
        <v>#N/A</v>
      </c>
    </row>
    <row r="989" spans="7:7" x14ac:dyDescent="0.3">
      <c r="G989" t="e">
        <f>E989*VLOOKUP(F989,'FX Rates'!A:B,2,FALSE)</f>
        <v>#N/A</v>
      </c>
    </row>
    <row r="990" spans="7:7" x14ac:dyDescent="0.3">
      <c r="G990" t="e">
        <f>E990*VLOOKUP(F990,'FX Rates'!A:B,2,FALSE)</f>
        <v>#N/A</v>
      </c>
    </row>
    <row r="991" spans="7:7" x14ac:dyDescent="0.3">
      <c r="G991" t="e">
        <f>E991*VLOOKUP(F991,'FX Rates'!A:B,2,FALSE)</f>
        <v>#N/A</v>
      </c>
    </row>
    <row r="992" spans="7:7" x14ac:dyDescent="0.3">
      <c r="G992" t="e">
        <f>E992*VLOOKUP(F992,'FX Rates'!A:B,2,FALSE)</f>
        <v>#N/A</v>
      </c>
    </row>
    <row r="993" spans="7:7" x14ac:dyDescent="0.3">
      <c r="G993" t="e">
        <f>E993*VLOOKUP(F993,'FX Rates'!A:B,2,FALSE)</f>
        <v>#N/A</v>
      </c>
    </row>
    <row r="994" spans="7:7" x14ac:dyDescent="0.3">
      <c r="G994" t="e">
        <f>E994*VLOOKUP(F994,'FX Rates'!A:B,2,FALSE)</f>
        <v>#N/A</v>
      </c>
    </row>
    <row r="995" spans="7:7" x14ac:dyDescent="0.3">
      <c r="G995" t="e">
        <f>E995*VLOOKUP(F995,'FX Rates'!A:B,2,FALSE)</f>
        <v>#N/A</v>
      </c>
    </row>
    <row r="996" spans="7:7" x14ac:dyDescent="0.3">
      <c r="G996" t="e">
        <f>E996*VLOOKUP(F996,'FX Rates'!A:B,2,FALSE)</f>
        <v>#N/A</v>
      </c>
    </row>
    <row r="997" spans="7:7" x14ac:dyDescent="0.3">
      <c r="G997" t="e">
        <f>E997*VLOOKUP(F997,'FX Rates'!A:B,2,FALSE)</f>
        <v>#N/A</v>
      </c>
    </row>
    <row r="998" spans="7:7" x14ac:dyDescent="0.3">
      <c r="G998" t="e">
        <f>E998*VLOOKUP(F998,'FX Rates'!A:B,2,FALSE)</f>
        <v>#N/A</v>
      </c>
    </row>
    <row r="999" spans="7:7" x14ac:dyDescent="0.3">
      <c r="G999" t="e">
        <f>E999*VLOOKUP(F999,'FX Rates'!A:B,2,FALSE)</f>
        <v>#N/A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99"/>
  <sheetViews>
    <sheetView workbookViewId="0"/>
  </sheetViews>
  <sheetFormatPr defaultRowHeight="14.4" x14ac:dyDescent="0.3"/>
  <cols>
    <col min="1" max="1" width="4.88671875" bestFit="1" customWidth="1"/>
    <col min="2" max="2" width="9.109375" bestFit="1" customWidth="1"/>
    <col min="3" max="3" width="10" bestFit="1" customWidth="1"/>
    <col min="4" max="4" width="8.109375" bestFit="1" customWidth="1"/>
    <col min="5" max="5" width="5.44140625" bestFit="1" customWidth="1"/>
    <col min="6" max="6" width="5.109375" bestFit="1" customWidth="1"/>
    <col min="7" max="7" width="8.5546875" bestFit="1" customWidth="1"/>
    <col min="8" max="8" width="9.21875" bestFit="1" customWidth="1"/>
    <col min="9" max="9" width="8.6640625" bestFit="1" customWidth="1"/>
    <col min="10" max="10" width="10.21875" bestFit="1" customWidth="1"/>
  </cols>
  <sheetData>
    <row r="1" spans="1:10" x14ac:dyDescent="0.3">
      <c r="A1" s="1" t="s">
        <v>16</v>
      </c>
      <c r="B1" s="1" t="s">
        <v>20</v>
      </c>
      <c r="C1" s="1" t="s">
        <v>21</v>
      </c>
      <c r="D1" s="1" t="s">
        <v>11</v>
      </c>
      <c r="E1" s="1" t="s">
        <v>12</v>
      </c>
      <c r="F1" s="1" t="s">
        <v>22</v>
      </c>
      <c r="G1" s="1" t="s">
        <v>6</v>
      </c>
      <c r="H1" s="1" t="s">
        <v>23</v>
      </c>
      <c r="I1" s="1" t="s">
        <v>19</v>
      </c>
      <c r="J1" s="1" t="s">
        <v>24</v>
      </c>
    </row>
    <row r="2" spans="1:10" x14ac:dyDescent="0.3">
      <c r="H2" t="e">
        <f>F2*E2*VLOOKUP(G2,'FX Rates'!A:B,2,FALSE)</f>
        <v>#N/A</v>
      </c>
      <c r="J2">
        <f t="shared" ref="J2:J65" ca="1" si="0">IF(I2="",0,TODAY()-I2)</f>
        <v>0</v>
      </c>
    </row>
    <row r="3" spans="1:10" x14ac:dyDescent="0.3">
      <c r="H3" t="e">
        <f>F3*E3*VLOOKUP(G3,'FX Rates'!A:B,2,FALSE)</f>
        <v>#N/A</v>
      </c>
      <c r="J3">
        <f t="shared" ca="1" si="0"/>
        <v>0</v>
      </c>
    </row>
    <row r="4" spans="1:10" x14ac:dyDescent="0.3">
      <c r="H4" t="e">
        <f>F4*E4*VLOOKUP(G4,'FX Rates'!A:B,2,FALSE)</f>
        <v>#N/A</v>
      </c>
      <c r="J4">
        <f t="shared" ca="1" si="0"/>
        <v>0</v>
      </c>
    </row>
    <row r="5" spans="1:10" x14ac:dyDescent="0.3">
      <c r="H5" t="e">
        <f>F5*E5*VLOOKUP(G5,'FX Rates'!A:B,2,FALSE)</f>
        <v>#N/A</v>
      </c>
      <c r="J5">
        <f t="shared" ca="1" si="0"/>
        <v>0</v>
      </c>
    </row>
    <row r="6" spans="1:10" x14ac:dyDescent="0.3">
      <c r="H6" t="e">
        <f>F6*E6*VLOOKUP(G6,'FX Rates'!A:B,2,FALSE)</f>
        <v>#N/A</v>
      </c>
      <c r="J6">
        <f t="shared" ca="1" si="0"/>
        <v>0</v>
      </c>
    </row>
    <row r="7" spans="1:10" x14ac:dyDescent="0.3">
      <c r="H7" t="e">
        <f>F7*E7*VLOOKUP(G7,'FX Rates'!A:B,2,FALSE)</f>
        <v>#N/A</v>
      </c>
      <c r="J7">
        <f t="shared" ca="1" si="0"/>
        <v>0</v>
      </c>
    </row>
    <row r="8" spans="1:10" x14ac:dyDescent="0.3">
      <c r="H8" t="e">
        <f>F8*E8*VLOOKUP(G8,'FX Rates'!A:B,2,FALSE)</f>
        <v>#N/A</v>
      </c>
      <c r="J8">
        <f t="shared" ca="1" si="0"/>
        <v>0</v>
      </c>
    </row>
    <row r="9" spans="1:10" x14ac:dyDescent="0.3">
      <c r="H9" t="e">
        <f>F9*E9*VLOOKUP(G9,'FX Rates'!A:B,2,FALSE)</f>
        <v>#N/A</v>
      </c>
      <c r="J9">
        <f t="shared" ca="1" si="0"/>
        <v>0</v>
      </c>
    </row>
    <row r="10" spans="1:10" x14ac:dyDescent="0.3">
      <c r="H10" t="e">
        <f>F10*E10*VLOOKUP(G10,'FX Rates'!A:B,2,FALSE)</f>
        <v>#N/A</v>
      </c>
      <c r="J10">
        <f t="shared" ca="1" si="0"/>
        <v>0</v>
      </c>
    </row>
    <row r="11" spans="1:10" x14ac:dyDescent="0.3">
      <c r="H11" t="e">
        <f>F11*E11*VLOOKUP(G11,'FX Rates'!A:B,2,FALSE)</f>
        <v>#N/A</v>
      </c>
      <c r="J11">
        <f t="shared" ca="1" si="0"/>
        <v>0</v>
      </c>
    </row>
    <row r="12" spans="1:10" x14ac:dyDescent="0.3">
      <c r="H12" t="e">
        <f>F12*E12*VLOOKUP(G12,'FX Rates'!A:B,2,FALSE)</f>
        <v>#N/A</v>
      </c>
      <c r="J12">
        <f t="shared" ca="1" si="0"/>
        <v>0</v>
      </c>
    </row>
    <row r="13" spans="1:10" x14ac:dyDescent="0.3">
      <c r="H13" t="e">
        <f>F13*E13*VLOOKUP(G13,'FX Rates'!A:B,2,FALSE)</f>
        <v>#N/A</v>
      </c>
      <c r="J13">
        <f t="shared" ca="1" si="0"/>
        <v>0</v>
      </c>
    </row>
    <row r="14" spans="1:10" x14ac:dyDescent="0.3">
      <c r="H14" t="e">
        <f>F14*E14*VLOOKUP(G14,'FX Rates'!A:B,2,FALSE)</f>
        <v>#N/A</v>
      </c>
      <c r="J14">
        <f t="shared" ca="1" si="0"/>
        <v>0</v>
      </c>
    </row>
    <row r="15" spans="1:10" x14ac:dyDescent="0.3">
      <c r="H15" t="e">
        <f>F15*E15*VLOOKUP(G15,'FX Rates'!A:B,2,FALSE)</f>
        <v>#N/A</v>
      </c>
      <c r="J15">
        <f t="shared" ca="1" si="0"/>
        <v>0</v>
      </c>
    </row>
    <row r="16" spans="1:10" x14ac:dyDescent="0.3">
      <c r="H16" t="e">
        <f>F16*E16*VLOOKUP(G16,'FX Rates'!A:B,2,FALSE)</f>
        <v>#N/A</v>
      </c>
      <c r="J16">
        <f t="shared" ca="1" si="0"/>
        <v>0</v>
      </c>
    </row>
    <row r="17" spans="8:10" x14ac:dyDescent="0.3">
      <c r="H17" t="e">
        <f>F17*E17*VLOOKUP(G17,'FX Rates'!A:B,2,FALSE)</f>
        <v>#N/A</v>
      </c>
      <c r="J17">
        <f t="shared" ca="1" si="0"/>
        <v>0</v>
      </c>
    </row>
    <row r="18" spans="8:10" x14ac:dyDescent="0.3">
      <c r="H18" t="e">
        <f>F18*E18*VLOOKUP(G18,'FX Rates'!A:B,2,FALSE)</f>
        <v>#N/A</v>
      </c>
      <c r="J18">
        <f t="shared" ca="1" si="0"/>
        <v>0</v>
      </c>
    </row>
    <row r="19" spans="8:10" x14ac:dyDescent="0.3">
      <c r="H19" t="e">
        <f>F19*E19*VLOOKUP(G19,'FX Rates'!A:B,2,FALSE)</f>
        <v>#N/A</v>
      </c>
      <c r="J19">
        <f t="shared" ca="1" si="0"/>
        <v>0</v>
      </c>
    </row>
    <row r="20" spans="8:10" x14ac:dyDescent="0.3">
      <c r="H20" t="e">
        <f>F20*E20*VLOOKUP(G20,'FX Rates'!A:B,2,FALSE)</f>
        <v>#N/A</v>
      </c>
      <c r="J20">
        <f t="shared" ca="1" si="0"/>
        <v>0</v>
      </c>
    </row>
    <row r="21" spans="8:10" x14ac:dyDescent="0.3">
      <c r="H21" t="e">
        <f>F21*E21*VLOOKUP(G21,'FX Rates'!A:B,2,FALSE)</f>
        <v>#N/A</v>
      </c>
      <c r="J21">
        <f t="shared" ca="1" si="0"/>
        <v>0</v>
      </c>
    </row>
    <row r="22" spans="8:10" x14ac:dyDescent="0.3">
      <c r="H22" t="e">
        <f>F22*E22*VLOOKUP(G22,'FX Rates'!A:B,2,FALSE)</f>
        <v>#N/A</v>
      </c>
      <c r="J22">
        <f t="shared" ca="1" si="0"/>
        <v>0</v>
      </c>
    </row>
    <row r="23" spans="8:10" x14ac:dyDescent="0.3">
      <c r="H23" t="e">
        <f>F23*E23*VLOOKUP(G23,'FX Rates'!A:B,2,FALSE)</f>
        <v>#N/A</v>
      </c>
      <c r="J23">
        <f t="shared" ca="1" si="0"/>
        <v>0</v>
      </c>
    </row>
    <row r="24" spans="8:10" x14ac:dyDescent="0.3">
      <c r="H24" t="e">
        <f>F24*E24*VLOOKUP(G24,'FX Rates'!A:B,2,FALSE)</f>
        <v>#N/A</v>
      </c>
      <c r="J24">
        <f t="shared" ca="1" si="0"/>
        <v>0</v>
      </c>
    </row>
    <row r="25" spans="8:10" x14ac:dyDescent="0.3">
      <c r="H25" t="e">
        <f>F25*E25*VLOOKUP(G25,'FX Rates'!A:B,2,FALSE)</f>
        <v>#N/A</v>
      </c>
      <c r="J25">
        <f t="shared" ca="1" si="0"/>
        <v>0</v>
      </c>
    </row>
    <row r="26" spans="8:10" x14ac:dyDescent="0.3">
      <c r="H26" t="e">
        <f>F26*E26*VLOOKUP(G26,'FX Rates'!A:B,2,FALSE)</f>
        <v>#N/A</v>
      </c>
      <c r="J26">
        <f t="shared" ca="1" si="0"/>
        <v>0</v>
      </c>
    </row>
    <row r="27" spans="8:10" x14ac:dyDescent="0.3">
      <c r="H27" t="e">
        <f>F27*E27*VLOOKUP(G27,'FX Rates'!A:B,2,FALSE)</f>
        <v>#N/A</v>
      </c>
      <c r="J27">
        <f t="shared" ca="1" si="0"/>
        <v>0</v>
      </c>
    </row>
    <row r="28" spans="8:10" x14ac:dyDescent="0.3">
      <c r="H28" t="e">
        <f>F28*E28*VLOOKUP(G28,'FX Rates'!A:B,2,FALSE)</f>
        <v>#N/A</v>
      </c>
      <c r="J28">
        <f t="shared" ca="1" si="0"/>
        <v>0</v>
      </c>
    </row>
    <row r="29" spans="8:10" x14ac:dyDescent="0.3">
      <c r="H29" t="e">
        <f>F29*E29*VLOOKUP(G29,'FX Rates'!A:B,2,FALSE)</f>
        <v>#N/A</v>
      </c>
      <c r="J29">
        <f t="shared" ca="1" si="0"/>
        <v>0</v>
      </c>
    </row>
    <row r="30" spans="8:10" x14ac:dyDescent="0.3">
      <c r="H30" t="e">
        <f>F30*E30*VLOOKUP(G30,'FX Rates'!A:B,2,FALSE)</f>
        <v>#N/A</v>
      </c>
      <c r="J30">
        <f t="shared" ca="1" si="0"/>
        <v>0</v>
      </c>
    </row>
    <row r="31" spans="8:10" x14ac:dyDescent="0.3">
      <c r="H31" t="e">
        <f>F31*E31*VLOOKUP(G31,'FX Rates'!A:B,2,FALSE)</f>
        <v>#N/A</v>
      </c>
      <c r="J31">
        <f t="shared" ca="1" si="0"/>
        <v>0</v>
      </c>
    </row>
    <row r="32" spans="8:10" x14ac:dyDescent="0.3">
      <c r="H32" t="e">
        <f>F32*E32*VLOOKUP(G32,'FX Rates'!A:B,2,FALSE)</f>
        <v>#N/A</v>
      </c>
      <c r="J32">
        <f t="shared" ca="1" si="0"/>
        <v>0</v>
      </c>
    </row>
    <row r="33" spans="8:10" x14ac:dyDescent="0.3">
      <c r="H33" t="e">
        <f>F33*E33*VLOOKUP(G33,'FX Rates'!A:B,2,FALSE)</f>
        <v>#N/A</v>
      </c>
      <c r="J33">
        <f t="shared" ca="1" si="0"/>
        <v>0</v>
      </c>
    </row>
    <row r="34" spans="8:10" x14ac:dyDescent="0.3">
      <c r="H34" t="e">
        <f>F34*E34*VLOOKUP(G34,'FX Rates'!A:B,2,FALSE)</f>
        <v>#N/A</v>
      </c>
      <c r="J34">
        <f t="shared" ca="1" si="0"/>
        <v>0</v>
      </c>
    </row>
    <row r="35" spans="8:10" x14ac:dyDescent="0.3">
      <c r="H35" t="e">
        <f>F35*E35*VLOOKUP(G35,'FX Rates'!A:B,2,FALSE)</f>
        <v>#N/A</v>
      </c>
      <c r="J35">
        <f t="shared" ca="1" si="0"/>
        <v>0</v>
      </c>
    </row>
    <row r="36" spans="8:10" x14ac:dyDescent="0.3">
      <c r="H36" t="e">
        <f>F36*E36*VLOOKUP(G36,'FX Rates'!A:B,2,FALSE)</f>
        <v>#N/A</v>
      </c>
      <c r="J36">
        <f t="shared" ca="1" si="0"/>
        <v>0</v>
      </c>
    </row>
    <row r="37" spans="8:10" x14ac:dyDescent="0.3">
      <c r="H37" t="e">
        <f>F37*E37*VLOOKUP(G37,'FX Rates'!A:B,2,FALSE)</f>
        <v>#N/A</v>
      </c>
      <c r="J37">
        <f t="shared" ca="1" si="0"/>
        <v>0</v>
      </c>
    </row>
    <row r="38" spans="8:10" x14ac:dyDescent="0.3">
      <c r="H38" t="e">
        <f>F38*E38*VLOOKUP(G38,'FX Rates'!A:B,2,FALSE)</f>
        <v>#N/A</v>
      </c>
      <c r="J38">
        <f t="shared" ca="1" si="0"/>
        <v>0</v>
      </c>
    </row>
    <row r="39" spans="8:10" x14ac:dyDescent="0.3">
      <c r="H39" t="e">
        <f>F39*E39*VLOOKUP(G39,'FX Rates'!A:B,2,FALSE)</f>
        <v>#N/A</v>
      </c>
      <c r="J39">
        <f t="shared" ca="1" si="0"/>
        <v>0</v>
      </c>
    </row>
    <row r="40" spans="8:10" x14ac:dyDescent="0.3">
      <c r="H40" t="e">
        <f>F40*E40*VLOOKUP(G40,'FX Rates'!A:B,2,FALSE)</f>
        <v>#N/A</v>
      </c>
      <c r="J40">
        <f t="shared" ca="1" si="0"/>
        <v>0</v>
      </c>
    </row>
    <row r="41" spans="8:10" x14ac:dyDescent="0.3">
      <c r="H41" t="e">
        <f>F41*E41*VLOOKUP(G41,'FX Rates'!A:B,2,FALSE)</f>
        <v>#N/A</v>
      </c>
      <c r="J41">
        <f t="shared" ca="1" si="0"/>
        <v>0</v>
      </c>
    </row>
    <row r="42" spans="8:10" x14ac:dyDescent="0.3">
      <c r="H42" t="e">
        <f>F42*E42*VLOOKUP(G42,'FX Rates'!A:B,2,FALSE)</f>
        <v>#N/A</v>
      </c>
      <c r="J42">
        <f t="shared" ca="1" si="0"/>
        <v>0</v>
      </c>
    </row>
    <row r="43" spans="8:10" x14ac:dyDescent="0.3">
      <c r="H43" t="e">
        <f>F43*E43*VLOOKUP(G43,'FX Rates'!A:B,2,FALSE)</f>
        <v>#N/A</v>
      </c>
      <c r="J43">
        <f t="shared" ca="1" si="0"/>
        <v>0</v>
      </c>
    </row>
    <row r="44" spans="8:10" x14ac:dyDescent="0.3">
      <c r="H44" t="e">
        <f>F44*E44*VLOOKUP(G44,'FX Rates'!A:B,2,FALSE)</f>
        <v>#N/A</v>
      </c>
      <c r="J44">
        <f t="shared" ca="1" si="0"/>
        <v>0</v>
      </c>
    </row>
    <row r="45" spans="8:10" x14ac:dyDescent="0.3">
      <c r="H45" t="e">
        <f>F45*E45*VLOOKUP(G45,'FX Rates'!A:B,2,FALSE)</f>
        <v>#N/A</v>
      </c>
      <c r="J45">
        <f t="shared" ca="1" si="0"/>
        <v>0</v>
      </c>
    </row>
    <row r="46" spans="8:10" x14ac:dyDescent="0.3">
      <c r="H46" t="e">
        <f>F46*E46*VLOOKUP(G46,'FX Rates'!A:B,2,FALSE)</f>
        <v>#N/A</v>
      </c>
      <c r="J46">
        <f t="shared" ca="1" si="0"/>
        <v>0</v>
      </c>
    </row>
    <row r="47" spans="8:10" x14ac:dyDescent="0.3">
      <c r="H47" t="e">
        <f>F47*E47*VLOOKUP(G47,'FX Rates'!A:B,2,FALSE)</f>
        <v>#N/A</v>
      </c>
      <c r="J47">
        <f t="shared" ca="1" si="0"/>
        <v>0</v>
      </c>
    </row>
    <row r="48" spans="8:10" x14ac:dyDescent="0.3">
      <c r="H48" t="e">
        <f>F48*E48*VLOOKUP(G48,'FX Rates'!A:B,2,FALSE)</f>
        <v>#N/A</v>
      </c>
      <c r="J48">
        <f t="shared" ca="1" si="0"/>
        <v>0</v>
      </c>
    </row>
    <row r="49" spans="8:10" x14ac:dyDescent="0.3">
      <c r="H49" t="e">
        <f>F49*E49*VLOOKUP(G49,'FX Rates'!A:B,2,FALSE)</f>
        <v>#N/A</v>
      </c>
      <c r="J49">
        <f t="shared" ca="1" si="0"/>
        <v>0</v>
      </c>
    </row>
    <row r="50" spans="8:10" x14ac:dyDescent="0.3">
      <c r="H50" t="e">
        <f>F50*E50*VLOOKUP(G50,'FX Rates'!A:B,2,FALSE)</f>
        <v>#N/A</v>
      </c>
      <c r="J50">
        <f t="shared" ca="1" si="0"/>
        <v>0</v>
      </c>
    </row>
    <row r="51" spans="8:10" x14ac:dyDescent="0.3">
      <c r="H51" t="e">
        <f>F51*E51*VLOOKUP(G51,'FX Rates'!A:B,2,FALSE)</f>
        <v>#N/A</v>
      </c>
      <c r="J51">
        <f t="shared" ca="1" si="0"/>
        <v>0</v>
      </c>
    </row>
    <row r="52" spans="8:10" x14ac:dyDescent="0.3">
      <c r="H52" t="e">
        <f>F52*E52*VLOOKUP(G52,'FX Rates'!A:B,2,FALSE)</f>
        <v>#N/A</v>
      </c>
      <c r="J52">
        <f t="shared" ca="1" si="0"/>
        <v>0</v>
      </c>
    </row>
    <row r="53" spans="8:10" x14ac:dyDescent="0.3">
      <c r="H53" t="e">
        <f>F53*E53*VLOOKUP(G53,'FX Rates'!A:B,2,FALSE)</f>
        <v>#N/A</v>
      </c>
      <c r="J53">
        <f t="shared" ca="1" si="0"/>
        <v>0</v>
      </c>
    </row>
    <row r="54" spans="8:10" x14ac:dyDescent="0.3">
      <c r="H54" t="e">
        <f>F54*E54*VLOOKUP(G54,'FX Rates'!A:B,2,FALSE)</f>
        <v>#N/A</v>
      </c>
      <c r="J54">
        <f t="shared" ca="1" si="0"/>
        <v>0</v>
      </c>
    </row>
    <row r="55" spans="8:10" x14ac:dyDescent="0.3">
      <c r="H55" t="e">
        <f>F55*E55*VLOOKUP(G55,'FX Rates'!A:B,2,FALSE)</f>
        <v>#N/A</v>
      </c>
      <c r="J55">
        <f t="shared" ca="1" si="0"/>
        <v>0</v>
      </c>
    </row>
    <row r="56" spans="8:10" x14ac:dyDescent="0.3">
      <c r="H56" t="e">
        <f>F56*E56*VLOOKUP(G56,'FX Rates'!A:B,2,FALSE)</f>
        <v>#N/A</v>
      </c>
      <c r="J56">
        <f t="shared" ca="1" si="0"/>
        <v>0</v>
      </c>
    </row>
    <row r="57" spans="8:10" x14ac:dyDescent="0.3">
      <c r="H57" t="e">
        <f>F57*E57*VLOOKUP(G57,'FX Rates'!A:B,2,FALSE)</f>
        <v>#N/A</v>
      </c>
      <c r="J57">
        <f t="shared" ca="1" si="0"/>
        <v>0</v>
      </c>
    </row>
    <row r="58" spans="8:10" x14ac:dyDescent="0.3">
      <c r="H58" t="e">
        <f>F58*E58*VLOOKUP(G58,'FX Rates'!A:B,2,FALSE)</f>
        <v>#N/A</v>
      </c>
      <c r="J58">
        <f t="shared" ca="1" si="0"/>
        <v>0</v>
      </c>
    </row>
    <row r="59" spans="8:10" x14ac:dyDescent="0.3">
      <c r="H59" t="e">
        <f>F59*E59*VLOOKUP(G59,'FX Rates'!A:B,2,FALSE)</f>
        <v>#N/A</v>
      </c>
      <c r="J59">
        <f t="shared" ca="1" si="0"/>
        <v>0</v>
      </c>
    </row>
    <row r="60" spans="8:10" x14ac:dyDescent="0.3">
      <c r="H60" t="e">
        <f>F60*E60*VLOOKUP(G60,'FX Rates'!A:B,2,FALSE)</f>
        <v>#N/A</v>
      </c>
      <c r="J60">
        <f t="shared" ca="1" si="0"/>
        <v>0</v>
      </c>
    </row>
    <row r="61" spans="8:10" x14ac:dyDescent="0.3">
      <c r="H61" t="e">
        <f>F61*E61*VLOOKUP(G61,'FX Rates'!A:B,2,FALSE)</f>
        <v>#N/A</v>
      </c>
      <c r="J61">
        <f t="shared" ca="1" si="0"/>
        <v>0</v>
      </c>
    </row>
    <row r="62" spans="8:10" x14ac:dyDescent="0.3">
      <c r="H62" t="e">
        <f>F62*E62*VLOOKUP(G62,'FX Rates'!A:B,2,FALSE)</f>
        <v>#N/A</v>
      </c>
      <c r="J62">
        <f t="shared" ca="1" si="0"/>
        <v>0</v>
      </c>
    </row>
    <row r="63" spans="8:10" x14ac:dyDescent="0.3">
      <c r="H63" t="e">
        <f>F63*E63*VLOOKUP(G63,'FX Rates'!A:B,2,FALSE)</f>
        <v>#N/A</v>
      </c>
      <c r="J63">
        <f t="shared" ca="1" si="0"/>
        <v>0</v>
      </c>
    </row>
    <row r="64" spans="8:10" x14ac:dyDescent="0.3">
      <c r="H64" t="e">
        <f>F64*E64*VLOOKUP(G64,'FX Rates'!A:B,2,FALSE)</f>
        <v>#N/A</v>
      </c>
      <c r="J64">
        <f t="shared" ca="1" si="0"/>
        <v>0</v>
      </c>
    </row>
    <row r="65" spans="8:10" x14ac:dyDescent="0.3">
      <c r="H65" t="e">
        <f>F65*E65*VLOOKUP(G65,'FX Rates'!A:B,2,FALSE)</f>
        <v>#N/A</v>
      </c>
      <c r="J65">
        <f t="shared" ca="1" si="0"/>
        <v>0</v>
      </c>
    </row>
    <row r="66" spans="8:10" x14ac:dyDescent="0.3">
      <c r="H66" t="e">
        <f>F66*E66*VLOOKUP(G66,'FX Rates'!A:B,2,FALSE)</f>
        <v>#N/A</v>
      </c>
      <c r="J66">
        <f t="shared" ref="J66:J129" ca="1" si="1">IF(I66="",0,TODAY()-I66)</f>
        <v>0</v>
      </c>
    </row>
    <row r="67" spans="8:10" x14ac:dyDescent="0.3">
      <c r="H67" t="e">
        <f>F67*E67*VLOOKUP(G67,'FX Rates'!A:B,2,FALSE)</f>
        <v>#N/A</v>
      </c>
      <c r="J67">
        <f t="shared" ca="1" si="1"/>
        <v>0</v>
      </c>
    </row>
    <row r="68" spans="8:10" x14ac:dyDescent="0.3">
      <c r="H68" t="e">
        <f>F68*E68*VLOOKUP(G68,'FX Rates'!A:B,2,FALSE)</f>
        <v>#N/A</v>
      </c>
      <c r="J68">
        <f t="shared" ca="1" si="1"/>
        <v>0</v>
      </c>
    </row>
    <row r="69" spans="8:10" x14ac:dyDescent="0.3">
      <c r="H69" t="e">
        <f>F69*E69*VLOOKUP(G69,'FX Rates'!A:B,2,FALSE)</f>
        <v>#N/A</v>
      </c>
      <c r="J69">
        <f t="shared" ca="1" si="1"/>
        <v>0</v>
      </c>
    </row>
    <row r="70" spans="8:10" x14ac:dyDescent="0.3">
      <c r="H70" t="e">
        <f>F70*E70*VLOOKUP(G70,'FX Rates'!A:B,2,FALSE)</f>
        <v>#N/A</v>
      </c>
      <c r="J70">
        <f t="shared" ca="1" si="1"/>
        <v>0</v>
      </c>
    </row>
    <row r="71" spans="8:10" x14ac:dyDescent="0.3">
      <c r="H71" t="e">
        <f>F71*E71*VLOOKUP(G71,'FX Rates'!A:B,2,FALSE)</f>
        <v>#N/A</v>
      </c>
      <c r="J71">
        <f t="shared" ca="1" si="1"/>
        <v>0</v>
      </c>
    </row>
    <row r="72" spans="8:10" x14ac:dyDescent="0.3">
      <c r="H72" t="e">
        <f>F72*E72*VLOOKUP(G72,'FX Rates'!A:B,2,FALSE)</f>
        <v>#N/A</v>
      </c>
      <c r="J72">
        <f t="shared" ca="1" si="1"/>
        <v>0</v>
      </c>
    </row>
    <row r="73" spans="8:10" x14ac:dyDescent="0.3">
      <c r="H73" t="e">
        <f>F73*E73*VLOOKUP(G73,'FX Rates'!A:B,2,FALSE)</f>
        <v>#N/A</v>
      </c>
      <c r="J73">
        <f t="shared" ca="1" si="1"/>
        <v>0</v>
      </c>
    </row>
    <row r="74" spans="8:10" x14ac:dyDescent="0.3">
      <c r="H74" t="e">
        <f>F74*E74*VLOOKUP(G74,'FX Rates'!A:B,2,FALSE)</f>
        <v>#N/A</v>
      </c>
      <c r="J74">
        <f t="shared" ca="1" si="1"/>
        <v>0</v>
      </c>
    </row>
    <row r="75" spans="8:10" x14ac:dyDescent="0.3">
      <c r="H75" t="e">
        <f>F75*E75*VLOOKUP(G75,'FX Rates'!A:B,2,FALSE)</f>
        <v>#N/A</v>
      </c>
      <c r="J75">
        <f t="shared" ca="1" si="1"/>
        <v>0</v>
      </c>
    </row>
    <row r="76" spans="8:10" x14ac:dyDescent="0.3">
      <c r="H76" t="e">
        <f>F76*E76*VLOOKUP(G76,'FX Rates'!A:B,2,FALSE)</f>
        <v>#N/A</v>
      </c>
      <c r="J76">
        <f t="shared" ca="1" si="1"/>
        <v>0</v>
      </c>
    </row>
    <row r="77" spans="8:10" x14ac:dyDescent="0.3">
      <c r="H77" t="e">
        <f>F77*E77*VLOOKUP(G77,'FX Rates'!A:B,2,FALSE)</f>
        <v>#N/A</v>
      </c>
      <c r="J77">
        <f t="shared" ca="1" si="1"/>
        <v>0</v>
      </c>
    </row>
    <row r="78" spans="8:10" x14ac:dyDescent="0.3">
      <c r="H78" t="e">
        <f>F78*E78*VLOOKUP(G78,'FX Rates'!A:B,2,FALSE)</f>
        <v>#N/A</v>
      </c>
      <c r="J78">
        <f t="shared" ca="1" si="1"/>
        <v>0</v>
      </c>
    </row>
    <row r="79" spans="8:10" x14ac:dyDescent="0.3">
      <c r="H79" t="e">
        <f>F79*E79*VLOOKUP(G79,'FX Rates'!A:B,2,FALSE)</f>
        <v>#N/A</v>
      </c>
      <c r="J79">
        <f t="shared" ca="1" si="1"/>
        <v>0</v>
      </c>
    </row>
    <row r="80" spans="8:10" x14ac:dyDescent="0.3">
      <c r="H80" t="e">
        <f>F80*E80*VLOOKUP(G80,'FX Rates'!A:B,2,FALSE)</f>
        <v>#N/A</v>
      </c>
      <c r="J80">
        <f t="shared" ca="1" si="1"/>
        <v>0</v>
      </c>
    </row>
    <row r="81" spans="8:10" x14ac:dyDescent="0.3">
      <c r="H81" t="e">
        <f>F81*E81*VLOOKUP(G81,'FX Rates'!A:B,2,FALSE)</f>
        <v>#N/A</v>
      </c>
      <c r="J81">
        <f t="shared" ca="1" si="1"/>
        <v>0</v>
      </c>
    </row>
    <row r="82" spans="8:10" x14ac:dyDescent="0.3">
      <c r="H82" t="e">
        <f>F82*E82*VLOOKUP(G82,'FX Rates'!A:B,2,FALSE)</f>
        <v>#N/A</v>
      </c>
      <c r="J82">
        <f t="shared" ca="1" si="1"/>
        <v>0</v>
      </c>
    </row>
    <row r="83" spans="8:10" x14ac:dyDescent="0.3">
      <c r="H83" t="e">
        <f>F83*E83*VLOOKUP(G83,'FX Rates'!A:B,2,FALSE)</f>
        <v>#N/A</v>
      </c>
      <c r="J83">
        <f t="shared" ca="1" si="1"/>
        <v>0</v>
      </c>
    </row>
    <row r="84" spans="8:10" x14ac:dyDescent="0.3">
      <c r="H84" t="e">
        <f>F84*E84*VLOOKUP(G84,'FX Rates'!A:B,2,FALSE)</f>
        <v>#N/A</v>
      </c>
      <c r="J84">
        <f t="shared" ca="1" si="1"/>
        <v>0</v>
      </c>
    </row>
    <row r="85" spans="8:10" x14ac:dyDescent="0.3">
      <c r="H85" t="e">
        <f>F85*E85*VLOOKUP(G85,'FX Rates'!A:B,2,FALSE)</f>
        <v>#N/A</v>
      </c>
      <c r="J85">
        <f t="shared" ca="1" si="1"/>
        <v>0</v>
      </c>
    </row>
    <row r="86" spans="8:10" x14ac:dyDescent="0.3">
      <c r="H86" t="e">
        <f>F86*E86*VLOOKUP(G86,'FX Rates'!A:B,2,FALSE)</f>
        <v>#N/A</v>
      </c>
      <c r="J86">
        <f t="shared" ca="1" si="1"/>
        <v>0</v>
      </c>
    </row>
    <row r="87" spans="8:10" x14ac:dyDescent="0.3">
      <c r="H87" t="e">
        <f>F87*E87*VLOOKUP(G87,'FX Rates'!A:B,2,FALSE)</f>
        <v>#N/A</v>
      </c>
      <c r="J87">
        <f t="shared" ca="1" si="1"/>
        <v>0</v>
      </c>
    </row>
    <row r="88" spans="8:10" x14ac:dyDescent="0.3">
      <c r="H88" t="e">
        <f>F88*E88*VLOOKUP(G88,'FX Rates'!A:B,2,FALSE)</f>
        <v>#N/A</v>
      </c>
      <c r="J88">
        <f t="shared" ca="1" si="1"/>
        <v>0</v>
      </c>
    </row>
    <row r="89" spans="8:10" x14ac:dyDescent="0.3">
      <c r="H89" t="e">
        <f>F89*E89*VLOOKUP(G89,'FX Rates'!A:B,2,FALSE)</f>
        <v>#N/A</v>
      </c>
      <c r="J89">
        <f t="shared" ca="1" si="1"/>
        <v>0</v>
      </c>
    </row>
    <row r="90" spans="8:10" x14ac:dyDescent="0.3">
      <c r="H90" t="e">
        <f>F90*E90*VLOOKUP(G90,'FX Rates'!A:B,2,FALSE)</f>
        <v>#N/A</v>
      </c>
      <c r="J90">
        <f t="shared" ca="1" si="1"/>
        <v>0</v>
      </c>
    </row>
    <row r="91" spans="8:10" x14ac:dyDescent="0.3">
      <c r="H91" t="e">
        <f>F91*E91*VLOOKUP(G91,'FX Rates'!A:B,2,FALSE)</f>
        <v>#N/A</v>
      </c>
      <c r="J91">
        <f t="shared" ca="1" si="1"/>
        <v>0</v>
      </c>
    </row>
    <row r="92" spans="8:10" x14ac:dyDescent="0.3">
      <c r="H92" t="e">
        <f>F92*E92*VLOOKUP(G92,'FX Rates'!A:B,2,FALSE)</f>
        <v>#N/A</v>
      </c>
      <c r="J92">
        <f t="shared" ca="1" si="1"/>
        <v>0</v>
      </c>
    </row>
    <row r="93" spans="8:10" x14ac:dyDescent="0.3">
      <c r="H93" t="e">
        <f>F93*E93*VLOOKUP(G93,'FX Rates'!A:B,2,FALSE)</f>
        <v>#N/A</v>
      </c>
      <c r="J93">
        <f t="shared" ca="1" si="1"/>
        <v>0</v>
      </c>
    </row>
    <row r="94" spans="8:10" x14ac:dyDescent="0.3">
      <c r="H94" t="e">
        <f>F94*E94*VLOOKUP(G94,'FX Rates'!A:B,2,FALSE)</f>
        <v>#N/A</v>
      </c>
      <c r="J94">
        <f t="shared" ca="1" si="1"/>
        <v>0</v>
      </c>
    </row>
    <row r="95" spans="8:10" x14ac:dyDescent="0.3">
      <c r="H95" t="e">
        <f>F95*E95*VLOOKUP(G95,'FX Rates'!A:B,2,FALSE)</f>
        <v>#N/A</v>
      </c>
      <c r="J95">
        <f t="shared" ca="1" si="1"/>
        <v>0</v>
      </c>
    </row>
    <row r="96" spans="8:10" x14ac:dyDescent="0.3">
      <c r="H96" t="e">
        <f>F96*E96*VLOOKUP(G96,'FX Rates'!A:B,2,FALSE)</f>
        <v>#N/A</v>
      </c>
      <c r="J96">
        <f t="shared" ca="1" si="1"/>
        <v>0</v>
      </c>
    </row>
    <row r="97" spans="8:10" x14ac:dyDescent="0.3">
      <c r="H97" t="e">
        <f>F97*E97*VLOOKUP(G97,'FX Rates'!A:B,2,FALSE)</f>
        <v>#N/A</v>
      </c>
      <c r="J97">
        <f t="shared" ca="1" si="1"/>
        <v>0</v>
      </c>
    </row>
    <row r="98" spans="8:10" x14ac:dyDescent="0.3">
      <c r="H98" t="e">
        <f>F98*E98*VLOOKUP(G98,'FX Rates'!A:B,2,FALSE)</f>
        <v>#N/A</v>
      </c>
      <c r="J98">
        <f t="shared" ca="1" si="1"/>
        <v>0</v>
      </c>
    </row>
    <row r="99" spans="8:10" x14ac:dyDescent="0.3">
      <c r="H99" t="e">
        <f>F99*E99*VLOOKUP(G99,'FX Rates'!A:B,2,FALSE)</f>
        <v>#N/A</v>
      </c>
      <c r="J99">
        <f t="shared" ca="1" si="1"/>
        <v>0</v>
      </c>
    </row>
    <row r="100" spans="8:10" x14ac:dyDescent="0.3">
      <c r="H100" t="e">
        <f>F100*E100*VLOOKUP(G100,'FX Rates'!A:B,2,FALSE)</f>
        <v>#N/A</v>
      </c>
      <c r="J100">
        <f t="shared" ca="1" si="1"/>
        <v>0</v>
      </c>
    </row>
    <row r="101" spans="8:10" x14ac:dyDescent="0.3">
      <c r="H101" t="e">
        <f>F101*E101*VLOOKUP(G101,'FX Rates'!A:B,2,FALSE)</f>
        <v>#N/A</v>
      </c>
      <c r="J101">
        <f t="shared" ca="1" si="1"/>
        <v>0</v>
      </c>
    </row>
    <row r="102" spans="8:10" x14ac:dyDescent="0.3">
      <c r="H102" t="e">
        <f>F102*E102*VLOOKUP(G102,'FX Rates'!A:B,2,FALSE)</f>
        <v>#N/A</v>
      </c>
      <c r="J102">
        <f t="shared" ca="1" si="1"/>
        <v>0</v>
      </c>
    </row>
    <row r="103" spans="8:10" x14ac:dyDescent="0.3">
      <c r="H103" t="e">
        <f>F103*E103*VLOOKUP(G103,'FX Rates'!A:B,2,FALSE)</f>
        <v>#N/A</v>
      </c>
      <c r="J103">
        <f t="shared" ca="1" si="1"/>
        <v>0</v>
      </c>
    </row>
    <row r="104" spans="8:10" x14ac:dyDescent="0.3">
      <c r="H104" t="e">
        <f>F104*E104*VLOOKUP(G104,'FX Rates'!A:B,2,FALSE)</f>
        <v>#N/A</v>
      </c>
      <c r="J104">
        <f t="shared" ca="1" si="1"/>
        <v>0</v>
      </c>
    </row>
    <row r="105" spans="8:10" x14ac:dyDescent="0.3">
      <c r="H105" t="e">
        <f>F105*E105*VLOOKUP(G105,'FX Rates'!A:B,2,FALSE)</f>
        <v>#N/A</v>
      </c>
      <c r="J105">
        <f t="shared" ca="1" si="1"/>
        <v>0</v>
      </c>
    </row>
    <row r="106" spans="8:10" x14ac:dyDescent="0.3">
      <c r="H106" t="e">
        <f>F106*E106*VLOOKUP(G106,'FX Rates'!A:B,2,FALSE)</f>
        <v>#N/A</v>
      </c>
      <c r="J106">
        <f t="shared" ca="1" si="1"/>
        <v>0</v>
      </c>
    </row>
    <row r="107" spans="8:10" x14ac:dyDescent="0.3">
      <c r="H107" t="e">
        <f>F107*E107*VLOOKUP(G107,'FX Rates'!A:B,2,FALSE)</f>
        <v>#N/A</v>
      </c>
      <c r="J107">
        <f t="shared" ca="1" si="1"/>
        <v>0</v>
      </c>
    </row>
    <row r="108" spans="8:10" x14ac:dyDescent="0.3">
      <c r="H108" t="e">
        <f>F108*E108*VLOOKUP(G108,'FX Rates'!A:B,2,FALSE)</f>
        <v>#N/A</v>
      </c>
      <c r="J108">
        <f t="shared" ca="1" si="1"/>
        <v>0</v>
      </c>
    </row>
    <row r="109" spans="8:10" x14ac:dyDescent="0.3">
      <c r="H109" t="e">
        <f>F109*E109*VLOOKUP(G109,'FX Rates'!A:B,2,FALSE)</f>
        <v>#N/A</v>
      </c>
      <c r="J109">
        <f t="shared" ca="1" si="1"/>
        <v>0</v>
      </c>
    </row>
    <row r="110" spans="8:10" x14ac:dyDescent="0.3">
      <c r="H110" t="e">
        <f>F110*E110*VLOOKUP(G110,'FX Rates'!A:B,2,FALSE)</f>
        <v>#N/A</v>
      </c>
      <c r="J110">
        <f t="shared" ca="1" si="1"/>
        <v>0</v>
      </c>
    </row>
    <row r="111" spans="8:10" x14ac:dyDescent="0.3">
      <c r="H111" t="e">
        <f>F111*E111*VLOOKUP(G111,'FX Rates'!A:B,2,FALSE)</f>
        <v>#N/A</v>
      </c>
      <c r="J111">
        <f t="shared" ca="1" si="1"/>
        <v>0</v>
      </c>
    </row>
    <row r="112" spans="8:10" x14ac:dyDescent="0.3">
      <c r="H112" t="e">
        <f>F112*E112*VLOOKUP(G112,'FX Rates'!A:B,2,FALSE)</f>
        <v>#N/A</v>
      </c>
      <c r="J112">
        <f t="shared" ca="1" si="1"/>
        <v>0</v>
      </c>
    </row>
    <row r="113" spans="8:10" x14ac:dyDescent="0.3">
      <c r="H113" t="e">
        <f>F113*E113*VLOOKUP(G113,'FX Rates'!A:B,2,FALSE)</f>
        <v>#N/A</v>
      </c>
      <c r="J113">
        <f t="shared" ca="1" si="1"/>
        <v>0</v>
      </c>
    </row>
    <row r="114" spans="8:10" x14ac:dyDescent="0.3">
      <c r="H114" t="e">
        <f>F114*E114*VLOOKUP(G114,'FX Rates'!A:B,2,FALSE)</f>
        <v>#N/A</v>
      </c>
      <c r="J114">
        <f t="shared" ca="1" si="1"/>
        <v>0</v>
      </c>
    </row>
    <row r="115" spans="8:10" x14ac:dyDescent="0.3">
      <c r="H115" t="e">
        <f>F115*E115*VLOOKUP(G115,'FX Rates'!A:B,2,FALSE)</f>
        <v>#N/A</v>
      </c>
      <c r="J115">
        <f t="shared" ca="1" si="1"/>
        <v>0</v>
      </c>
    </row>
    <row r="116" spans="8:10" x14ac:dyDescent="0.3">
      <c r="H116" t="e">
        <f>F116*E116*VLOOKUP(G116,'FX Rates'!A:B,2,FALSE)</f>
        <v>#N/A</v>
      </c>
      <c r="J116">
        <f t="shared" ca="1" si="1"/>
        <v>0</v>
      </c>
    </row>
    <row r="117" spans="8:10" x14ac:dyDescent="0.3">
      <c r="H117" t="e">
        <f>F117*E117*VLOOKUP(G117,'FX Rates'!A:B,2,FALSE)</f>
        <v>#N/A</v>
      </c>
      <c r="J117">
        <f t="shared" ca="1" si="1"/>
        <v>0</v>
      </c>
    </row>
    <row r="118" spans="8:10" x14ac:dyDescent="0.3">
      <c r="H118" t="e">
        <f>F118*E118*VLOOKUP(G118,'FX Rates'!A:B,2,FALSE)</f>
        <v>#N/A</v>
      </c>
      <c r="J118">
        <f t="shared" ca="1" si="1"/>
        <v>0</v>
      </c>
    </row>
    <row r="119" spans="8:10" x14ac:dyDescent="0.3">
      <c r="H119" t="e">
        <f>F119*E119*VLOOKUP(G119,'FX Rates'!A:B,2,FALSE)</f>
        <v>#N/A</v>
      </c>
      <c r="J119">
        <f t="shared" ca="1" si="1"/>
        <v>0</v>
      </c>
    </row>
    <row r="120" spans="8:10" x14ac:dyDescent="0.3">
      <c r="H120" t="e">
        <f>F120*E120*VLOOKUP(G120,'FX Rates'!A:B,2,FALSE)</f>
        <v>#N/A</v>
      </c>
      <c r="J120">
        <f t="shared" ca="1" si="1"/>
        <v>0</v>
      </c>
    </row>
    <row r="121" spans="8:10" x14ac:dyDescent="0.3">
      <c r="H121" t="e">
        <f>F121*E121*VLOOKUP(G121,'FX Rates'!A:B,2,FALSE)</f>
        <v>#N/A</v>
      </c>
      <c r="J121">
        <f t="shared" ca="1" si="1"/>
        <v>0</v>
      </c>
    </row>
    <row r="122" spans="8:10" x14ac:dyDescent="0.3">
      <c r="H122" t="e">
        <f>F122*E122*VLOOKUP(G122,'FX Rates'!A:B,2,FALSE)</f>
        <v>#N/A</v>
      </c>
      <c r="J122">
        <f t="shared" ca="1" si="1"/>
        <v>0</v>
      </c>
    </row>
    <row r="123" spans="8:10" x14ac:dyDescent="0.3">
      <c r="H123" t="e">
        <f>F123*E123*VLOOKUP(G123,'FX Rates'!A:B,2,FALSE)</f>
        <v>#N/A</v>
      </c>
      <c r="J123">
        <f t="shared" ca="1" si="1"/>
        <v>0</v>
      </c>
    </row>
    <row r="124" spans="8:10" x14ac:dyDescent="0.3">
      <c r="H124" t="e">
        <f>F124*E124*VLOOKUP(G124,'FX Rates'!A:B,2,FALSE)</f>
        <v>#N/A</v>
      </c>
      <c r="J124">
        <f t="shared" ca="1" si="1"/>
        <v>0</v>
      </c>
    </row>
    <row r="125" spans="8:10" x14ac:dyDescent="0.3">
      <c r="H125" t="e">
        <f>F125*E125*VLOOKUP(G125,'FX Rates'!A:B,2,FALSE)</f>
        <v>#N/A</v>
      </c>
      <c r="J125">
        <f t="shared" ca="1" si="1"/>
        <v>0</v>
      </c>
    </row>
    <row r="126" spans="8:10" x14ac:dyDescent="0.3">
      <c r="H126" t="e">
        <f>F126*E126*VLOOKUP(G126,'FX Rates'!A:B,2,FALSE)</f>
        <v>#N/A</v>
      </c>
      <c r="J126">
        <f t="shared" ca="1" si="1"/>
        <v>0</v>
      </c>
    </row>
    <row r="127" spans="8:10" x14ac:dyDescent="0.3">
      <c r="H127" t="e">
        <f>F127*E127*VLOOKUP(G127,'FX Rates'!A:B,2,FALSE)</f>
        <v>#N/A</v>
      </c>
      <c r="J127">
        <f t="shared" ca="1" si="1"/>
        <v>0</v>
      </c>
    </row>
    <row r="128" spans="8:10" x14ac:dyDescent="0.3">
      <c r="H128" t="e">
        <f>F128*E128*VLOOKUP(G128,'FX Rates'!A:B,2,FALSE)</f>
        <v>#N/A</v>
      </c>
      <c r="J128">
        <f t="shared" ca="1" si="1"/>
        <v>0</v>
      </c>
    </row>
    <row r="129" spans="8:10" x14ac:dyDescent="0.3">
      <c r="H129" t="e">
        <f>F129*E129*VLOOKUP(G129,'FX Rates'!A:B,2,FALSE)</f>
        <v>#N/A</v>
      </c>
      <c r="J129">
        <f t="shared" ca="1" si="1"/>
        <v>0</v>
      </c>
    </row>
    <row r="130" spans="8:10" x14ac:dyDescent="0.3">
      <c r="H130" t="e">
        <f>F130*E130*VLOOKUP(G130,'FX Rates'!A:B,2,FALSE)</f>
        <v>#N/A</v>
      </c>
      <c r="J130">
        <f t="shared" ref="J130:J193" ca="1" si="2">IF(I130="",0,TODAY()-I130)</f>
        <v>0</v>
      </c>
    </row>
    <row r="131" spans="8:10" x14ac:dyDescent="0.3">
      <c r="H131" t="e">
        <f>F131*E131*VLOOKUP(G131,'FX Rates'!A:B,2,FALSE)</f>
        <v>#N/A</v>
      </c>
      <c r="J131">
        <f t="shared" ca="1" si="2"/>
        <v>0</v>
      </c>
    </row>
    <row r="132" spans="8:10" x14ac:dyDescent="0.3">
      <c r="H132" t="e">
        <f>F132*E132*VLOOKUP(G132,'FX Rates'!A:B,2,FALSE)</f>
        <v>#N/A</v>
      </c>
      <c r="J132">
        <f t="shared" ca="1" si="2"/>
        <v>0</v>
      </c>
    </row>
    <row r="133" spans="8:10" x14ac:dyDescent="0.3">
      <c r="H133" t="e">
        <f>F133*E133*VLOOKUP(G133,'FX Rates'!A:B,2,FALSE)</f>
        <v>#N/A</v>
      </c>
      <c r="J133">
        <f t="shared" ca="1" si="2"/>
        <v>0</v>
      </c>
    </row>
    <row r="134" spans="8:10" x14ac:dyDescent="0.3">
      <c r="H134" t="e">
        <f>F134*E134*VLOOKUP(G134,'FX Rates'!A:B,2,FALSE)</f>
        <v>#N/A</v>
      </c>
      <c r="J134">
        <f t="shared" ca="1" si="2"/>
        <v>0</v>
      </c>
    </row>
    <row r="135" spans="8:10" x14ac:dyDescent="0.3">
      <c r="H135" t="e">
        <f>F135*E135*VLOOKUP(G135,'FX Rates'!A:B,2,FALSE)</f>
        <v>#N/A</v>
      </c>
      <c r="J135">
        <f t="shared" ca="1" si="2"/>
        <v>0</v>
      </c>
    </row>
    <row r="136" spans="8:10" x14ac:dyDescent="0.3">
      <c r="H136" t="e">
        <f>F136*E136*VLOOKUP(G136,'FX Rates'!A:B,2,FALSE)</f>
        <v>#N/A</v>
      </c>
      <c r="J136">
        <f t="shared" ca="1" si="2"/>
        <v>0</v>
      </c>
    </row>
    <row r="137" spans="8:10" x14ac:dyDescent="0.3">
      <c r="H137" t="e">
        <f>F137*E137*VLOOKUP(G137,'FX Rates'!A:B,2,FALSE)</f>
        <v>#N/A</v>
      </c>
      <c r="J137">
        <f t="shared" ca="1" si="2"/>
        <v>0</v>
      </c>
    </row>
    <row r="138" spans="8:10" x14ac:dyDescent="0.3">
      <c r="H138" t="e">
        <f>F138*E138*VLOOKUP(G138,'FX Rates'!A:B,2,FALSE)</f>
        <v>#N/A</v>
      </c>
      <c r="J138">
        <f t="shared" ca="1" si="2"/>
        <v>0</v>
      </c>
    </row>
    <row r="139" spans="8:10" x14ac:dyDescent="0.3">
      <c r="H139" t="e">
        <f>F139*E139*VLOOKUP(G139,'FX Rates'!A:B,2,FALSE)</f>
        <v>#N/A</v>
      </c>
      <c r="J139">
        <f t="shared" ca="1" si="2"/>
        <v>0</v>
      </c>
    </row>
    <row r="140" spans="8:10" x14ac:dyDescent="0.3">
      <c r="H140" t="e">
        <f>F140*E140*VLOOKUP(G140,'FX Rates'!A:B,2,FALSE)</f>
        <v>#N/A</v>
      </c>
      <c r="J140">
        <f t="shared" ca="1" si="2"/>
        <v>0</v>
      </c>
    </row>
    <row r="141" spans="8:10" x14ac:dyDescent="0.3">
      <c r="H141" t="e">
        <f>F141*E141*VLOOKUP(G141,'FX Rates'!A:B,2,FALSE)</f>
        <v>#N/A</v>
      </c>
      <c r="J141">
        <f t="shared" ca="1" si="2"/>
        <v>0</v>
      </c>
    </row>
    <row r="142" spans="8:10" x14ac:dyDescent="0.3">
      <c r="H142" t="e">
        <f>F142*E142*VLOOKUP(G142,'FX Rates'!A:B,2,FALSE)</f>
        <v>#N/A</v>
      </c>
      <c r="J142">
        <f t="shared" ca="1" si="2"/>
        <v>0</v>
      </c>
    </row>
    <row r="143" spans="8:10" x14ac:dyDescent="0.3">
      <c r="H143" t="e">
        <f>F143*E143*VLOOKUP(G143,'FX Rates'!A:B,2,FALSE)</f>
        <v>#N/A</v>
      </c>
      <c r="J143">
        <f t="shared" ca="1" si="2"/>
        <v>0</v>
      </c>
    </row>
    <row r="144" spans="8:10" x14ac:dyDescent="0.3">
      <c r="H144" t="e">
        <f>F144*E144*VLOOKUP(G144,'FX Rates'!A:B,2,FALSE)</f>
        <v>#N/A</v>
      </c>
      <c r="J144">
        <f t="shared" ca="1" si="2"/>
        <v>0</v>
      </c>
    </row>
    <row r="145" spans="8:10" x14ac:dyDescent="0.3">
      <c r="H145" t="e">
        <f>F145*E145*VLOOKUP(G145,'FX Rates'!A:B,2,FALSE)</f>
        <v>#N/A</v>
      </c>
      <c r="J145">
        <f t="shared" ca="1" si="2"/>
        <v>0</v>
      </c>
    </row>
    <row r="146" spans="8:10" x14ac:dyDescent="0.3">
      <c r="H146" t="e">
        <f>F146*E146*VLOOKUP(G146,'FX Rates'!A:B,2,FALSE)</f>
        <v>#N/A</v>
      </c>
      <c r="J146">
        <f t="shared" ca="1" si="2"/>
        <v>0</v>
      </c>
    </row>
    <row r="147" spans="8:10" x14ac:dyDescent="0.3">
      <c r="H147" t="e">
        <f>F147*E147*VLOOKUP(G147,'FX Rates'!A:B,2,FALSE)</f>
        <v>#N/A</v>
      </c>
      <c r="J147">
        <f t="shared" ca="1" si="2"/>
        <v>0</v>
      </c>
    </row>
    <row r="148" spans="8:10" x14ac:dyDescent="0.3">
      <c r="H148" t="e">
        <f>F148*E148*VLOOKUP(G148,'FX Rates'!A:B,2,FALSE)</f>
        <v>#N/A</v>
      </c>
      <c r="J148">
        <f t="shared" ca="1" si="2"/>
        <v>0</v>
      </c>
    </row>
    <row r="149" spans="8:10" x14ac:dyDescent="0.3">
      <c r="H149" t="e">
        <f>F149*E149*VLOOKUP(G149,'FX Rates'!A:B,2,FALSE)</f>
        <v>#N/A</v>
      </c>
      <c r="J149">
        <f t="shared" ca="1" si="2"/>
        <v>0</v>
      </c>
    </row>
    <row r="150" spans="8:10" x14ac:dyDescent="0.3">
      <c r="H150" t="e">
        <f>F150*E150*VLOOKUP(G150,'FX Rates'!A:B,2,FALSE)</f>
        <v>#N/A</v>
      </c>
      <c r="J150">
        <f t="shared" ca="1" si="2"/>
        <v>0</v>
      </c>
    </row>
    <row r="151" spans="8:10" x14ac:dyDescent="0.3">
      <c r="H151" t="e">
        <f>F151*E151*VLOOKUP(G151,'FX Rates'!A:B,2,FALSE)</f>
        <v>#N/A</v>
      </c>
      <c r="J151">
        <f t="shared" ca="1" si="2"/>
        <v>0</v>
      </c>
    </row>
    <row r="152" spans="8:10" x14ac:dyDescent="0.3">
      <c r="H152" t="e">
        <f>F152*E152*VLOOKUP(G152,'FX Rates'!A:B,2,FALSE)</f>
        <v>#N/A</v>
      </c>
      <c r="J152">
        <f t="shared" ca="1" si="2"/>
        <v>0</v>
      </c>
    </row>
    <row r="153" spans="8:10" x14ac:dyDescent="0.3">
      <c r="H153" t="e">
        <f>F153*E153*VLOOKUP(G153,'FX Rates'!A:B,2,FALSE)</f>
        <v>#N/A</v>
      </c>
      <c r="J153">
        <f t="shared" ca="1" si="2"/>
        <v>0</v>
      </c>
    </row>
    <row r="154" spans="8:10" x14ac:dyDescent="0.3">
      <c r="H154" t="e">
        <f>F154*E154*VLOOKUP(G154,'FX Rates'!A:B,2,FALSE)</f>
        <v>#N/A</v>
      </c>
      <c r="J154">
        <f t="shared" ca="1" si="2"/>
        <v>0</v>
      </c>
    </row>
    <row r="155" spans="8:10" x14ac:dyDescent="0.3">
      <c r="H155" t="e">
        <f>F155*E155*VLOOKUP(G155,'FX Rates'!A:B,2,FALSE)</f>
        <v>#N/A</v>
      </c>
      <c r="J155">
        <f t="shared" ca="1" si="2"/>
        <v>0</v>
      </c>
    </row>
    <row r="156" spans="8:10" x14ac:dyDescent="0.3">
      <c r="H156" t="e">
        <f>F156*E156*VLOOKUP(G156,'FX Rates'!A:B,2,FALSE)</f>
        <v>#N/A</v>
      </c>
      <c r="J156">
        <f t="shared" ca="1" si="2"/>
        <v>0</v>
      </c>
    </row>
    <row r="157" spans="8:10" x14ac:dyDescent="0.3">
      <c r="H157" t="e">
        <f>F157*E157*VLOOKUP(G157,'FX Rates'!A:B,2,FALSE)</f>
        <v>#N/A</v>
      </c>
      <c r="J157">
        <f t="shared" ca="1" si="2"/>
        <v>0</v>
      </c>
    </row>
    <row r="158" spans="8:10" x14ac:dyDescent="0.3">
      <c r="H158" t="e">
        <f>F158*E158*VLOOKUP(G158,'FX Rates'!A:B,2,FALSE)</f>
        <v>#N/A</v>
      </c>
      <c r="J158">
        <f t="shared" ca="1" si="2"/>
        <v>0</v>
      </c>
    </row>
    <row r="159" spans="8:10" x14ac:dyDescent="0.3">
      <c r="H159" t="e">
        <f>F159*E159*VLOOKUP(G159,'FX Rates'!A:B,2,FALSE)</f>
        <v>#N/A</v>
      </c>
      <c r="J159">
        <f t="shared" ca="1" si="2"/>
        <v>0</v>
      </c>
    </row>
    <row r="160" spans="8:10" x14ac:dyDescent="0.3">
      <c r="H160" t="e">
        <f>F160*E160*VLOOKUP(G160,'FX Rates'!A:B,2,FALSE)</f>
        <v>#N/A</v>
      </c>
      <c r="J160">
        <f t="shared" ca="1" si="2"/>
        <v>0</v>
      </c>
    </row>
    <row r="161" spans="8:10" x14ac:dyDescent="0.3">
      <c r="H161" t="e">
        <f>F161*E161*VLOOKUP(G161,'FX Rates'!A:B,2,FALSE)</f>
        <v>#N/A</v>
      </c>
      <c r="J161">
        <f t="shared" ca="1" si="2"/>
        <v>0</v>
      </c>
    </row>
    <row r="162" spans="8:10" x14ac:dyDescent="0.3">
      <c r="H162" t="e">
        <f>F162*E162*VLOOKUP(G162,'FX Rates'!A:B,2,FALSE)</f>
        <v>#N/A</v>
      </c>
      <c r="J162">
        <f t="shared" ca="1" si="2"/>
        <v>0</v>
      </c>
    </row>
    <row r="163" spans="8:10" x14ac:dyDescent="0.3">
      <c r="H163" t="e">
        <f>F163*E163*VLOOKUP(G163,'FX Rates'!A:B,2,FALSE)</f>
        <v>#N/A</v>
      </c>
      <c r="J163">
        <f t="shared" ca="1" si="2"/>
        <v>0</v>
      </c>
    </row>
    <row r="164" spans="8:10" x14ac:dyDescent="0.3">
      <c r="H164" t="e">
        <f>F164*E164*VLOOKUP(G164,'FX Rates'!A:B,2,FALSE)</f>
        <v>#N/A</v>
      </c>
      <c r="J164">
        <f t="shared" ca="1" si="2"/>
        <v>0</v>
      </c>
    </row>
    <row r="165" spans="8:10" x14ac:dyDescent="0.3">
      <c r="H165" t="e">
        <f>F165*E165*VLOOKUP(G165,'FX Rates'!A:B,2,FALSE)</f>
        <v>#N/A</v>
      </c>
      <c r="J165">
        <f t="shared" ca="1" si="2"/>
        <v>0</v>
      </c>
    </row>
    <row r="166" spans="8:10" x14ac:dyDescent="0.3">
      <c r="H166" t="e">
        <f>F166*E166*VLOOKUP(G166,'FX Rates'!A:B,2,FALSE)</f>
        <v>#N/A</v>
      </c>
      <c r="J166">
        <f t="shared" ca="1" si="2"/>
        <v>0</v>
      </c>
    </row>
    <row r="167" spans="8:10" x14ac:dyDescent="0.3">
      <c r="H167" t="e">
        <f>F167*E167*VLOOKUP(G167,'FX Rates'!A:B,2,FALSE)</f>
        <v>#N/A</v>
      </c>
      <c r="J167">
        <f t="shared" ca="1" si="2"/>
        <v>0</v>
      </c>
    </row>
    <row r="168" spans="8:10" x14ac:dyDescent="0.3">
      <c r="H168" t="e">
        <f>F168*E168*VLOOKUP(G168,'FX Rates'!A:B,2,FALSE)</f>
        <v>#N/A</v>
      </c>
      <c r="J168">
        <f t="shared" ca="1" si="2"/>
        <v>0</v>
      </c>
    </row>
    <row r="169" spans="8:10" x14ac:dyDescent="0.3">
      <c r="H169" t="e">
        <f>F169*E169*VLOOKUP(G169,'FX Rates'!A:B,2,FALSE)</f>
        <v>#N/A</v>
      </c>
      <c r="J169">
        <f t="shared" ca="1" si="2"/>
        <v>0</v>
      </c>
    </row>
    <row r="170" spans="8:10" x14ac:dyDescent="0.3">
      <c r="H170" t="e">
        <f>F170*E170*VLOOKUP(G170,'FX Rates'!A:B,2,FALSE)</f>
        <v>#N/A</v>
      </c>
      <c r="J170">
        <f t="shared" ca="1" si="2"/>
        <v>0</v>
      </c>
    </row>
    <row r="171" spans="8:10" x14ac:dyDescent="0.3">
      <c r="H171" t="e">
        <f>F171*E171*VLOOKUP(G171,'FX Rates'!A:B,2,FALSE)</f>
        <v>#N/A</v>
      </c>
      <c r="J171">
        <f t="shared" ca="1" si="2"/>
        <v>0</v>
      </c>
    </row>
    <row r="172" spans="8:10" x14ac:dyDescent="0.3">
      <c r="H172" t="e">
        <f>F172*E172*VLOOKUP(G172,'FX Rates'!A:B,2,FALSE)</f>
        <v>#N/A</v>
      </c>
      <c r="J172">
        <f t="shared" ca="1" si="2"/>
        <v>0</v>
      </c>
    </row>
    <row r="173" spans="8:10" x14ac:dyDescent="0.3">
      <c r="H173" t="e">
        <f>F173*E173*VLOOKUP(G173,'FX Rates'!A:B,2,FALSE)</f>
        <v>#N/A</v>
      </c>
      <c r="J173">
        <f t="shared" ca="1" si="2"/>
        <v>0</v>
      </c>
    </row>
    <row r="174" spans="8:10" x14ac:dyDescent="0.3">
      <c r="H174" t="e">
        <f>F174*E174*VLOOKUP(G174,'FX Rates'!A:B,2,FALSE)</f>
        <v>#N/A</v>
      </c>
      <c r="J174">
        <f t="shared" ca="1" si="2"/>
        <v>0</v>
      </c>
    </row>
    <row r="175" spans="8:10" x14ac:dyDescent="0.3">
      <c r="H175" t="e">
        <f>F175*E175*VLOOKUP(G175,'FX Rates'!A:B,2,FALSE)</f>
        <v>#N/A</v>
      </c>
      <c r="J175">
        <f t="shared" ca="1" si="2"/>
        <v>0</v>
      </c>
    </row>
    <row r="176" spans="8:10" x14ac:dyDescent="0.3">
      <c r="H176" t="e">
        <f>F176*E176*VLOOKUP(G176,'FX Rates'!A:B,2,FALSE)</f>
        <v>#N/A</v>
      </c>
      <c r="J176">
        <f t="shared" ca="1" si="2"/>
        <v>0</v>
      </c>
    </row>
    <row r="177" spans="8:10" x14ac:dyDescent="0.3">
      <c r="H177" t="e">
        <f>F177*E177*VLOOKUP(G177,'FX Rates'!A:B,2,FALSE)</f>
        <v>#N/A</v>
      </c>
      <c r="J177">
        <f t="shared" ca="1" si="2"/>
        <v>0</v>
      </c>
    </row>
    <row r="178" spans="8:10" x14ac:dyDescent="0.3">
      <c r="H178" t="e">
        <f>F178*E178*VLOOKUP(G178,'FX Rates'!A:B,2,FALSE)</f>
        <v>#N/A</v>
      </c>
      <c r="J178">
        <f t="shared" ca="1" si="2"/>
        <v>0</v>
      </c>
    </row>
    <row r="179" spans="8:10" x14ac:dyDescent="0.3">
      <c r="H179" t="e">
        <f>F179*E179*VLOOKUP(G179,'FX Rates'!A:B,2,FALSE)</f>
        <v>#N/A</v>
      </c>
      <c r="J179">
        <f t="shared" ca="1" si="2"/>
        <v>0</v>
      </c>
    </row>
    <row r="180" spans="8:10" x14ac:dyDescent="0.3">
      <c r="H180" t="e">
        <f>F180*E180*VLOOKUP(G180,'FX Rates'!A:B,2,FALSE)</f>
        <v>#N/A</v>
      </c>
      <c r="J180">
        <f t="shared" ca="1" si="2"/>
        <v>0</v>
      </c>
    </row>
    <row r="181" spans="8:10" x14ac:dyDescent="0.3">
      <c r="H181" t="e">
        <f>F181*E181*VLOOKUP(G181,'FX Rates'!A:B,2,FALSE)</f>
        <v>#N/A</v>
      </c>
      <c r="J181">
        <f t="shared" ca="1" si="2"/>
        <v>0</v>
      </c>
    </row>
    <row r="182" spans="8:10" x14ac:dyDescent="0.3">
      <c r="H182" t="e">
        <f>F182*E182*VLOOKUP(G182,'FX Rates'!A:B,2,FALSE)</f>
        <v>#N/A</v>
      </c>
      <c r="J182">
        <f t="shared" ca="1" si="2"/>
        <v>0</v>
      </c>
    </row>
    <row r="183" spans="8:10" x14ac:dyDescent="0.3">
      <c r="H183" t="e">
        <f>F183*E183*VLOOKUP(G183,'FX Rates'!A:B,2,FALSE)</f>
        <v>#N/A</v>
      </c>
      <c r="J183">
        <f t="shared" ca="1" si="2"/>
        <v>0</v>
      </c>
    </row>
    <row r="184" spans="8:10" x14ac:dyDescent="0.3">
      <c r="H184" t="e">
        <f>F184*E184*VLOOKUP(G184,'FX Rates'!A:B,2,FALSE)</f>
        <v>#N/A</v>
      </c>
      <c r="J184">
        <f t="shared" ca="1" si="2"/>
        <v>0</v>
      </c>
    </row>
    <row r="185" spans="8:10" x14ac:dyDescent="0.3">
      <c r="H185" t="e">
        <f>F185*E185*VLOOKUP(G185,'FX Rates'!A:B,2,FALSE)</f>
        <v>#N/A</v>
      </c>
      <c r="J185">
        <f t="shared" ca="1" si="2"/>
        <v>0</v>
      </c>
    </row>
    <row r="186" spans="8:10" x14ac:dyDescent="0.3">
      <c r="H186" t="e">
        <f>F186*E186*VLOOKUP(G186,'FX Rates'!A:B,2,FALSE)</f>
        <v>#N/A</v>
      </c>
      <c r="J186">
        <f t="shared" ca="1" si="2"/>
        <v>0</v>
      </c>
    </row>
    <row r="187" spans="8:10" x14ac:dyDescent="0.3">
      <c r="H187" t="e">
        <f>F187*E187*VLOOKUP(G187,'FX Rates'!A:B,2,FALSE)</f>
        <v>#N/A</v>
      </c>
      <c r="J187">
        <f t="shared" ca="1" si="2"/>
        <v>0</v>
      </c>
    </row>
    <row r="188" spans="8:10" x14ac:dyDescent="0.3">
      <c r="H188" t="e">
        <f>F188*E188*VLOOKUP(G188,'FX Rates'!A:B,2,FALSE)</f>
        <v>#N/A</v>
      </c>
      <c r="J188">
        <f t="shared" ca="1" si="2"/>
        <v>0</v>
      </c>
    </row>
    <row r="189" spans="8:10" x14ac:dyDescent="0.3">
      <c r="H189" t="e">
        <f>F189*E189*VLOOKUP(G189,'FX Rates'!A:B,2,FALSE)</f>
        <v>#N/A</v>
      </c>
      <c r="J189">
        <f t="shared" ca="1" si="2"/>
        <v>0</v>
      </c>
    </row>
    <row r="190" spans="8:10" x14ac:dyDescent="0.3">
      <c r="H190" t="e">
        <f>F190*E190*VLOOKUP(G190,'FX Rates'!A:B,2,FALSE)</f>
        <v>#N/A</v>
      </c>
      <c r="J190">
        <f t="shared" ca="1" si="2"/>
        <v>0</v>
      </c>
    </row>
    <row r="191" spans="8:10" x14ac:dyDescent="0.3">
      <c r="H191" t="e">
        <f>F191*E191*VLOOKUP(G191,'FX Rates'!A:B,2,FALSE)</f>
        <v>#N/A</v>
      </c>
      <c r="J191">
        <f t="shared" ca="1" si="2"/>
        <v>0</v>
      </c>
    </row>
    <row r="192" spans="8:10" x14ac:dyDescent="0.3">
      <c r="H192" t="e">
        <f>F192*E192*VLOOKUP(G192,'FX Rates'!A:B,2,FALSE)</f>
        <v>#N/A</v>
      </c>
      <c r="J192">
        <f t="shared" ca="1" si="2"/>
        <v>0</v>
      </c>
    </row>
    <row r="193" spans="8:10" x14ac:dyDescent="0.3">
      <c r="H193" t="e">
        <f>F193*E193*VLOOKUP(G193,'FX Rates'!A:B,2,FALSE)</f>
        <v>#N/A</v>
      </c>
      <c r="J193">
        <f t="shared" ca="1" si="2"/>
        <v>0</v>
      </c>
    </row>
    <row r="194" spans="8:10" x14ac:dyDescent="0.3">
      <c r="H194" t="e">
        <f>F194*E194*VLOOKUP(G194,'FX Rates'!A:B,2,FALSE)</f>
        <v>#N/A</v>
      </c>
      <c r="J194">
        <f t="shared" ref="J194:J257" ca="1" si="3">IF(I194="",0,TODAY()-I194)</f>
        <v>0</v>
      </c>
    </row>
    <row r="195" spans="8:10" x14ac:dyDescent="0.3">
      <c r="H195" t="e">
        <f>F195*E195*VLOOKUP(G195,'FX Rates'!A:B,2,FALSE)</f>
        <v>#N/A</v>
      </c>
      <c r="J195">
        <f t="shared" ca="1" si="3"/>
        <v>0</v>
      </c>
    </row>
    <row r="196" spans="8:10" x14ac:dyDescent="0.3">
      <c r="H196" t="e">
        <f>F196*E196*VLOOKUP(G196,'FX Rates'!A:B,2,FALSE)</f>
        <v>#N/A</v>
      </c>
      <c r="J196">
        <f t="shared" ca="1" si="3"/>
        <v>0</v>
      </c>
    </row>
    <row r="197" spans="8:10" x14ac:dyDescent="0.3">
      <c r="H197" t="e">
        <f>F197*E197*VLOOKUP(G197,'FX Rates'!A:B,2,FALSE)</f>
        <v>#N/A</v>
      </c>
      <c r="J197">
        <f t="shared" ca="1" si="3"/>
        <v>0</v>
      </c>
    </row>
    <row r="198" spans="8:10" x14ac:dyDescent="0.3">
      <c r="H198" t="e">
        <f>F198*E198*VLOOKUP(G198,'FX Rates'!A:B,2,FALSE)</f>
        <v>#N/A</v>
      </c>
      <c r="J198">
        <f t="shared" ca="1" si="3"/>
        <v>0</v>
      </c>
    </row>
    <row r="199" spans="8:10" x14ac:dyDescent="0.3">
      <c r="H199" t="e">
        <f>F199*E199*VLOOKUP(G199,'FX Rates'!A:B,2,FALSE)</f>
        <v>#N/A</v>
      </c>
      <c r="J199">
        <f t="shared" ca="1" si="3"/>
        <v>0</v>
      </c>
    </row>
    <row r="200" spans="8:10" x14ac:dyDescent="0.3">
      <c r="H200" t="e">
        <f>F200*E200*VLOOKUP(G200,'FX Rates'!A:B,2,FALSE)</f>
        <v>#N/A</v>
      </c>
      <c r="J200">
        <f t="shared" ca="1" si="3"/>
        <v>0</v>
      </c>
    </row>
    <row r="201" spans="8:10" x14ac:dyDescent="0.3">
      <c r="H201" t="e">
        <f>F201*E201*VLOOKUP(G201,'FX Rates'!A:B,2,FALSE)</f>
        <v>#N/A</v>
      </c>
      <c r="J201">
        <f t="shared" ca="1" si="3"/>
        <v>0</v>
      </c>
    </row>
    <row r="202" spans="8:10" x14ac:dyDescent="0.3">
      <c r="H202" t="e">
        <f>F202*E202*VLOOKUP(G202,'FX Rates'!A:B,2,FALSE)</f>
        <v>#N/A</v>
      </c>
      <c r="J202">
        <f t="shared" ca="1" si="3"/>
        <v>0</v>
      </c>
    </row>
    <row r="203" spans="8:10" x14ac:dyDescent="0.3">
      <c r="H203" t="e">
        <f>F203*E203*VLOOKUP(G203,'FX Rates'!A:B,2,FALSE)</f>
        <v>#N/A</v>
      </c>
      <c r="J203">
        <f t="shared" ca="1" si="3"/>
        <v>0</v>
      </c>
    </row>
    <row r="204" spans="8:10" x14ac:dyDescent="0.3">
      <c r="H204" t="e">
        <f>F204*E204*VLOOKUP(G204,'FX Rates'!A:B,2,FALSE)</f>
        <v>#N/A</v>
      </c>
      <c r="J204">
        <f t="shared" ca="1" si="3"/>
        <v>0</v>
      </c>
    </row>
    <row r="205" spans="8:10" x14ac:dyDescent="0.3">
      <c r="H205" t="e">
        <f>F205*E205*VLOOKUP(G205,'FX Rates'!A:B,2,FALSE)</f>
        <v>#N/A</v>
      </c>
      <c r="J205">
        <f t="shared" ca="1" si="3"/>
        <v>0</v>
      </c>
    </row>
    <row r="206" spans="8:10" x14ac:dyDescent="0.3">
      <c r="H206" t="e">
        <f>F206*E206*VLOOKUP(G206,'FX Rates'!A:B,2,FALSE)</f>
        <v>#N/A</v>
      </c>
      <c r="J206">
        <f t="shared" ca="1" si="3"/>
        <v>0</v>
      </c>
    </row>
    <row r="207" spans="8:10" x14ac:dyDescent="0.3">
      <c r="H207" t="e">
        <f>F207*E207*VLOOKUP(G207,'FX Rates'!A:B,2,FALSE)</f>
        <v>#N/A</v>
      </c>
      <c r="J207">
        <f t="shared" ca="1" si="3"/>
        <v>0</v>
      </c>
    </row>
    <row r="208" spans="8:10" x14ac:dyDescent="0.3">
      <c r="H208" t="e">
        <f>F208*E208*VLOOKUP(G208,'FX Rates'!A:B,2,FALSE)</f>
        <v>#N/A</v>
      </c>
      <c r="J208">
        <f t="shared" ca="1" si="3"/>
        <v>0</v>
      </c>
    </row>
    <row r="209" spans="8:10" x14ac:dyDescent="0.3">
      <c r="H209" t="e">
        <f>F209*E209*VLOOKUP(G209,'FX Rates'!A:B,2,FALSE)</f>
        <v>#N/A</v>
      </c>
      <c r="J209">
        <f t="shared" ca="1" si="3"/>
        <v>0</v>
      </c>
    </row>
    <row r="210" spans="8:10" x14ac:dyDescent="0.3">
      <c r="H210" t="e">
        <f>F210*E210*VLOOKUP(G210,'FX Rates'!A:B,2,FALSE)</f>
        <v>#N/A</v>
      </c>
      <c r="J210">
        <f t="shared" ca="1" si="3"/>
        <v>0</v>
      </c>
    </row>
    <row r="211" spans="8:10" x14ac:dyDescent="0.3">
      <c r="H211" t="e">
        <f>F211*E211*VLOOKUP(G211,'FX Rates'!A:B,2,FALSE)</f>
        <v>#N/A</v>
      </c>
      <c r="J211">
        <f t="shared" ca="1" si="3"/>
        <v>0</v>
      </c>
    </row>
    <row r="212" spans="8:10" x14ac:dyDescent="0.3">
      <c r="H212" t="e">
        <f>F212*E212*VLOOKUP(G212,'FX Rates'!A:B,2,FALSE)</f>
        <v>#N/A</v>
      </c>
      <c r="J212">
        <f t="shared" ca="1" si="3"/>
        <v>0</v>
      </c>
    </row>
    <row r="213" spans="8:10" x14ac:dyDescent="0.3">
      <c r="H213" t="e">
        <f>F213*E213*VLOOKUP(G213,'FX Rates'!A:B,2,FALSE)</f>
        <v>#N/A</v>
      </c>
      <c r="J213">
        <f t="shared" ca="1" si="3"/>
        <v>0</v>
      </c>
    </row>
    <row r="214" spans="8:10" x14ac:dyDescent="0.3">
      <c r="H214" t="e">
        <f>F214*E214*VLOOKUP(G214,'FX Rates'!A:B,2,FALSE)</f>
        <v>#N/A</v>
      </c>
      <c r="J214">
        <f t="shared" ca="1" si="3"/>
        <v>0</v>
      </c>
    </row>
    <row r="215" spans="8:10" x14ac:dyDescent="0.3">
      <c r="H215" t="e">
        <f>F215*E215*VLOOKUP(G215,'FX Rates'!A:B,2,FALSE)</f>
        <v>#N/A</v>
      </c>
      <c r="J215">
        <f t="shared" ca="1" si="3"/>
        <v>0</v>
      </c>
    </row>
    <row r="216" spans="8:10" x14ac:dyDescent="0.3">
      <c r="H216" t="e">
        <f>F216*E216*VLOOKUP(G216,'FX Rates'!A:B,2,FALSE)</f>
        <v>#N/A</v>
      </c>
      <c r="J216">
        <f t="shared" ca="1" si="3"/>
        <v>0</v>
      </c>
    </row>
    <row r="217" spans="8:10" x14ac:dyDescent="0.3">
      <c r="H217" t="e">
        <f>F217*E217*VLOOKUP(G217,'FX Rates'!A:B,2,FALSE)</f>
        <v>#N/A</v>
      </c>
      <c r="J217">
        <f t="shared" ca="1" si="3"/>
        <v>0</v>
      </c>
    </row>
    <row r="218" spans="8:10" x14ac:dyDescent="0.3">
      <c r="H218" t="e">
        <f>F218*E218*VLOOKUP(G218,'FX Rates'!A:B,2,FALSE)</f>
        <v>#N/A</v>
      </c>
      <c r="J218">
        <f t="shared" ca="1" si="3"/>
        <v>0</v>
      </c>
    </row>
    <row r="219" spans="8:10" x14ac:dyDescent="0.3">
      <c r="H219" t="e">
        <f>F219*E219*VLOOKUP(G219,'FX Rates'!A:B,2,FALSE)</f>
        <v>#N/A</v>
      </c>
      <c r="J219">
        <f t="shared" ca="1" si="3"/>
        <v>0</v>
      </c>
    </row>
    <row r="220" spans="8:10" x14ac:dyDescent="0.3">
      <c r="H220" t="e">
        <f>F220*E220*VLOOKUP(G220,'FX Rates'!A:B,2,FALSE)</f>
        <v>#N/A</v>
      </c>
      <c r="J220">
        <f t="shared" ca="1" si="3"/>
        <v>0</v>
      </c>
    </row>
    <row r="221" spans="8:10" x14ac:dyDescent="0.3">
      <c r="H221" t="e">
        <f>F221*E221*VLOOKUP(G221,'FX Rates'!A:B,2,FALSE)</f>
        <v>#N/A</v>
      </c>
      <c r="J221">
        <f t="shared" ca="1" si="3"/>
        <v>0</v>
      </c>
    </row>
    <row r="222" spans="8:10" x14ac:dyDescent="0.3">
      <c r="H222" t="e">
        <f>F222*E222*VLOOKUP(G222,'FX Rates'!A:B,2,FALSE)</f>
        <v>#N/A</v>
      </c>
      <c r="J222">
        <f t="shared" ca="1" si="3"/>
        <v>0</v>
      </c>
    </row>
    <row r="223" spans="8:10" x14ac:dyDescent="0.3">
      <c r="H223" t="e">
        <f>F223*E223*VLOOKUP(G223,'FX Rates'!A:B,2,FALSE)</f>
        <v>#N/A</v>
      </c>
      <c r="J223">
        <f t="shared" ca="1" si="3"/>
        <v>0</v>
      </c>
    </row>
    <row r="224" spans="8:10" x14ac:dyDescent="0.3">
      <c r="H224" t="e">
        <f>F224*E224*VLOOKUP(G224,'FX Rates'!A:B,2,FALSE)</f>
        <v>#N/A</v>
      </c>
      <c r="J224">
        <f t="shared" ca="1" si="3"/>
        <v>0</v>
      </c>
    </row>
    <row r="225" spans="8:10" x14ac:dyDescent="0.3">
      <c r="H225" t="e">
        <f>F225*E225*VLOOKUP(G225,'FX Rates'!A:B,2,FALSE)</f>
        <v>#N/A</v>
      </c>
      <c r="J225">
        <f t="shared" ca="1" si="3"/>
        <v>0</v>
      </c>
    </row>
    <row r="226" spans="8:10" x14ac:dyDescent="0.3">
      <c r="H226" t="e">
        <f>F226*E226*VLOOKUP(G226,'FX Rates'!A:B,2,FALSE)</f>
        <v>#N/A</v>
      </c>
      <c r="J226">
        <f t="shared" ca="1" si="3"/>
        <v>0</v>
      </c>
    </row>
    <row r="227" spans="8:10" x14ac:dyDescent="0.3">
      <c r="H227" t="e">
        <f>F227*E227*VLOOKUP(G227,'FX Rates'!A:B,2,FALSE)</f>
        <v>#N/A</v>
      </c>
      <c r="J227">
        <f t="shared" ca="1" si="3"/>
        <v>0</v>
      </c>
    </row>
    <row r="228" spans="8:10" x14ac:dyDescent="0.3">
      <c r="H228" t="e">
        <f>F228*E228*VLOOKUP(G228,'FX Rates'!A:B,2,FALSE)</f>
        <v>#N/A</v>
      </c>
      <c r="J228">
        <f t="shared" ca="1" si="3"/>
        <v>0</v>
      </c>
    </row>
    <row r="229" spans="8:10" x14ac:dyDescent="0.3">
      <c r="H229" t="e">
        <f>F229*E229*VLOOKUP(G229,'FX Rates'!A:B,2,FALSE)</f>
        <v>#N/A</v>
      </c>
      <c r="J229">
        <f t="shared" ca="1" si="3"/>
        <v>0</v>
      </c>
    </row>
    <row r="230" spans="8:10" x14ac:dyDescent="0.3">
      <c r="H230" t="e">
        <f>F230*E230*VLOOKUP(G230,'FX Rates'!A:B,2,FALSE)</f>
        <v>#N/A</v>
      </c>
      <c r="J230">
        <f t="shared" ca="1" si="3"/>
        <v>0</v>
      </c>
    </row>
    <row r="231" spans="8:10" x14ac:dyDescent="0.3">
      <c r="H231" t="e">
        <f>F231*E231*VLOOKUP(G231,'FX Rates'!A:B,2,FALSE)</f>
        <v>#N/A</v>
      </c>
      <c r="J231">
        <f t="shared" ca="1" si="3"/>
        <v>0</v>
      </c>
    </row>
    <row r="232" spans="8:10" x14ac:dyDescent="0.3">
      <c r="H232" t="e">
        <f>F232*E232*VLOOKUP(G232,'FX Rates'!A:B,2,FALSE)</f>
        <v>#N/A</v>
      </c>
      <c r="J232">
        <f t="shared" ca="1" si="3"/>
        <v>0</v>
      </c>
    </row>
    <row r="233" spans="8:10" x14ac:dyDescent="0.3">
      <c r="H233" t="e">
        <f>F233*E233*VLOOKUP(G233,'FX Rates'!A:B,2,FALSE)</f>
        <v>#N/A</v>
      </c>
      <c r="J233">
        <f t="shared" ca="1" si="3"/>
        <v>0</v>
      </c>
    </row>
    <row r="234" spans="8:10" x14ac:dyDescent="0.3">
      <c r="H234" t="e">
        <f>F234*E234*VLOOKUP(G234,'FX Rates'!A:B,2,FALSE)</f>
        <v>#N/A</v>
      </c>
      <c r="J234">
        <f t="shared" ca="1" si="3"/>
        <v>0</v>
      </c>
    </row>
    <row r="235" spans="8:10" x14ac:dyDescent="0.3">
      <c r="H235" t="e">
        <f>F235*E235*VLOOKUP(G235,'FX Rates'!A:B,2,FALSE)</f>
        <v>#N/A</v>
      </c>
      <c r="J235">
        <f t="shared" ca="1" si="3"/>
        <v>0</v>
      </c>
    </row>
    <row r="236" spans="8:10" x14ac:dyDescent="0.3">
      <c r="H236" t="e">
        <f>F236*E236*VLOOKUP(G236,'FX Rates'!A:B,2,FALSE)</f>
        <v>#N/A</v>
      </c>
      <c r="J236">
        <f t="shared" ca="1" si="3"/>
        <v>0</v>
      </c>
    </row>
    <row r="237" spans="8:10" x14ac:dyDescent="0.3">
      <c r="H237" t="e">
        <f>F237*E237*VLOOKUP(G237,'FX Rates'!A:B,2,FALSE)</f>
        <v>#N/A</v>
      </c>
      <c r="J237">
        <f t="shared" ca="1" si="3"/>
        <v>0</v>
      </c>
    </row>
    <row r="238" spans="8:10" x14ac:dyDescent="0.3">
      <c r="H238" t="e">
        <f>F238*E238*VLOOKUP(G238,'FX Rates'!A:B,2,FALSE)</f>
        <v>#N/A</v>
      </c>
      <c r="J238">
        <f t="shared" ca="1" si="3"/>
        <v>0</v>
      </c>
    </row>
    <row r="239" spans="8:10" x14ac:dyDescent="0.3">
      <c r="H239" t="e">
        <f>F239*E239*VLOOKUP(G239,'FX Rates'!A:B,2,FALSE)</f>
        <v>#N/A</v>
      </c>
      <c r="J239">
        <f t="shared" ca="1" si="3"/>
        <v>0</v>
      </c>
    </row>
    <row r="240" spans="8:10" x14ac:dyDescent="0.3">
      <c r="H240" t="e">
        <f>F240*E240*VLOOKUP(G240,'FX Rates'!A:B,2,FALSE)</f>
        <v>#N/A</v>
      </c>
      <c r="J240">
        <f t="shared" ca="1" si="3"/>
        <v>0</v>
      </c>
    </row>
    <row r="241" spans="8:10" x14ac:dyDescent="0.3">
      <c r="H241" t="e">
        <f>F241*E241*VLOOKUP(G241,'FX Rates'!A:B,2,FALSE)</f>
        <v>#N/A</v>
      </c>
      <c r="J241">
        <f t="shared" ca="1" si="3"/>
        <v>0</v>
      </c>
    </row>
    <row r="242" spans="8:10" x14ac:dyDescent="0.3">
      <c r="H242" t="e">
        <f>F242*E242*VLOOKUP(G242,'FX Rates'!A:B,2,FALSE)</f>
        <v>#N/A</v>
      </c>
      <c r="J242">
        <f t="shared" ca="1" si="3"/>
        <v>0</v>
      </c>
    </row>
    <row r="243" spans="8:10" x14ac:dyDescent="0.3">
      <c r="H243" t="e">
        <f>F243*E243*VLOOKUP(G243,'FX Rates'!A:B,2,FALSE)</f>
        <v>#N/A</v>
      </c>
      <c r="J243">
        <f t="shared" ca="1" si="3"/>
        <v>0</v>
      </c>
    </row>
    <row r="244" spans="8:10" x14ac:dyDescent="0.3">
      <c r="H244" t="e">
        <f>F244*E244*VLOOKUP(G244,'FX Rates'!A:B,2,FALSE)</f>
        <v>#N/A</v>
      </c>
      <c r="J244">
        <f t="shared" ca="1" si="3"/>
        <v>0</v>
      </c>
    </row>
    <row r="245" spans="8:10" x14ac:dyDescent="0.3">
      <c r="H245" t="e">
        <f>F245*E245*VLOOKUP(G245,'FX Rates'!A:B,2,FALSE)</f>
        <v>#N/A</v>
      </c>
      <c r="J245">
        <f t="shared" ca="1" si="3"/>
        <v>0</v>
      </c>
    </row>
    <row r="246" spans="8:10" x14ac:dyDescent="0.3">
      <c r="H246" t="e">
        <f>F246*E246*VLOOKUP(G246,'FX Rates'!A:B,2,FALSE)</f>
        <v>#N/A</v>
      </c>
      <c r="J246">
        <f t="shared" ca="1" si="3"/>
        <v>0</v>
      </c>
    </row>
    <row r="247" spans="8:10" x14ac:dyDescent="0.3">
      <c r="H247" t="e">
        <f>F247*E247*VLOOKUP(G247,'FX Rates'!A:B,2,FALSE)</f>
        <v>#N/A</v>
      </c>
      <c r="J247">
        <f t="shared" ca="1" si="3"/>
        <v>0</v>
      </c>
    </row>
    <row r="248" spans="8:10" x14ac:dyDescent="0.3">
      <c r="H248" t="e">
        <f>F248*E248*VLOOKUP(G248,'FX Rates'!A:B,2,FALSE)</f>
        <v>#N/A</v>
      </c>
      <c r="J248">
        <f t="shared" ca="1" si="3"/>
        <v>0</v>
      </c>
    </row>
    <row r="249" spans="8:10" x14ac:dyDescent="0.3">
      <c r="H249" t="e">
        <f>F249*E249*VLOOKUP(G249,'FX Rates'!A:B,2,FALSE)</f>
        <v>#N/A</v>
      </c>
      <c r="J249">
        <f t="shared" ca="1" si="3"/>
        <v>0</v>
      </c>
    </row>
    <row r="250" spans="8:10" x14ac:dyDescent="0.3">
      <c r="H250" t="e">
        <f>F250*E250*VLOOKUP(G250,'FX Rates'!A:B,2,FALSE)</f>
        <v>#N/A</v>
      </c>
      <c r="J250">
        <f t="shared" ca="1" si="3"/>
        <v>0</v>
      </c>
    </row>
    <row r="251" spans="8:10" x14ac:dyDescent="0.3">
      <c r="H251" t="e">
        <f>F251*E251*VLOOKUP(G251,'FX Rates'!A:B,2,FALSE)</f>
        <v>#N/A</v>
      </c>
      <c r="J251">
        <f t="shared" ca="1" si="3"/>
        <v>0</v>
      </c>
    </row>
    <row r="252" spans="8:10" x14ac:dyDescent="0.3">
      <c r="H252" t="e">
        <f>F252*E252*VLOOKUP(G252,'FX Rates'!A:B,2,FALSE)</f>
        <v>#N/A</v>
      </c>
      <c r="J252">
        <f t="shared" ca="1" si="3"/>
        <v>0</v>
      </c>
    </row>
    <row r="253" spans="8:10" x14ac:dyDescent="0.3">
      <c r="H253" t="e">
        <f>F253*E253*VLOOKUP(G253,'FX Rates'!A:B,2,FALSE)</f>
        <v>#N/A</v>
      </c>
      <c r="J253">
        <f t="shared" ca="1" si="3"/>
        <v>0</v>
      </c>
    </row>
    <row r="254" spans="8:10" x14ac:dyDescent="0.3">
      <c r="H254" t="e">
        <f>F254*E254*VLOOKUP(G254,'FX Rates'!A:B,2,FALSE)</f>
        <v>#N/A</v>
      </c>
      <c r="J254">
        <f t="shared" ca="1" si="3"/>
        <v>0</v>
      </c>
    </row>
    <row r="255" spans="8:10" x14ac:dyDescent="0.3">
      <c r="H255" t="e">
        <f>F255*E255*VLOOKUP(G255,'FX Rates'!A:B,2,FALSE)</f>
        <v>#N/A</v>
      </c>
      <c r="J255">
        <f t="shared" ca="1" si="3"/>
        <v>0</v>
      </c>
    </row>
    <row r="256" spans="8:10" x14ac:dyDescent="0.3">
      <c r="H256" t="e">
        <f>F256*E256*VLOOKUP(G256,'FX Rates'!A:B,2,FALSE)</f>
        <v>#N/A</v>
      </c>
      <c r="J256">
        <f t="shared" ca="1" si="3"/>
        <v>0</v>
      </c>
    </row>
    <row r="257" spans="8:10" x14ac:dyDescent="0.3">
      <c r="H257" t="e">
        <f>F257*E257*VLOOKUP(G257,'FX Rates'!A:B,2,FALSE)</f>
        <v>#N/A</v>
      </c>
      <c r="J257">
        <f t="shared" ca="1" si="3"/>
        <v>0</v>
      </c>
    </row>
    <row r="258" spans="8:10" x14ac:dyDescent="0.3">
      <c r="H258" t="e">
        <f>F258*E258*VLOOKUP(G258,'FX Rates'!A:B,2,FALSE)</f>
        <v>#N/A</v>
      </c>
      <c r="J258">
        <f t="shared" ref="J258:J321" ca="1" si="4">IF(I258="",0,TODAY()-I258)</f>
        <v>0</v>
      </c>
    </row>
    <row r="259" spans="8:10" x14ac:dyDescent="0.3">
      <c r="H259" t="e">
        <f>F259*E259*VLOOKUP(G259,'FX Rates'!A:B,2,FALSE)</f>
        <v>#N/A</v>
      </c>
      <c r="J259">
        <f t="shared" ca="1" si="4"/>
        <v>0</v>
      </c>
    </row>
    <row r="260" spans="8:10" x14ac:dyDescent="0.3">
      <c r="H260" t="e">
        <f>F260*E260*VLOOKUP(G260,'FX Rates'!A:B,2,FALSE)</f>
        <v>#N/A</v>
      </c>
      <c r="J260">
        <f t="shared" ca="1" si="4"/>
        <v>0</v>
      </c>
    </row>
    <row r="261" spans="8:10" x14ac:dyDescent="0.3">
      <c r="H261" t="e">
        <f>F261*E261*VLOOKUP(G261,'FX Rates'!A:B,2,FALSE)</f>
        <v>#N/A</v>
      </c>
      <c r="J261">
        <f t="shared" ca="1" si="4"/>
        <v>0</v>
      </c>
    </row>
    <row r="262" spans="8:10" x14ac:dyDescent="0.3">
      <c r="H262" t="e">
        <f>F262*E262*VLOOKUP(G262,'FX Rates'!A:B,2,FALSE)</f>
        <v>#N/A</v>
      </c>
      <c r="J262">
        <f t="shared" ca="1" si="4"/>
        <v>0</v>
      </c>
    </row>
    <row r="263" spans="8:10" x14ac:dyDescent="0.3">
      <c r="H263" t="e">
        <f>F263*E263*VLOOKUP(G263,'FX Rates'!A:B,2,FALSE)</f>
        <v>#N/A</v>
      </c>
      <c r="J263">
        <f t="shared" ca="1" si="4"/>
        <v>0</v>
      </c>
    </row>
    <row r="264" spans="8:10" x14ac:dyDescent="0.3">
      <c r="H264" t="e">
        <f>F264*E264*VLOOKUP(G264,'FX Rates'!A:B,2,FALSE)</f>
        <v>#N/A</v>
      </c>
      <c r="J264">
        <f t="shared" ca="1" si="4"/>
        <v>0</v>
      </c>
    </row>
    <row r="265" spans="8:10" x14ac:dyDescent="0.3">
      <c r="H265" t="e">
        <f>F265*E265*VLOOKUP(G265,'FX Rates'!A:B,2,FALSE)</f>
        <v>#N/A</v>
      </c>
      <c r="J265">
        <f t="shared" ca="1" si="4"/>
        <v>0</v>
      </c>
    </row>
    <row r="266" spans="8:10" x14ac:dyDescent="0.3">
      <c r="H266" t="e">
        <f>F266*E266*VLOOKUP(G266,'FX Rates'!A:B,2,FALSE)</f>
        <v>#N/A</v>
      </c>
      <c r="J266">
        <f t="shared" ca="1" si="4"/>
        <v>0</v>
      </c>
    </row>
    <row r="267" spans="8:10" x14ac:dyDescent="0.3">
      <c r="H267" t="e">
        <f>F267*E267*VLOOKUP(G267,'FX Rates'!A:B,2,FALSE)</f>
        <v>#N/A</v>
      </c>
      <c r="J267">
        <f t="shared" ca="1" si="4"/>
        <v>0</v>
      </c>
    </row>
    <row r="268" spans="8:10" x14ac:dyDescent="0.3">
      <c r="H268" t="e">
        <f>F268*E268*VLOOKUP(G268,'FX Rates'!A:B,2,FALSE)</f>
        <v>#N/A</v>
      </c>
      <c r="J268">
        <f t="shared" ca="1" si="4"/>
        <v>0</v>
      </c>
    </row>
    <row r="269" spans="8:10" x14ac:dyDescent="0.3">
      <c r="H269" t="e">
        <f>F269*E269*VLOOKUP(G269,'FX Rates'!A:B,2,FALSE)</f>
        <v>#N/A</v>
      </c>
      <c r="J269">
        <f t="shared" ca="1" si="4"/>
        <v>0</v>
      </c>
    </row>
    <row r="270" spans="8:10" x14ac:dyDescent="0.3">
      <c r="H270" t="e">
        <f>F270*E270*VLOOKUP(G270,'FX Rates'!A:B,2,FALSE)</f>
        <v>#N/A</v>
      </c>
      <c r="J270">
        <f t="shared" ca="1" si="4"/>
        <v>0</v>
      </c>
    </row>
    <row r="271" spans="8:10" x14ac:dyDescent="0.3">
      <c r="H271" t="e">
        <f>F271*E271*VLOOKUP(G271,'FX Rates'!A:B,2,FALSE)</f>
        <v>#N/A</v>
      </c>
      <c r="J271">
        <f t="shared" ca="1" si="4"/>
        <v>0</v>
      </c>
    </row>
    <row r="272" spans="8:10" x14ac:dyDescent="0.3">
      <c r="H272" t="e">
        <f>F272*E272*VLOOKUP(G272,'FX Rates'!A:B,2,FALSE)</f>
        <v>#N/A</v>
      </c>
      <c r="J272">
        <f t="shared" ca="1" si="4"/>
        <v>0</v>
      </c>
    </row>
    <row r="273" spans="8:10" x14ac:dyDescent="0.3">
      <c r="H273" t="e">
        <f>F273*E273*VLOOKUP(G273,'FX Rates'!A:B,2,FALSE)</f>
        <v>#N/A</v>
      </c>
      <c r="J273">
        <f t="shared" ca="1" si="4"/>
        <v>0</v>
      </c>
    </row>
    <row r="274" spans="8:10" x14ac:dyDescent="0.3">
      <c r="H274" t="e">
        <f>F274*E274*VLOOKUP(G274,'FX Rates'!A:B,2,FALSE)</f>
        <v>#N/A</v>
      </c>
      <c r="J274">
        <f t="shared" ca="1" si="4"/>
        <v>0</v>
      </c>
    </row>
    <row r="275" spans="8:10" x14ac:dyDescent="0.3">
      <c r="H275" t="e">
        <f>F275*E275*VLOOKUP(G275,'FX Rates'!A:B,2,FALSE)</f>
        <v>#N/A</v>
      </c>
      <c r="J275">
        <f t="shared" ca="1" si="4"/>
        <v>0</v>
      </c>
    </row>
    <row r="276" spans="8:10" x14ac:dyDescent="0.3">
      <c r="H276" t="e">
        <f>F276*E276*VLOOKUP(G276,'FX Rates'!A:B,2,FALSE)</f>
        <v>#N/A</v>
      </c>
      <c r="J276">
        <f t="shared" ca="1" si="4"/>
        <v>0</v>
      </c>
    </row>
    <row r="277" spans="8:10" x14ac:dyDescent="0.3">
      <c r="H277" t="e">
        <f>F277*E277*VLOOKUP(G277,'FX Rates'!A:B,2,FALSE)</f>
        <v>#N/A</v>
      </c>
      <c r="J277">
        <f t="shared" ca="1" si="4"/>
        <v>0</v>
      </c>
    </row>
    <row r="278" spans="8:10" x14ac:dyDescent="0.3">
      <c r="H278" t="e">
        <f>F278*E278*VLOOKUP(G278,'FX Rates'!A:B,2,FALSE)</f>
        <v>#N/A</v>
      </c>
      <c r="J278">
        <f t="shared" ca="1" si="4"/>
        <v>0</v>
      </c>
    </row>
    <row r="279" spans="8:10" x14ac:dyDescent="0.3">
      <c r="H279" t="e">
        <f>F279*E279*VLOOKUP(G279,'FX Rates'!A:B,2,FALSE)</f>
        <v>#N/A</v>
      </c>
      <c r="J279">
        <f t="shared" ca="1" si="4"/>
        <v>0</v>
      </c>
    </row>
    <row r="280" spans="8:10" x14ac:dyDescent="0.3">
      <c r="H280" t="e">
        <f>F280*E280*VLOOKUP(G280,'FX Rates'!A:B,2,FALSE)</f>
        <v>#N/A</v>
      </c>
      <c r="J280">
        <f t="shared" ca="1" si="4"/>
        <v>0</v>
      </c>
    </row>
    <row r="281" spans="8:10" x14ac:dyDescent="0.3">
      <c r="H281" t="e">
        <f>F281*E281*VLOOKUP(G281,'FX Rates'!A:B,2,FALSE)</f>
        <v>#N/A</v>
      </c>
      <c r="J281">
        <f t="shared" ca="1" si="4"/>
        <v>0</v>
      </c>
    </row>
    <row r="282" spans="8:10" x14ac:dyDescent="0.3">
      <c r="H282" t="e">
        <f>F282*E282*VLOOKUP(G282,'FX Rates'!A:B,2,FALSE)</f>
        <v>#N/A</v>
      </c>
      <c r="J282">
        <f t="shared" ca="1" si="4"/>
        <v>0</v>
      </c>
    </row>
    <row r="283" spans="8:10" x14ac:dyDescent="0.3">
      <c r="H283" t="e">
        <f>F283*E283*VLOOKUP(G283,'FX Rates'!A:B,2,FALSE)</f>
        <v>#N/A</v>
      </c>
      <c r="J283">
        <f t="shared" ca="1" si="4"/>
        <v>0</v>
      </c>
    </row>
    <row r="284" spans="8:10" x14ac:dyDescent="0.3">
      <c r="H284" t="e">
        <f>F284*E284*VLOOKUP(G284,'FX Rates'!A:B,2,FALSE)</f>
        <v>#N/A</v>
      </c>
      <c r="J284">
        <f t="shared" ca="1" si="4"/>
        <v>0</v>
      </c>
    </row>
    <row r="285" spans="8:10" x14ac:dyDescent="0.3">
      <c r="H285" t="e">
        <f>F285*E285*VLOOKUP(G285,'FX Rates'!A:B,2,FALSE)</f>
        <v>#N/A</v>
      </c>
      <c r="J285">
        <f t="shared" ca="1" si="4"/>
        <v>0</v>
      </c>
    </row>
    <row r="286" spans="8:10" x14ac:dyDescent="0.3">
      <c r="H286" t="e">
        <f>F286*E286*VLOOKUP(G286,'FX Rates'!A:B,2,FALSE)</f>
        <v>#N/A</v>
      </c>
      <c r="J286">
        <f t="shared" ca="1" si="4"/>
        <v>0</v>
      </c>
    </row>
    <row r="287" spans="8:10" x14ac:dyDescent="0.3">
      <c r="H287" t="e">
        <f>F287*E287*VLOOKUP(G287,'FX Rates'!A:B,2,FALSE)</f>
        <v>#N/A</v>
      </c>
      <c r="J287">
        <f t="shared" ca="1" si="4"/>
        <v>0</v>
      </c>
    </row>
    <row r="288" spans="8:10" x14ac:dyDescent="0.3">
      <c r="H288" t="e">
        <f>F288*E288*VLOOKUP(G288,'FX Rates'!A:B,2,FALSE)</f>
        <v>#N/A</v>
      </c>
      <c r="J288">
        <f t="shared" ca="1" si="4"/>
        <v>0</v>
      </c>
    </row>
    <row r="289" spans="8:10" x14ac:dyDescent="0.3">
      <c r="H289" t="e">
        <f>F289*E289*VLOOKUP(G289,'FX Rates'!A:B,2,FALSE)</f>
        <v>#N/A</v>
      </c>
      <c r="J289">
        <f t="shared" ca="1" si="4"/>
        <v>0</v>
      </c>
    </row>
    <row r="290" spans="8:10" x14ac:dyDescent="0.3">
      <c r="H290" t="e">
        <f>F290*E290*VLOOKUP(G290,'FX Rates'!A:B,2,FALSE)</f>
        <v>#N/A</v>
      </c>
      <c r="J290">
        <f t="shared" ca="1" si="4"/>
        <v>0</v>
      </c>
    </row>
    <row r="291" spans="8:10" x14ac:dyDescent="0.3">
      <c r="H291" t="e">
        <f>F291*E291*VLOOKUP(G291,'FX Rates'!A:B,2,FALSE)</f>
        <v>#N/A</v>
      </c>
      <c r="J291">
        <f t="shared" ca="1" si="4"/>
        <v>0</v>
      </c>
    </row>
    <row r="292" spans="8:10" x14ac:dyDescent="0.3">
      <c r="H292" t="e">
        <f>F292*E292*VLOOKUP(G292,'FX Rates'!A:B,2,FALSE)</f>
        <v>#N/A</v>
      </c>
      <c r="J292">
        <f t="shared" ca="1" si="4"/>
        <v>0</v>
      </c>
    </row>
    <row r="293" spans="8:10" x14ac:dyDescent="0.3">
      <c r="H293" t="e">
        <f>F293*E293*VLOOKUP(G293,'FX Rates'!A:B,2,FALSE)</f>
        <v>#N/A</v>
      </c>
      <c r="J293">
        <f t="shared" ca="1" si="4"/>
        <v>0</v>
      </c>
    </row>
    <row r="294" spans="8:10" x14ac:dyDescent="0.3">
      <c r="H294" t="e">
        <f>F294*E294*VLOOKUP(G294,'FX Rates'!A:B,2,FALSE)</f>
        <v>#N/A</v>
      </c>
      <c r="J294">
        <f t="shared" ca="1" si="4"/>
        <v>0</v>
      </c>
    </row>
    <row r="295" spans="8:10" x14ac:dyDescent="0.3">
      <c r="H295" t="e">
        <f>F295*E295*VLOOKUP(G295,'FX Rates'!A:B,2,FALSE)</f>
        <v>#N/A</v>
      </c>
      <c r="J295">
        <f t="shared" ca="1" si="4"/>
        <v>0</v>
      </c>
    </row>
    <row r="296" spans="8:10" x14ac:dyDescent="0.3">
      <c r="H296" t="e">
        <f>F296*E296*VLOOKUP(G296,'FX Rates'!A:B,2,FALSE)</f>
        <v>#N/A</v>
      </c>
      <c r="J296">
        <f t="shared" ca="1" si="4"/>
        <v>0</v>
      </c>
    </row>
    <row r="297" spans="8:10" x14ac:dyDescent="0.3">
      <c r="H297" t="e">
        <f>F297*E297*VLOOKUP(G297,'FX Rates'!A:B,2,FALSE)</f>
        <v>#N/A</v>
      </c>
      <c r="J297">
        <f t="shared" ca="1" si="4"/>
        <v>0</v>
      </c>
    </row>
    <row r="298" spans="8:10" x14ac:dyDescent="0.3">
      <c r="H298" t="e">
        <f>F298*E298*VLOOKUP(G298,'FX Rates'!A:B,2,FALSE)</f>
        <v>#N/A</v>
      </c>
      <c r="J298">
        <f t="shared" ca="1" si="4"/>
        <v>0</v>
      </c>
    </row>
    <row r="299" spans="8:10" x14ac:dyDescent="0.3">
      <c r="H299" t="e">
        <f>F299*E299*VLOOKUP(G299,'FX Rates'!A:B,2,FALSE)</f>
        <v>#N/A</v>
      </c>
      <c r="J299">
        <f t="shared" ca="1" si="4"/>
        <v>0</v>
      </c>
    </row>
    <row r="300" spans="8:10" x14ac:dyDescent="0.3">
      <c r="H300" t="e">
        <f>F300*E300*VLOOKUP(G300,'FX Rates'!A:B,2,FALSE)</f>
        <v>#N/A</v>
      </c>
      <c r="J300">
        <f t="shared" ca="1" si="4"/>
        <v>0</v>
      </c>
    </row>
    <row r="301" spans="8:10" x14ac:dyDescent="0.3">
      <c r="H301" t="e">
        <f>F301*E301*VLOOKUP(G301,'FX Rates'!A:B,2,FALSE)</f>
        <v>#N/A</v>
      </c>
      <c r="J301">
        <f t="shared" ca="1" si="4"/>
        <v>0</v>
      </c>
    </row>
    <row r="302" spans="8:10" x14ac:dyDescent="0.3">
      <c r="H302" t="e">
        <f>F302*E302*VLOOKUP(G302,'FX Rates'!A:B,2,FALSE)</f>
        <v>#N/A</v>
      </c>
      <c r="J302">
        <f t="shared" ca="1" si="4"/>
        <v>0</v>
      </c>
    </row>
    <row r="303" spans="8:10" x14ac:dyDescent="0.3">
      <c r="H303" t="e">
        <f>F303*E303*VLOOKUP(G303,'FX Rates'!A:B,2,FALSE)</f>
        <v>#N/A</v>
      </c>
      <c r="J303">
        <f t="shared" ca="1" si="4"/>
        <v>0</v>
      </c>
    </row>
    <row r="304" spans="8:10" x14ac:dyDescent="0.3">
      <c r="H304" t="e">
        <f>F304*E304*VLOOKUP(G304,'FX Rates'!A:B,2,FALSE)</f>
        <v>#N/A</v>
      </c>
      <c r="J304">
        <f t="shared" ca="1" si="4"/>
        <v>0</v>
      </c>
    </row>
    <row r="305" spans="8:10" x14ac:dyDescent="0.3">
      <c r="H305" t="e">
        <f>F305*E305*VLOOKUP(G305,'FX Rates'!A:B,2,FALSE)</f>
        <v>#N/A</v>
      </c>
      <c r="J305">
        <f t="shared" ca="1" si="4"/>
        <v>0</v>
      </c>
    </row>
    <row r="306" spans="8:10" x14ac:dyDescent="0.3">
      <c r="H306" t="e">
        <f>F306*E306*VLOOKUP(G306,'FX Rates'!A:B,2,FALSE)</f>
        <v>#N/A</v>
      </c>
      <c r="J306">
        <f t="shared" ca="1" si="4"/>
        <v>0</v>
      </c>
    </row>
    <row r="307" spans="8:10" x14ac:dyDescent="0.3">
      <c r="H307" t="e">
        <f>F307*E307*VLOOKUP(G307,'FX Rates'!A:B,2,FALSE)</f>
        <v>#N/A</v>
      </c>
      <c r="J307">
        <f t="shared" ca="1" si="4"/>
        <v>0</v>
      </c>
    </row>
    <row r="308" spans="8:10" x14ac:dyDescent="0.3">
      <c r="H308" t="e">
        <f>F308*E308*VLOOKUP(G308,'FX Rates'!A:B,2,FALSE)</f>
        <v>#N/A</v>
      </c>
      <c r="J308">
        <f t="shared" ca="1" si="4"/>
        <v>0</v>
      </c>
    </row>
    <row r="309" spans="8:10" x14ac:dyDescent="0.3">
      <c r="H309" t="e">
        <f>F309*E309*VLOOKUP(G309,'FX Rates'!A:B,2,FALSE)</f>
        <v>#N/A</v>
      </c>
      <c r="J309">
        <f t="shared" ca="1" si="4"/>
        <v>0</v>
      </c>
    </row>
    <row r="310" spans="8:10" x14ac:dyDescent="0.3">
      <c r="H310" t="e">
        <f>F310*E310*VLOOKUP(G310,'FX Rates'!A:B,2,FALSE)</f>
        <v>#N/A</v>
      </c>
      <c r="J310">
        <f t="shared" ca="1" si="4"/>
        <v>0</v>
      </c>
    </row>
    <row r="311" spans="8:10" x14ac:dyDescent="0.3">
      <c r="H311" t="e">
        <f>F311*E311*VLOOKUP(G311,'FX Rates'!A:B,2,FALSE)</f>
        <v>#N/A</v>
      </c>
      <c r="J311">
        <f t="shared" ca="1" si="4"/>
        <v>0</v>
      </c>
    </row>
    <row r="312" spans="8:10" x14ac:dyDescent="0.3">
      <c r="H312" t="e">
        <f>F312*E312*VLOOKUP(G312,'FX Rates'!A:B,2,FALSE)</f>
        <v>#N/A</v>
      </c>
      <c r="J312">
        <f t="shared" ca="1" si="4"/>
        <v>0</v>
      </c>
    </row>
    <row r="313" spans="8:10" x14ac:dyDescent="0.3">
      <c r="H313" t="e">
        <f>F313*E313*VLOOKUP(G313,'FX Rates'!A:B,2,FALSE)</f>
        <v>#N/A</v>
      </c>
      <c r="J313">
        <f t="shared" ca="1" si="4"/>
        <v>0</v>
      </c>
    </row>
    <row r="314" spans="8:10" x14ac:dyDescent="0.3">
      <c r="H314" t="e">
        <f>F314*E314*VLOOKUP(G314,'FX Rates'!A:B,2,FALSE)</f>
        <v>#N/A</v>
      </c>
      <c r="J314">
        <f t="shared" ca="1" si="4"/>
        <v>0</v>
      </c>
    </row>
    <row r="315" spans="8:10" x14ac:dyDescent="0.3">
      <c r="H315" t="e">
        <f>F315*E315*VLOOKUP(G315,'FX Rates'!A:B,2,FALSE)</f>
        <v>#N/A</v>
      </c>
      <c r="J315">
        <f t="shared" ca="1" si="4"/>
        <v>0</v>
      </c>
    </row>
    <row r="316" spans="8:10" x14ac:dyDescent="0.3">
      <c r="H316" t="e">
        <f>F316*E316*VLOOKUP(G316,'FX Rates'!A:B,2,FALSE)</f>
        <v>#N/A</v>
      </c>
      <c r="J316">
        <f t="shared" ca="1" si="4"/>
        <v>0</v>
      </c>
    </row>
    <row r="317" spans="8:10" x14ac:dyDescent="0.3">
      <c r="H317" t="e">
        <f>F317*E317*VLOOKUP(G317,'FX Rates'!A:B,2,FALSE)</f>
        <v>#N/A</v>
      </c>
      <c r="J317">
        <f t="shared" ca="1" si="4"/>
        <v>0</v>
      </c>
    </row>
    <row r="318" spans="8:10" x14ac:dyDescent="0.3">
      <c r="H318" t="e">
        <f>F318*E318*VLOOKUP(G318,'FX Rates'!A:B,2,FALSE)</f>
        <v>#N/A</v>
      </c>
      <c r="J318">
        <f t="shared" ca="1" si="4"/>
        <v>0</v>
      </c>
    </row>
    <row r="319" spans="8:10" x14ac:dyDescent="0.3">
      <c r="H319" t="e">
        <f>F319*E319*VLOOKUP(G319,'FX Rates'!A:B,2,FALSE)</f>
        <v>#N/A</v>
      </c>
      <c r="J319">
        <f t="shared" ca="1" si="4"/>
        <v>0</v>
      </c>
    </row>
    <row r="320" spans="8:10" x14ac:dyDescent="0.3">
      <c r="H320" t="e">
        <f>F320*E320*VLOOKUP(G320,'FX Rates'!A:B,2,FALSE)</f>
        <v>#N/A</v>
      </c>
      <c r="J320">
        <f t="shared" ca="1" si="4"/>
        <v>0</v>
      </c>
    </row>
    <row r="321" spans="8:10" x14ac:dyDescent="0.3">
      <c r="H321" t="e">
        <f>F321*E321*VLOOKUP(G321,'FX Rates'!A:B,2,FALSE)</f>
        <v>#N/A</v>
      </c>
      <c r="J321">
        <f t="shared" ca="1" si="4"/>
        <v>0</v>
      </c>
    </row>
    <row r="322" spans="8:10" x14ac:dyDescent="0.3">
      <c r="H322" t="e">
        <f>F322*E322*VLOOKUP(G322,'FX Rates'!A:B,2,FALSE)</f>
        <v>#N/A</v>
      </c>
      <c r="J322">
        <f t="shared" ref="J322:J385" ca="1" si="5">IF(I322="",0,TODAY()-I322)</f>
        <v>0</v>
      </c>
    </row>
    <row r="323" spans="8:10" x14ac:dyDescent="0.3">
      <c r="H323" t="e">
        <f>F323*E323*VLOOKUP(G323,'FX Rates'!A:B,2,FALSE)</f>
        <v>#N/A</v>
      </c>
      <c r="J323">
        <f t="shared" ca="1" si="5"/>
        <v>0</v>
      </c>
    </row>
    <row r="324" spans="8:10" x14ac:dyDescent="0.3">
      <c r="H324" t="e">
        <f>F324*E324*VLOOKUP(G324,'FX Rates'!A:B,2,FALSE)</f>
        <v>#N/A</v>
      </c>
      <c r="J324">
        <f t="shared" ca="1" si="5"/>
        <v>0</v>
      </c>
    </row>
    <row r="325" spans="8:10" x14ac:dyDescent="0.3">
      <c r="H325" t="e">
        <f>F325*E325*VLOOKUP(G325,'FX Rates'!A:B,2,FALSE)</f>
        <v>#N/A</v>
      </c>
      <c r="J325">
        <f t="shared" ca="1" si="5"/>
        <v>0</v>
      </c>
    </row>
    <row r="326" spans="8:10" x14ac:dyDescent="0.3">
      <c r="H326" t="e">
        <f>F326*E326*VLOOKUP(G326,'FX Rates'!A:B,2,FALSE)</f>
        <v>#N/A</v>
      </c>
      <c r="J326">
        <f t="shared" ca="1" si="5"/>
        <v>0</v>
      </c>
    </row>
    <row r="327" spans="8:10" x14ac:dyDescent="0.3">
      <c r="H327" t="e">
        <f>F327*E327*VLOOKUP(G327,'FX Rates'!A:B,2,FALSE)</f>
        <v>#N/A</v>
      </c>
      <c r="J327">
        <f t="shared" ca="1" si="5"/>
        <v>0</v>
      </c>
    </row>
    <row r="328" spans="8:10" x14ac:dyDescent="0.3">
      <c r="H328" t="e">
        <f>F328*E328*VLOOKUP(G328,'FX Rates'!A:B,2,FALSE)</f>
        <v>#N/A</v>
      </c>
      <c r="J328">
        <f t="shared" ca="1" si="5"/>
        <v>0</v>
      </c>
    </row>
    <row r="329" spans="8:10" x14ac:dyDescent="0.3">
      <c r="H329" t="e">
        <f>F329*E329*VLOOKUP(G329,'FX Rates'!A:B,2,FALSE)</f>
        <v>#N/A</v>
      </c>
      <c r="J329">
        <f t="shared" ca="1" si="5"/>
        <v>0</v>
      </c>
    </row>
    <row r="330" spans="8:10" x14ac:dyDescent="0.3">
      <c r="H330" t="e">
        <f>F330*E330*VLOOKUP(G330,'FX Rates'!A:B,2,FALSE)</f>
        <v>#N/A</v>
      </c>
      <c r="J330">
        <f t="shared" ca="1" si="5"/>
        <v>0</v>
      </c>
    </row>
    <row r="331" spans="8:10" x14ac:dyDescent="0.3">
      <c r="H331" t="e">
        <f>F331*E331*VLOOKUP(G331,'FX Rates'!A:B,2,FALSE)</f>
        <v>#N/A</v>
      </c>
      <c r="J331">
        <f t="shared" ca="1" si="5"/>
        <v>0</v>
      </c>
    </row>
    <row r="332" spans="8:10" x14ac:dyDescent="0.3">
      <c r="H332" t="e">
        <f>F332*E332*VLOOKUP(G332,'FX Rates'!A:B,2,FALSE)</f>
        <v>#N/A</v>
      </c>
      <c r="J332">
        <f t="shared" ca="1" si="5"/>
        <v>0</v>
      </c>
    </row>
    <row r="333" spans="8:10" x14ac:dyDescent="0.3">
      <c r="H333" t="e">
        <f>F333*E333*VLOOKUP(G333,'FX Rates'!A:B,2,FALSE)</f>
        <v>#N/A</v>
      </c>
      <c r="J333">
        <f t="shared" ca="1" si="5"/>
        <v>0</v>
      </c>
    </row>
    <row r="334" spans="8:10" x14ac:dyDescent="0.3">
      <c r="H334" t="e">
        <f>F334*E334*VLOOKUP(G334,'FX Rates'!A:B,2,FALSE)</f>
        <v>#N/A</v>
      </c>
      <c r="J334">
        <f t="shared" ca="1" si="5"/>
        <v>0</v>
      </c>
    </row>
    <row r="335" spans="8:10" x14ac:dyDescent="0.3">
      <c r="H335" t="e">
        <f>F335*E335*VLOOKUP(G335,'FX Rates'!A:B,2,FALSE)</f>
        <v>#N/A</v>
      </c>
      <c r="J335">
        <f t="shared" ca="1" si="5"/>
        <v>0</v>
      </c>
    </row>
    <row r="336" spans="8:10" x14ac:dyDescent="0.3">
      <c r="H336" t="e">
        <f>F336*E336*VLOOKUP(G336,'FX Rates'!A:B,2,FALSE)</f>
        <v>#N/A</v>
      </c>
      <c r="J336">
        <f t="shared" ca="1" si="5"/>
        <v>0</v>
      </c>
    </row>
    <row r="337" spans="8:10" x14ac:dyDescent="0.3">
      <c r="H337" t="e">
        <f>F337*E337*VLOOKUP(G337,'FX Rates'!A:B,2,FALSE)</f>
        <v>#N/A</v>
      </c>
      <c r="J337">
        <f t="shared" ca="1" si="5"/>
        <v>0</v>
      </c>
    </row>
    <row r="338" spans="8:10" x14ac:dyDescent="0.3">
      <c r="H338" t="e">
        <f>F338*E338*VLOOKUP(G338,'FX Rates'!A:B,2,FALSE)</f>
        <v>#N/A</v>
      </c>
      <c r="J338">
        <f t="shared" ca="1" si="5"/>
        <v>0</v>
      </c>
    </row>
    <row r="339" spans="8:10" x14ac:dyDescent="0.3">
      <c r="H339" t="e">
        <f>F339*E339*VLOOKUP(G339,'FX Rates'!A:B,2,FALSE)</f>
        <v>#N/A</v>
      </c>
      <c r="J339">
        <f t="shared" ca="1" si="5"/>
        <v>0</v>
      </c>
    </row>
    <row r="340" spans="8:10" x14ac:dyDescent="0.3">
      <c r="H340" t="e">
        <f>F340*E340*VLOOKUP(G340,'FX Rates'!A:B,2,FALSE)</f>
        <v>#N/A</v>
      </c>
      <c r="J340">
        <f t="shared" ca="1" si="5"/>
        <v>0</v>
      </c>
    </row>
    <row r="341" spans="8:10" x14ac:dyDescent="0.3">
      <c r="H341" t="e">
        <f>F341*E341*VLOOKUP(G341,'FX Rates'!A:B,2,FALSE)</f>
        <v>#N/A</v>
      </c>
      <c r="J341">
        <f t="shared" ca="1" si="5"/>
        <v>0</v>
      </c>
    </row>
    <row r="342" spans="8:10" x14ac:dyDescent="0.3">
      <c r="H342" t="e">
        <f>F342*E342*VLOOKUP(G342,'FX Rates'!A:B,2,FALSE)</f>
        <v>#N/A</v>
      </c>
      <c r="J342">
        <f t="shared" ca="1" si="5"/>
        <v>0</v>
      </c>
    </row>
    <row r="343" spans="8:10" x14ac:dyDescent="0.3">
      <c r="H343" t="e">
        <f>F343*E343*VLOOKUP(G343,'FX Rates'!A:B,2,FALSE)</f>
        <v>#N/A</v>
      </c>
      <c r="J343">
        <f t="shared" ca="1" si="5"/>
        <v>0</v>
      </c>
    </row>
    <row r="344" spans="8:10" x14ac:dyDescent="0.3">
      <c r="H344" t="e">
        <f>F344*E344*VLOOKUP(G344,'FX Rates'!A:B,2,FALSE)</f>
        <v>#N/A</v>
      </c>
      <c r="J344">
        <f t="shared" ca="1" si="5"/>
        <v>0</v>
      </c>
    </row>
    <row r="345" spans="8:10" x14ac:dyDescent="0.3">
      <c r="H345" t="e">
        <f>F345*E345*VLOOKUP(G345,'FX Rates'!A:B,2,FALSE)</f>
        <v>#N/A</v>
      </c>
      <c r="J345">
        <f t="shared" ca="1" si="5"/>
        <v>0</v>
      </c>
    </row>
    <row r="346" spans="8:10" x14ac:dyDescent="0.3">
      <c r="H346" t="e">
        <f>F346*E346*VLOOKUP(G346,'FX Rates'!A:B,2,FALSE)</f>
        <v>#N/A</v>
      </c>
      <c r="J346">
        <f t="shared" ca="1" si="5"/>
        <v>0</v>
      </c>
    </row>
    <row r="347" spans="8:10" x14ac:dyDescent="0.3">
      <c r="H347" t="e">
        <f>F347*E347*VLOOKUP(G347,'FX Rates'!A:B,2,FALSE)</f>
        <v>#N/A</v>
      </c>
      <c r="J347">
        <f t="shared" ca="1" si="5"/>
        <v>0</v>
      </c>
    </row>
    <row r="348" spans="8:10" x14ac:dyDescent="0.3">
      <c r="H348" t="e">
        <f>F348*E348*VLOOKUP(G348,'FX Rates'!A:B,2,FALSE)</f>
        <v>#N/A</v>
      </c>
      <c r="J348">
        <f t="shared" ca="1" si="5"/>
        <v>0</v>
      </c>
    </row>
    <row r="349" spans="8:10" x14ac:dyDescent="0.3">
      <c r="H349" t="e">
        <f>F349*E349*VLOOKUP(G349,'FX Rates'!A:B,2,FALSE)</f>
        <v>#N/A</v>
      </c>
      <c r="J349">
        <f t="shared" ca="1" si="5"/>
        <v>0</v>
      </c>
    </row>
    <row r="350" spans="8:10" x14ac:dyDescent="0.3">
      <c r="H350" t="e">
        <f>F350*E350*VLOOKUP(G350,'FX Rates'!A:B,2,FALSE)</f>
        <v>#N/A</v>
      </c>
      <c r="J350">
        <f t="shared" ca="1" si="5"/>
        <v>0</v>
      </c>
    </row>
    <row r="351" spans="8:10" x14ac:dyDescent="0.3">
      <c r="H351" t="e">
        <f>F351*E351*VLOOKUP(G351,'FX Rates'!A:B,2,FALSE)</f>
        <v>#N/A</v>
      </c>
      <c r="J351">
        <f t="shared" ca="1" si="5"/>
        <v>0</v>
      </c>
    </row>
    <row r="352" spans="8:10" x14ac:dyDescent="0.3">
      <c r="H352" t="e">
        <f>F352*E352*VLOOKUP(G352,'FX Rates'!A:B,2,FALSE)</f>
        <v>#N/A</v>
      </c>
      <c r="J352">
        <f t="shared" ca="1" si="5"/>
        <v>0</v>
      </c>
    </row>
    <row r="353" spans="8:10" x14ac:dyDescent="0.3">
      <c r="H353" t="e">
        <f>F353*E353*VLOOKUP(G353,'FX Rates'!A:B,2,FALSE)</f>
        <v>#N/A</v>
      </c>
      <c r="J353">
        <f t="shared" ca="1" si="5"/>
        <v>0</v>
      </c>
    </row>
    <row r="354" spans="8:10" x14ac:dyDescent="0.3">
      <c r="H354" t="e">
        <f>F354*E354*VLOOKUP(G354,'FX Rates'!A:B,2,FALSE)</f>
        <v>#N/A</v>
      </c>
      <c r="J354">
        <f t="shared" ca="1" si="5"/>
        <v>0</v>
      </c>
    </row>
    <row r="355" spans="8:10" x14ac:dyDescent="0.3">
      <c r="H355" t="e">
        <f>F355*E355*VLOOKUP(G355,'FX Rates'!A:B,2,FALSE)</f>
        <v>#N/A</v>
      </c>
      <c r="J355">
        <f t="shared" ca="1" si="5"/>
        <v>0</v>
      </c>
    </row>
    <row r="356" spans="8:10" x14ac:dyDescent="0.3">
      <c r="H356" t="e">
        <f>F356*E356*VLOOKUP(G356,'FX Rates'!A:B,2,FALSE)</f>
        <v>#N/A</v>
      </c>
      <c r="J356">
        <f t="shared" ca="1" si="5"/>
        <v>0</v>
      </c>
    </row>
    <row r="357" spans="8:10" x14ac:dyDescent="0.3">
      <c r="H357" t="e">
        <f>F357*E357*VLOOKUP(G357,'FX Rates'!A:B,2,FALSE)</f>
        <v>#N/A</v>
      </c>
      <c r="J357">
        <f t="shared" ca="1" si="5"/>
        <v>0</v>
      </c>
    </row>
    <row r="358" spans="8:10" x14ac:dyDescent="0.3">
      <c r="H358" t="e">
        <f>F358*E358*VLOOKUP(G358,'FX Rates'!A:B,2,FALSE)</f>
        <v>#N/A</v>
      </c>
      <c r="J358">
        <f t="shared" ca="1" si="5"/>
        <v>0</v>
      </c>
    </row>
    <row r="359" spans="8:10" x14ac:dyDescent="0.3">
      <c r="H359" t="e">
        <f>F359*E359*VLOOKUP(G359,'FX Rates'!A:B,2,FALSE)</f>
        <v>#N/A</v>
      </c>
      <c r="J359">
        <f t="shared" ca="1" si="5"/>
        <v>0</v>
      </c>
    </row>
    <row r="360" spans="8:10" x14ac:dyDescent="0.3">
      <c r="H360" t="e">
        <f>F360*E360*VLOOKUP(G360,'FX Rates'!A:B,2,FALSE)</f>
        <v>#N/A</v>
      </c>
      <c r="J360">
        <f t="shared" ca="1" si="5"/>
        <v>0</v>
      </c>
    </row>
    <row r="361" spans="8:10" x14ac:dyDescent="0.3">
      <c r="H361" t="e">
        <f>F361*E361*VLOOKUP(G361,'FX Rates'!A:B,2,FALSE)</f>
        <v>#N/A</v>
      </c>
      <c r="J361">
        <f t="shared" ca="1" si="5"/>
        <v>0</v>
      </c>
    </row>
    <row r="362" spans="8:10" x14ac:dyDescent="0.3">
      <c r="H362" t="e">
        <f>F362*E362*VLOOKUP(G362,'FX Rates'!A:B,2,FALSE)</f>
        <v>#N/A</v>
      </c>
      <c r="J362">
        <f t="shared" ca="1" si="5"/>
        <v>0</v>
      </c>
    </row>
    <row r="363" spans="8:10" x14ac:dyDescent="0.3">
      <c r="H363" t="e">
        <f>F363*E363*VLOOKUP(G363,'FX Rates'!A:B,2,FALSE)</f>
        <v>#N/A</v>
      </c>
      <c r="J363">
        <f t="shared" ca="1" si="5"/>
        <v>0</v>
      </c>
    </row>
    <row r="364" spans="8:10" x14ac:dyDescent="0.3">
      <c r="H364" t="e">
        <f>F364*E364*VLOOKUP(G364,'FX Rates'!A:B,2,FALSE)</f>
        <v>#N/A</v>
      </c>
      <c r="J364">
        <f t="shared" ca="1" si="5"/>
        <v>0</v>
      </c>
    </row>
    <row r="365" spans="8:10" x14ac:dyDescent="0.3">
      <c r="H365" t="e">
        <f>F365*E365*VLOOKUP(G365,'FX Rates'!A:B,2,FALSE)</f>
        <v>#N/A</v>
      </c>
      <c r="J365">
        <f t="shared" ca="1" si="5"/>
        <v>0</v>
      </c>
    </row>
    <row r="366" spans="8:10" x14ac:dyDescent="0.3">
      <c r="H366" t="e">
        <f>F366*E366*VLOOKUP(G366,'FX Rates'!A:B,2,FALSE)</f>
        <v>#N/A</v>
      </c>
      <c r="J366">
        <f t="shared" ca="1" si="5"/>
        <v>0</v>
      </c>
    </row>
    <row r="367" spans="8:10" x14ac:dyDescent="0.3">
      <c r="H367" t="e">
        <f>F367*E367*VLOOKUP(G367,'FX Rates'!A:B,2,FALSE)</f>
        <v>#N/A</v>
      </c>
      <c r="J367">
        <f t="shared" ca="1" si="5"/>
        <v>0</v>
      </c>
    </row>
    <row r="368" spans="8:10" x14ac:dyDescent="0.3">
      <c r="H368" t="e">
        <f>F368*E368*VLOOKUP(G368,'FX Rates'!A:B,2,FALSE)</f>
        <v>#N/A</v>
      </c>
      <c r="J368">
        <f t="shared" ca="1" si="5"/>
        <v>0</v>
      </c>
    </row>
    <row r="369" spans="8:10" x14ac:dyDescent="0.3">
      <c r="H369" t="e">
        <f>F369*E369*VLOOKUP(G369,'FX Rates'!A:B,2,FALSE)</f>
        <v>#N/A</v>
      </c>
      <c r="J369">
        <f t="shared" ca="1" si="5"/>
        <v>0</v>
      </c>
    </row>
    <row r="370" spans="8:10" x14ac:dyDescent="0.3">
      <c r="H370" t="e">
        <f>F370*E370*VLOOKUP(G370,'FX Rates'!A:B,2,FALSE)</f>
        <v>#N/A</v>
      </c>
      <c r="J370">
        <f t="shared" ca="1" si="5"/>
        <v>0</v>
      </c>
    </row>
    <row r="371" spans="8:10" x14ac:dyDescent="0.3">
      <c r="H371" t="e">
        <f>F371*E371*VLOOKUP(G371,'FX Rates'!A:B,2,FALSE)</f>
        <v>#N/A</v>
      </c>
      <c r="J371">
        <f t="shared" ca="1" si="5"/>
        <v>0</v>
      </c>
    </row>
    <row r="372" spans="8:10" x14ac:dyDescent="0.3">
      <c r="H372" t="e">
        <f>F372*E372*VLOOKUP(G372,'FX Rates'!A:B,2,FALSE)</f>
        <v>#N/A</v>
      </c>
      <c r="J372">
        <f t="shared" ca="1" si="5"/>
        <v>0</v>
      </c>
    </row>
    <row r="373" spans="8:10" x14ac:dyDescent="0.3">
      <c r="H373" t="e">
        <f>F373*E373*VLOOKUP(G373,'FX Rates'!A:B,2,FALSE)</f>
        <v>#N/A</v>
      </c>
      <c r="J373">
        <f t="shared" ca="1" si="5"/>
        <v>0</v>
      </c>
    </row>
    <row r="374" spans="8:10" x14ac:dyDescent="0.3">
      <c r="H374" t="e">
        <f>F374*E374*VLOOKUP(G374,'FX Rates'!A:B,2,FALSE)</f>
        <v>#N/A</v>
      </c>
      <c r="J374">
        <f t="shared" ca="1" si="5"/>
        <v>0</v>
      </c>
    </row>
    <row r="375" spans="8:10" x14ac:dyDescent="0.3">
      <c r="H375" t="e">
        <f>F375*E375*VLOOKUP(G375,'FX Rates'!A:B,2,FALSE)</f>
        <v>#N/A</v>
      </c>
      <c r="J375">
        <f t="shared" ca="1" si="5"/>
        <v>0</v>
      </c>
    </row>
    <row r="376" spans="8:10" x14ac:dyDescent="0.3">
      <c r="H376" t="e">
        <f>F376*E376*VLOOKUP(G376,'FX Rates'!A:B,2,FALSE)</f>
        <v>#N/A</v>
      </c>
      <c r="J376">
        <f t="shared" ca="1" si="5"/>
        <v>0</v>
      </c>
    </row>
    <row r="377" spans="8:10" x14ac:dyDescent="0.3">
      <c r="H377" t="e">
        <f>F377*E377*VLOOKUP(G377,'FX Rates'!A:B,2,FALSE)</f>
        <v>#N/A</v>
      </c>
      <c r="J377">
        <f t="shared" ca="1" si="5"/>
        <v>0</v>
      </c>
    </row>
    <row r="378" spans="8:10" x14ac:dyDescent="0.3">
      <c r="H378" t="e">
        <f>F378*E378*VLOOKUP(G378,'FX Rates'!A:B,2,FALSE)</f>
        <v>#N/A</v>
      </c>
      <c r="J378">
        <f t="shared" ca="1" si="5"/>
        <v>0</v>
      </c>
    </row>
    <row r="379" spans="8:10" x14ac:dyDescent="0.3">
      <c r="H379" t="e">
        <f>F379*E379*VLOOKUP(G379,'FX Rates'!A:B,2,FALSE)</f>
        <v>#N/A</v>
      </c>
      <c r="J379">
        <f t="shared" ca="1" si="5"/>
        <v>0</v>
      </c>
    </row>
    <row r="380" spans="8:10" x14ac:dyDescent="0.3">
      <c r="H380" t="e">
        <f>F380*E380*VLOOKUP(G380,'FX Rates'!A:B,2,FALSE)</f>
        <v>#N/A</v>
      </c>
      <c r="J380">
        <f t="shared" ca="1" si="5"/>
        <v>0</v>
      </c>
    </row>
    <row r="381" spans="8:10" x14ac:dyDescent="0.3">
      <c r="H381" t="e">
        <f>F381*E381*VLOOKUP(G381,'FX Rates'!A:B,2,FALSE)</f>
        <v>#N/A</v>
      </c>
      <c r="J381">
        <f t="shared" ca="1" si="5"/>
        <v>0</v>
      </c>
    </row>
    <row r="382" spans="8:10" x14ac:dyDescent="0.3">
      <c r="H382" t="e">
        <f>F382*E382*VLOOKUP(G382,'FX Rates'!A:B,2,FALSE)</f>
        <v>#N/A</v>
      </c>
      <c r="J382">
        <f t="shared" ca="1" si="5"/>
        <v>0</v>
      </c>
    </row>
    <row r="383" spans="8:10" x14ac:dyDescent="0.3">
      <c r="H383" t="e">
        <f>F383*E383*VLOOKUP(G383,'FX Rates'!A:B,2,FALSE)</f>
        <v>#N/A</v>
      </c>
      <c r="J383">
        <f t="shared" ca="1" si="5"/>
        <v>0</v>
      </c>
    </row>
    <row r="384" spans="8:10" x14ac:dyDescent="0.3">
      <c r="H384" t="e">
        <f>F384*E384*VLOOKUP(G384,'FX Rates'!A:B,2,FALSE)</f>
        <v>#N/A</v>
      </c>
      <c r="J384">
        <f t="shared" ca="1" si="5"/>
        <v>0</v>
      </c>
    </row>
    <row r="385" spans="8:10" x14ac:dyDescent="0.3">
      <c r="H385" t="e">
        <f>F385*E385*VLOOKUP(G385,'FX Rates'!A:B,2,FALSE)</f>
        <v>#N/A</v>
      </c>
      <c r="J385">
        <f t="shared" ca="1" si="5"/>
        <v>0</v>
      </c>
    </row>
    <row r="386" spans="8:10" x14ac:dyDescent="0.3">
      <c r="H386" t="e">
        <f>F386*E386*VLOOKUP(G386,'FX Rates'!A:B,2,FALSE)</f>
        <v>#N/A</v>
      </c>
      <c r="J386">
        <f t="shared" ref="J386:J449" ca="1" si="6">IF(I386="",0,TODAY()-I386)</f>
        <v>0</v>
      </c>
    </row>
    <row r="387" spans="8:10" x14ac:dyDescent="0.3">
      <c r="H387" t="e">
        <f>F387*E387*VLOOKUP(G387,'FX Rates'!A:B,2,FALSE)</f>
        <v>#N/A</v>
      </c>
      <c r="J387">
        <f t="shared" ca="1" si="6"/>
        <v>0</v>
      </c>
    </row>
    <row r="388" spans="8:10" x14ac:dyDescent="0.3">
      <c r="H388" t="e">
        <f>F388*E388*VLOOKUP(G388,'FX Rates'!A:B,2,FALSE)</f>
        <v>#N/A</v>
      </c>
      <c r="J388">
        <f t="shared" ca="1" si="6"/>
        <v>0</v>
      </c>
    </row>
    <row r="389" spans="8:10" x14ac:dyDescent="0.3">
      <c r="H389" t="e">
        <f>F389*E389*VLOOKUP(G389,'FX Rates'!A:B,2,FALSE)</f>
        <v>#N/A</v>
      </c>
      <c r="J389">
        <f t="shared" ca="1" si="6"/>
        <v>0</v>
      </c>
    </row>
    <row r="390" spans="8:10" x14ac:dyDescent="0.3">
      <c r="H390" t="e">
        <f>F390*E390*VLOOKUP(G390,'FX Rates'!A:B,2,FALSE)</f>
        <v>#N/A</v>
      </c>
      <c r="J390">
        <f t="shared" ca="1" si="6"/>
        <v>0</v>
      </c>
    </row>
    <row r="391" spans="8:10" x14ac:dyDescent="0.3">
      <c r="H391" t="e">
        <f>F391*E391*VLOOKUP(G391,'FX Rates'!A:B,2,FALSE)</f>
        <v>#N/A</v>
      </c>
      <c r="J391">
        <f t="shared" ca="1" si="6"/>
        <v>0</v>
      </c>
    </row>
    <row r="392" spans="8:10" x14ac:dyDescent="0.3">
      <c r="H392" t="e">
        <f>F392*E392*VLOOKUP(G392,'FX Rates'!A:B,2,FALSE)</f>
        <v>#N/A</v>
      </c>
      <c r="J392">
        <f t="shared" ca="1" si="6"/>
        <v>0</v>
      </c>
    </row>
    <row r="393" spans="8:10" x14ac:dyDescent="0.3">
      <c r="H393" t="e">
        <f>F393*E393*VLOOKUP(G393,'FX Rates'!A:B,2,FALSE)</f>
        <v>#N/A</v>
      </c>
      <c r="J393">
        <f t="shared" ca="1" si="6"/>
        <v>0</v>
      </c>
    </row>
    <row r="394" spans="8:10" x14ac:dyDescent="0.3">
      <c r="H394" t="e">
        <f>F394*E394*VLOOKUP(G394,'FX Rates'!A:B,2,FALSE)</f>
        <v>#N/A</v>
      </c>
      <c r="J394">
        <f t="shared" ca="1" si="6"/>
        <v>0</v>
      </c>
    </row>
    <row r="395" spans="8:10" x14ac:dyDescent="0.3">
      <c r="H395" t="e">
        <f>F395*E395*VLOOKUP(G395,'FX Rates'!A:B,2,FALSE)</f>
        <v>#N/A</v>
      </c>
      <c r="J395">
        <f t="shared" ca="1" si="6"/>
        <v>0</v>
      </c>
    </row>
    <row r="396" spans="8:10" x14ac:dyDescent="0.3">
      <c r="H396" t="e">
        <f>F396*E396*VLOOKUP(G396,'FX Rates'!A:B,2,FALSE)</f>
        <v>#N/A</v>
      </c>
      <c r="J396">
        <f t="shared" ca="1" si="6"/>
        <v>0</v>
      </c>
    </row>
    <row r="397" spans="8:10" x14ac:dyDescent="0.3">
      <c r="H397" t="e">
        <f>F397*E397*VLOOKUP(G397,'FX Rates'!A:B,2,FALSE)</f>
        <v>#N/A</v>
      </c>
      <c r="J397">
        <f t="shared" ca="1" si="6"/>
        <v>0</v>
      </c>
    </row>
    <row r="398" spans="8:10" x14ac:dyDescent="0.3">
      <c r="H398" t="e">
        <f>F398*E398*VLOOKUP(G398,'FX Rates'!A:B,2,FALSE)</f>
        <v>#N/A</v>
      </c>
      <c r="J398">
        <f t="shared" ca="1" si="6"/>
        <v>0</v>
      </c>
    </row>
    <row r="399" spans="8:10" x14ac:dyDescent="0.3">
      <c r="H399" t="e">
        <f>F399*E399*VLOOKUP(G399,'FX Rates'!A:B,2,FALSE)</f>
        <v>#N/A</v>
      </c>
      <c r="J399">
        <f t="shared" ca="1" si="6"/>
        <v>0</v>
      </c>
    </row>
    <row r="400" spans="8:10" x14ac:dyDescent="0.3">
      <c r="H400" t="e">
        <f>F400*E400*VLOOKUP(G400,'FX Rates'!A:B,2,FALSE)</f>
        <v>#N/A</v>
      </c>
      <c r="J400">
        <f t="shared" ca="1" si="6"/>
        <v>0</v>
      </c>
    </row>
    <row r="401" spans="8:10" x14ac:dyDescent="0.3">
      <c r="H401" t="e">
        <f>F401*E401*VLOOKUP(G401,'FX Rates'!A:B,2,FALSE)</f>
        <v>#N/A</v>
      </c>
      <c r="J401">
        <f t="shared" ca="1" si="6"/>
        <v>0</v>
      </c>
    </row>
    <row r="402" spans="8:10" x14ac:dyDescent="0.3">
      <c r="H402" t="e">
        <f>F402*E402*VLOOKUP(G402,'FX Rates'!A:B,2,FALSE)</f>
        <v>#N/A</v>
      </c>
      <c r="J402">
        <f t="shared" ca="1" si="6"/>
        <v>0</v>
      </c>
    </row>
    <row r="403" spans="8:10" x14ac:dyDescent="0.3">
      <c r="H403" t="e">
        <f>F403*E403*VLOOKUP(G403,'FX Rates'!A:B,2,FALSE)</f>
        <v>#N/A</v>
      </c>
      <c r="J403">
        <f t="shared" ca="1" si="6"/>
        <v>0</v>
      </c>
    </row>
    <row r="404" spans="8:10" x14ac:dyDescent="0.3">
      <c r="H404" t="e">
        <f>F404*E404*VLOOKUP(G404,'FX Rates'!A:B,2,FALSE)</f>
        <v>#N/A</v>
      </c>
      <c r="J404">
        <f t="shared" ca="1" si="6"/>
        <v>0</v>
      </c>
    </row>
    <row r="405" spans="8:10" x14ac:dyDescent="0.3">
      <c r="H405" t="e">
        <f>F405*E405*VLOOKUP(G405,'FX Rates'!A:B,2,FALSE)</f>
        <v>#N/A</v>
      </c>
      <c r="J405">
        <f t="shared" ca="1" si="6"/>
        <v>0</v>
      </c>
    </row>
    <row r="406" spans="8:10" x14ac:dyDescent="0.3">
      <c r="H406" t="e">
        <f>F406*E406*VLOOKUP(G406,'FX Rates'!A:B,2,FALSE)</f>
        <v>#N/A</v>
      </c>
      <c r="J406">
        <f t="shared" ca="1" si="6"/>
        <v>0</v>
      </c>
    </row>
    <row r="407" spans="8:10" x14ac:dyDescent="0.3">
      <c r="H407" t="e">
        <f>F407*E407*VLOOKUP(G407,'FX Rates'!A:B,2,FALSE)</f>
        <v>#N/A</v>
      </c>
      <c r="J407">
        <f t="shared" ca="1" si="6"/>
        <v>0</v>
      </c>
    </row>
    <row r="408" spans="8:10" x14ac:dyDescent="0.3">
      <c r="H408" t="e">
        <f>F408*E408*VLOOKUP(G408,'FX Rates'!A:B,2,FALSE)</f>
        <v>#N/A</v>
      </c>
      <c r="J408">
        <f t="shared" ca="1" si="6"/>
        <v>0</v>
      </c>
    </row>
    <row r="409" spans="8:10" x14ac:dyDescent="0.3">
      <c r="H409" t="e">
        <f>F409*E409*VLOOKUP(G409,'FX Rates'!A:B,2,FALSE)</f>
        <v>#N/A</v>
      </c>
      <c r="J409">
        <f t="shared" ca="1" si="6"/>
        <v>0</v>
      </c>
    </row>
    <row r="410" spans="8:10" x14ac:dyDescent="0.3">
      <c r="H410" t="e">
        <f>F410*E410*VLOOKUP(G410,'FX Rates'!A:B,2,FALSE)</f>
        <v>#N/A</v>
      </c>
      <c r="J410">
        <f t="shared" ca="1" si="6"/>
        <v>0</v>
      </c>
    </row>
    <row r="411" spans="8:10" x14ac:dyDescent="0.3">
      <c r="H411" t="e">
        <f>F411*E411*VLOOKUP(G411,'FX Rates'!A:B,2,FALSE)</f>
        <v>#N/A</v>
      </c>
      <c r="J411">
        <f t="shared" ca="1" si="6"/>
        <v>0</v>
      </c>
    </row>
    <row r="412" spans="8:10" x14ac:dyDescent="0.3">
      <c r="H412" t="e">
        <f>F412*E412*VLOOKUP(G412,'FX Rates'!A:B,2,FALSE)</f>
        <v>#N/A</v>
      </c>
      <c r="J412">
        <f t="shared" ca="1" si="6"/>
        <v>0</v>
      </c>
    </row>
    <row r="413" spans="8:10" x14ac:dyDescent="0.3">
      <c r="H413" t="e">
        <f>F413*E413*VLOOKUP(G413,'FX Rates'!A:B,2,FALSE)</f>
        <v>#N/A</v>
      </c>
      <c r="J413">
        <f t="shared" ca="1" si="6"/>
        <v>0</v>
      </c>
    </row>
    <row r="414" spans="8:10" x14ac:dyDescent="0.3">
      <c r="H414" t="e">
        <f>F414*E414*VLOOKUP(G414,'FX Rates'!A:B,2,FALSE)</f>
        <v>#N/A</v>
      </c>
      <c r="J414">
        <f t="shared" ca="1" si="6"/>
        <v>0</v>
      </c>
    </row>
    <row r="415" spans="8:10" x14ac:dyDescent="0.3">
      <c r="H415" t="e">
        <f>F415*E415*VLOOKUP(G415,'FX Rates'!A:B,2,FALSE)</f>
        <v>#N/A</v>
      </c>
      <c r="J415">
        <f t="shared" ca="1" si="6"/>
        <v>0</v>
      </c>
    </row>
    <row r="416" spans="8:10" x14ac:dyDescent="0.3">
      <c r="H416" t="e">
        <f>F416*E416*VLOOKUP(G416,'FX Rates'!A:B,2,FALSE)</f>
        <v>#N/A</v>
      </c>
      <c r="J416">
        <f t="shared" ca="1" si="6"/>
        <v>0</v>
      </c>
    </row>
    <row r="417" spans="8:10" x14ac:dyDescent="0.3">
      <c r="H417" t="e">
        <f>F417*E417*VLOOKUP(G417,'FX Rates'!A:B,2,FALSE)</f>
        <v>#N/A</v>
      </c>
      <c r="J417">
        <f t="shared" ca="1" si="6"/>
        <v>0</v>
      </c>
    </row>
    <row r="418" spans="8:10" x14ac:dyDescent="0.3">
      <c r="H418" t="e">
        <f>F418*E418*VLOOKUP(G418,'FX Rates'!A:B,2,FALSE)</f>
        <v>#N/A</v>
      </c>
      <c r="J418">
        <f t="shared" ca="1" si="6"/>
        <v>0</v>
      </c>
    </row>
    <row r="419" spans="8:10" x14ac:dyDescent="0.3">
      <c r="H419" t="e">
        <f>F419*E419*VLOOKUP(G419,'FX Rates'!A:B,2,FALSE)</f>
        <v>#N/A</v>
      </c>
      <c r="J419">
        <f t="shared" ca="1" si="6"/>
        <v>0</v>
      </c>
    </row>
    <row r="420" spans="8:10" x14ac:dyDescent="0.3">
      <c r="H420" t="e">
        <f>F420*E420*VLOOKUP(G420,'FX Rates'!A:B,2,FALSE)</f>
        <v>#N/A</v>
      </c>
      <c r="J420">
        <f t="shared" ca="1" si="6"/>
        <v>0</v>
      </c>
    </row>
    <row r="421" spans="8:10" x14ac:dyDescent="0.3">
      <c r="H421" t="e">
        <f>F421*E421*VLOOKUP(G421,'FX Rates'!A:B,2,FALSE)</f>
        <v>#N/A</v>
      </c>
      <c r="J421">
        <f t="shared" ca="1" si="6"/>
        <v>0</v>
      </c>
    </row>
    <row r="422" spans="8:10" x14ac:dyDescent="0.3">
      <c r="H422" t="e">
        <f>F422*E422*VLOOKUP(G422,'FX Rates'!A:B,2,FALSE)</f>
        <v>#N/A</v>
      </c>
      <c r="J422">
        <f t="shared" ca="1" si="6"/>
        <v>0</v>
      </c>
    </row>
    <row r="423" spans="8:10" x14ac:dyDescent="0.3">
      <c r="H423" t="e">
        <f>F423*E423*VLOOKUP(G423,'FX Rates'!A:B,2,FALSE)</f>
        <v>#N/A</v>
      </c>
      <c r="J423">
        <f t="shared" ca="1" si="6"/>
        <v>0</v>
      </c>
    </row>
    <row r="424" spans="8:10" x14ac:dyDescent="0.3">
      <c r="H424" t="e">
        <f>F424*E424*VLOOKUP(G424,'FX Rates'!A:B,2,FALSE)</f>
        <v>#N/A</v>
      </c>
      <c r="J424">
        <f t="shared" ca="1" si="6"/>
        <v>0</v>
      </c>
    </row>
    <row r="425" spans="8:10" x14ac:dyDescent="0.3">
      <c r="H425" t="e">
        <f>F425*E425*VLOOKUP(G425,'FX Rates'!A:B,2,FALSE)</f>
        <v>#N/A</v>
      </c>
      <c r="J425">
        <f t="shared" ca="1" si="6"/>
        <v>0</v>
      </c>
    </row>
    <row r="426" spans="8:10" x14ac:dyDescent="0.3">
      <c r="H426" t="e">
        <f>F426*E426*VLOOKUP(G426,'FX Rates'!A:B,2,FALSE)</f>
        <v>#N/A</v>
      </c>
      <c r="J426">
        <f t="shared" ca="1" si="6"/>
        <v>0</v>
      </c>
    </row>
    <row r="427" spans="8:10" x14ac:dyDescent="0.3">
      <c r="H427" t="e">
        <f>F427*E427*VLOOKUP(G427,'FX Rates'!A:B,2,FALSE)</f>
        <v>#N/A</v>
      </c>
      <c r="J427">
        <f t="shared" ca="1" si="6"/>
        <v>0</v>
      </c>
    </row>
    <row r="428" spans="8:10" x14ac:dyDescent="0.3">
      <c r="H428" t="e">
        <f>F428*E428*VLOOKUP(G428,'FX Rates'!A:B,2,FALSE)</f>
        <v>#N/A</v>
      </c>
      <c r="J428">
        <f t="shared" ca="1" si="6"/>
        <v>0</v>
      </c>
    </row>
    <row r="429" spans="8:10" x14ac:dyDescent="0.3">
      <c r="H429" t="e">
        <f>F429*E429*VLOOKUP(G429,'FX Rates'!A:B,2,FALSE)</f>
        <v>#N/A</v>
      </c>
      <c r="J429">
        <f t="shared" ca="1" si="6"/>
        <v>0</v>
      </c>
    </row>
    <row r="430" spans="8:10" x14ac:dyDescent="0.3">
      <c r="H430" t="e">
        <f>F430*E430*VLOOKUP(G430,'FX Rates'!A:B,2,FALSE)</f>
        <v>#N/A</v>
      </c>
      <c r="J430">
        <f t="shared" ca="1" si="6"/>
        <v>0</v>
      </c>
    </row>
    <row r="431" spans="8:10" x14ac:dyDescent="0.3">
      <c r="H431" t="e">
        <f>F431*E431*VLOOKUP(G431,'FX Rates'!A:B,2,FALSE)</f>
        <v>#N/A</v>
      </c>
      <c r="J431">
        <f t="shared" ca="1" si="6"/>
        <v>0</v>
      </c>
    </row>
    <row r="432" spans="8:10" x14ac:dyDescent="0.3">
      <c r="H432" t="e">
        <f>F432*E432*VLOOKUP(G432,'FX Rates'!A:B,2,FALSE)</f>
        <v>#N/A</v>
      </c>
      <c r="J432">
        <f t="shared" ca="1" si="6"/>
        <v>0</v>
      </c>
    </row>
    <row r="433" spans="8:10" x14ac:dyDescent="0.3">
      <c r="H433" t="e">
        <f>F433*E433*VLOOKUP(G433,'FX Rates'!A:B,2,FALSE)</f>
        <v>#N/A</v>
      </c>
      <c r="J433">
        <f t="shared" ca="1" si="6"/>
        <v>0</v>
      </c>
    </row>
    <row r="434" spans="8:10" x14ac:dyDescent="0.3">
      <c r="H434" t="e">
        <f>F434*E434*VLOOKUP(G434,'FX Rates'!A:B,2,FALSE)</f>
        <v>#N/A</v>
      </c>
      <c r="J434">
        <f t="shared" ca="1" si="6"/>
        <v>0</v>
      </c>
    </row>
    <row r="435" spans="8:10" x14ac:dyDescent="0.3">
      <c r="H435" t="e">
        <f>F435*E435*VLOOKUP(G435,'FX Rates'!A:B,2,FALSE)</f>
        <v>#N/A</v>
      </c>
      <c r="J435">
        <f t="shared" ca="1" si="6"/>
        <v>0</v>
      </c>
    </row>
    <row r="436" spans="8:10" x14ac:dyDescent="0.3">
      <c r="H436" t="e">
        <f>F436*E436*VLOOKUP(G436,'FX Rates'!A:B,2,FALSE)</f>
        <v>#N/A</v>
      </c>
      <c r="J436">
        <f t="shared" ca="1" si="6"/>
        <v>0</v>
      </c>
    </row>
    <row r="437" spans="8:10" x14ac:dyDescent="0.3">
      <c r="H437" t="e">
        <f>F437*E437*VLOOKUP(G437,'FX Rates'!A:B,2,FALSE)</f>
        <v>#N/A</v>
      </c>
      <c r="J437">
        <f t="shared" ca="1" si="6"/>
        <v>0</v>
      </c>
    </row>
    <row r="438" spans="8:10" x14ac:dyDescent="0.3">
      <c r="H438" t="e">
        <f>F438*E438*VLOOKUP(G438,'FX Rates'!A:B,2,FALSE)</f>
        <v>#N/A</v>
      </c>
      <c r="J438">
        <f t="shared" ca="1" si="6"/>
        <v>0</v>
      </c>
    </row>
    <row r="439" spans="8:10" x14ac:dyDescent="0.3">
      <c r="H439" t="e">
        <f>F439*E439*VLOOKUP(G439,'FX Rates'!A:B,2,FALSE)</f>
        <v>#N/A</v>
      </c>
      <c r="J439">
        <f t="shared" ca="1" si="6"/>
        <v>0</v>
      </c>
    </row>
    <row r="440" spans="8:10" x14ac:dyDescent="0.3">
      <c r="H440" t="e">
        <f>F440*E440*VLOOKUP(G440,'FX Rates'!A:B,2,FALSE)</f>
        <v>#N/A</v>
      </c>
      <c r="J440">
        <f t="shared" ca="1" si="6"/>
        <v>0</v>
      </c>
    </row>
    <row r="441" spans="8:10" x14ac:dyDescent="0.3">
      <c r="H441" t="e">
        <f>F441*E441*VLOOKUP(G441,'FX Rates'!A:B,2,FALSE)</f>
        <v>#N/A</v>
      </c>
      <c r="J441">
        <f t="shared" ca="1" si="6"/>
        <v>0</v>
      </c>
    </row>
    <row r="442" spans="8:10" x14ac:dyDescent="0.3">
      <c r="H442" t="e">
        <f>F442*E442*VLOOKUP(G442,'FX Rates'!A:B,2,FALSE)</f>
        <v>#N/A</v>
      </c>
      <c r="J442">
        <f t="shared" ca="1" si="6"/>
        <v>0</v>
      </c>
    </row>
    <row r="443" spans="8:10" x14ac:dyDescent="0.3">
      <c r="H443" t="e">
        <f>F443*E443*VLOOKUP(G443,'FX Rates'!A:B,2,FALSE)</f>
        <v>#N/A</v>
      </c>
      <c r="J443">
        <f t="shared" ca="1" si="6"/>
        <v>0</v>
      </c>
    </row>
    <row r="444" spans="8:10" x14ac:dyDescent="0.3">
      <c r="H444" t="e">
        <f>F444*E444*VLOOKUP(G444,'FX Rates'!A:B,2,FALSE)</f>
        <v>#N/A</v>
      </c>
      <c r="J444">
        <f t="shared" ca="1" si="6"/>
        <v>0</v>
      </c>
    </row>
    <row r="445" spans="8:10" x14ac:dyDescent="0.3">
      <c r="H445" t="e">
        <f>F445*E445*VLOOKUP(G445,'FX Rates'!A:B,2,FALSE)</f>
        <v>#N/A</v>
      </c>
      <c r="J445">
        <f t="shared" ca="1" si="6"/>
        <v>0</v>
      </c>
    </row>
    <row r="446" spans="8:10" x14ac:dyDescent="0.3">
      <c r="H446" t="e">
        <f>F446*E446*VLOOKUP(G446,'FX Rates'!A:B,2,FALSE)</f>
        <v>#N/A</v>
      </c>
      <c r="J446">
        <f t="shared" ca="1" si="6"/>
        <v>0</v>
      </c>
    </row>
    <row r="447" spans="8:10" x14ac:dyDescent="0.3">
      <c r="H447" t="e">
        <f>F447*E447*VLOOKUP(G447,'FX Rates'!A:B,2,FALSE)</f>
        <v>#N/A</v>
      </c>
      <c r="J447">
        <f t="shared" ca="1" si="6"/>
        <v>0</v>
      </c>
    </row>
    <row r="448" spans="8:10" x14ac:dyDescent="0.3">
      <c r="H448" t="e">
        <f>F448*E448*VLOOKUP(G448,'FX Rates'!A:B,2,FALSE)</f>
        <v>#N/A</v>
      </c>
      <c r="J448">
        <f t="shared" ca="1" si="6"/>
        <v>0</v>
      </c>
    </row>
    <row r="449" spans="8:10" x14ac:dyDescent="0.3">
      <c r="H449" t="e">
        <f>F449*E449*VLOOKUP(G449,'FX Rates'!A:B,2,FALSE)</f>
        <v>#N/A</v>
      </c>
      <c r="J449">
        <f t="shared" ca="1" si="6"/>
        <v>0</v>
      </c>
    </row>
    <row r="450" spans="8:10" x14ac:dyDescent="0.3">
      <c r="H450" t="e">
        <f>F450*E450*VLOOKUP(G450,'FX Rates'!A:B,2,FALSE)</f>
        <v>#N/A</v>
      </c>
      <c r="J450">
        <f t="shared" ref="J450:J513" ca="1" si="7">IF(I450="",0,TODAY()-I450)</f>
        <v>0</v>
      </c>
    </row>
    <row r="451" spans="8:10" x14ac:dyDescent="0.3">
      <c r="H451" t="e">
        <f>F451*E451*VLOOKUP(G451,'FX Rates'!A:B,2,FALSE)</f>
        <v>#N/A</v>
      </c>
      <c r="J451">
        <f t="shared" ca="1" si="7"/>
        <v>0</v>
      </c>
    </row>
    <row r="452" spans="8:10" x14ac:dyDescent="0.3">
      <c r="H452" t="e">
        <f>F452*E452*VLOOKUP(G452,'FX Rates'!A:B,2,FALSE)</f>
        <v>#N/A</v>
      </c>
      <c r="J452">
        <f t="shared" ca="1" si="7"/>
        <v>0</v>
      </c>
    </row>
    <row r="453" spans="8:10" x14ac:dyDescent="0.3">
      <c r="H453" t="e">
        <f>F453*E453*VLOOKUP(G453,'FX Rates'!A:B,2,FALSE)</f>
        <v>#N/A</v>
      </c>
      <c r="J453">
        <f t="shared" ca="1" si="7"/>
        <v>0</v>
      </c>
    </row>
    <row r="454" spans="8:10" x14ac:dyDescent="0.3">
      <c r="H454" t="e">
        <f>F454*E454*VLOOKUP(G454,'FX Rates'!A:B,2,FALSE)</f>
        <v>#N/A</v>
      </c>
      <c r="J454">
        <f t="shared" ca="1" si="7"/>
        <v>0</v>
      </c>
    </row>
    <row r="455" spans="8:10" x14ac:dyDescent="0.3">
      <c r="H455" t="e">
        <f>F455*E455*VLOOKUP(G455,'FX Rates'!A:B,2,FALSE)</f>
        <v>#N/A</v>
      </c>
      <c r="J455">
        <f t="shared" ca="1" si="7"/>
        <v>0</v>
      </c>
    </row>
    <row r="456" spans="8:10" x14ac:dyDescent="0.3">
      <c r="H456" t="e">
        <f>F456*E456*VLOOKUP(G456,'FX Rates'!A:B,2,FALSE)</f>
        <v>#N/A</v>
      </c>
      <c r="J456">
        <f t="shared" ca="1" si="7"/>
        <v>0</v>
      </c>
    </row>
    <row r="457" spans="8:10" x14ac:dyDescent="0.3">
      <c r="H457" t="e">
        <f>F457*E457*VLOOKUP(G457,'FX Rates'!A:B,2,FALSE)</f>
        <v>#N/A</v>
      </c>
      <c r="J457">
        <f t="shared" ca="1" si="7"/>
        <v>0</v>
      </c>
    </row>
    <row r="458" spans="8:10" x14ac:dyDescent="0.3">
      <c r="H458" t="e">
        <f>F458*E458*VLOOKUP(G458,'FX Rates'!A:B,2,FALSE)</f>
        <v>#N/A</v>
      </c>
      <c r="J458">
        <f t="shared" ca="1" si="7"/>
        <v>0</v>
      </c>
    </row>
    <row r="459" spans="8:10" x14ac:dyDescent="0.3">
      <c r="H459" t="e">
        <f>F459*E459*VLOOKUP(G459,'FX Rates'!A:B,2,FALSE)</f>
        <v>#N/A</v>
      </c>
      <c r="J459">
        <f t="shared" ca="1" si="7"/>
        <v>0</v>
      </c>
    </row>
    <row r="460" spans="8:10" x14ac:dyDescent="0.3">
      <c r="H460" t="e">
        <f>F460*E460*VLOOKUP(G460,'FX Rates'!A:B,2,FALSE)</f>
        <v>#N/A</v>
      </c>
      <c r="J460">
        <f t="shared" ca="1" si="7"/>
        <v>0</v>
      </c>
    </row>
    <row r="461" spans="8:10" x14ac:dyDescent="0.3">
      <c r="H461" t="e">
        <f>F461*E461*VLOOKUP(G461,'FX Rates'!A:B,2,FALSE)</f>
        <v>#N/A</v>
      </c>
      <c r="J461">
        <f t="shared" ca="1" si="7"/>
        <v>0</v>
      </c>
    </row>
    <row r="462" spans="8:10" x14ac:dyDescent="0.3">
      <c r="H462" t="e">
        <f>F462*E462*VLOOKUP(G462,'FX Rates'!A:B,2,FALSE)</f>
        <v>#N/A</v>
      </c>
      <c r="J462">
        <f t="shared" ca="1" si="7"/>
        <v>0</v>
      </c>
    </row>
    <row r="463" spans="8:10" x14ac:dyDescent="0.3">
      <c r="H463" t="e">
        <f>F463*E463*VLOOKUP(G463,'FX Rates'!A:B,2,FALSE)</f>
        <v>#N/A</v>
      </c>
      <c r="J463">
        <f t="shared" ca="1" si="7"/>
        <v>0</v>
      </c>
    </row>
    <row r="464" spans="8:10" x14ac:dyDescent="0.3">
      <c r="H464" t="e">
        <f>F464*E464*VLOOKUP(G464,'FX Rates'!A:B,2,FALSE)</f>
        <v>#N/A</v>
      </c>
      <c r="J464">
        <f t="shared" ca="1" si="7"/>
        <v>0</v>
      </c>
    </row>
    <row r="465" spans="8:10" x14ac:dyDescent="0.3">
      <c r="H465" t="e">
        <f>F465*E465*VLOOKUP(G465,'FX Rates'!A:B,2,FALSE)</f>
        <v>#N/A</v>
      </c>
      <c r="J465">
        <f t="shared" ca="1" si="7"/>
        <v>0</v>
      </c>
    </row>
    <row r="466" spans="8:10" x14ac:dyDescent="0.3">
      <c r="H466" t="e">
        <f>F466*E466*VLOOKUP(G466,'FX Rates'!A:B,2,FALSE)</f>
        <v>#N/A</v>
      </c>
      <c r="J466">
        <f t="shared" ca="1" si="7"/>
        <v>0</v>
      </c>
    </row>
    <row r="467" spans="8:10" x14ac:dyDescent="0.3">
      <c r="H467" t="e">
        <f>F467*E467*VLOOKUP(G467,'FX Rates'!A:B,2,FALSE)</f>
        <v>#N/A</v>
      </c>
      <c r="J467">
        <f t="shared" ca="1" si="7"/>
        <v>0</v>
      </c>
    </row>
    <row r="468" spans="8:10" x14ac:dyDescent="0.3">
      <c r="H468" t="e">
        <f>F468*E468*VLOOKUP(G468,'FX Rates'!A:B,2,FALSE)</f>
        <v>#N/A</v>
      </c>
      <c r="J468">
        <f t="shared" ca="1" si="7"/>
        <v>0</v>
      </c>
    </row>
    <row r="469" spans="8:10" x14ac:dyDescent="0.3">
      <c r="H469" t="e">
        <f>F469*E469*VLOOKUP(G469,'FX Rates'!A:B,2,FALSE)</f>
        <v>#N/A</v>
      </c>
      <c r="J469">
        <f t="shared" ca="1" si="7"/>
        <v>0</v>
      </c>
    </row>
    <row r="470" spans="8:10" x14ac:dyDescent="0.3">
      <c r="H470" t="e">
        <f>F470*E470*VLOOKUP(G470,'FX Rates'!A:B,2,FALSE)</f>
        <v>#N/A</v>
      </c>
      <c r="J470">
        <f t="shared" ca="1" si="7"/>
        <v>0</v>
      </c>
    </row>
    <row r="471" spans="8:10" x14ac:dyDescent="0.3">
      <c r="H471" t="e">
        <f>F471*E471*VLOOKUP(G471,'FX Rates'!A:B,2,FALSE)</f>
        <v>#N/A</v>
      </c>
      <c r="J471">
        <f t="shared" ca="1" si="7"/>
        <v>0</v>
      </c>
    </row>
    <row r="472" spans="8:10" x14ac:dyDescent="0.3">
      <c r="H472" t="e">
        <f>F472*E472*VLOOKUP(G472,'FX Rates'!A:B,2,FALSE)</f>
        <v>#N/A</v>
      </c>
      <c r="J472">
        <f t="shared" ca="1" si="7"/>
        <v>0</v>
      </c>
    </row>
    <row r="473" spans="8:10" x14ac:dyDescent="0.3">
      <c r="H473" t="e">
        <f>F473*E473*VLOOKUP(G473,'FX Rates'!A:B,2,FALSE)</f>
        <v>#N/A</v>
      </c>
      <c r="J473">
        <f t="shared" ca="1" si="7"/>
        <v>0</v>
      </c>
    </row>
    <row r="474" spans="8:10" x14ac:dyDescent="0.3">
      <c r="H474" t="e">
        <f>F474*E474*VLOOKUP(G474,'FX Rates'!A:B,2,FALSE)</f>
        <v>#N/A</v>
      </c>
      <c r="J474">
        <f t="shared" ca="1" si="7"/>
        <v>0</v>
      </c>
    </row>
    <row r="475" spans="8:10" x14ac:dyDescent="0.3">
      <c r="H475" t="e">
        <f>F475*E475*VLOOKUP(G475,'FX Rates'!A:B,2,FALSE)</f>
        <v>#N/A</v>
      </c>
      <c r="J475">
        <f t="shared" ca="1" si="7"/>
        <v>0</v>
      </c>
    </row>
    <row r="476" spans="8:10" x14ac:dyDescent="0.3">
      <c r="H476" t="e">
        <f>F476*E476*VLOOKUP(G476,'FX Rates'!A:B,2,FALSE)</f>
        <v>#N/A</v>
      </c>
      <c r="J476">
        <f t="shared" ca="1" si="7"/>
        <v>0</v>
      </c>
    </row>
    <row r="477" spans="8:10" x14ac:dyDescent="0.3">
      <c r="H477" t="e">
        <f>F477*E477*VLOOKUP(G477,'FX Rates'!A:B,2,FALSE)</f>
        <v>#N/A</v>
      </c>
      <c r="J477">
        <f t="shared" ca="1" si="7"/>
        <v>0</v>
      </c>
    </row>
    <row r="478" spans="8:10" x14ac:dyDescent="0.3">
      <c r="H478" t="e">
        <f>F478*E478*VLOOKUP(G478,'FX Rates'!A:B,2,FALSE)</f>
        <v>#N/A</v>
      </c>
      <c r="J478">
        <f t="shared" ca="1" si="7"/>
        <v>0</v>
      </c>
    </row>
    <row r="479" spans="8:10" x14ac:dyDescent="0.3">
      <c r="H479" t="e">
        <f>F479*E479*VLOOKUP(G479,'FX Rates'!A:B,2,FALSE)</f>
        <v>#N/A</v>
      </c>
      <c r="J479">
        <f t="shared" ca="1" si="7"/>
        <v>0</v>
      </c>
    </row>
    <row r="480" spans="8:10" x14ac:dyDescent="0.3">
      <c r="H480" t="e">
        <f>F480*E480*VLOOKUP(G480,'FX Rates'!A:B,2,FALSE)</f>
        <v>#N/A</v>
      </c>
      <c r="J480">
        <f t="shared" ca="1" si="7"/>
        <v>0</v>
      </c>
    </row>
    <row r="481" spans="8:10" x14ac:dyDescent="0.3">
      <c r="H481" t="e">
        <f>F481*E481*VLOOKUP(G481,'FX Rates'!A:B,2,FALSE)</f>
        <v>#N/A</v>
      </c>
      <c r="J481">
        <f t="shared" ca="1" si="7"/>
        <v>0</v>
      </c>
    </row>
    <row r="482" spans="8:10" x14ac:dyDescent="0.3">
      <c r="H482" t="e">
        <f>F482*E482*VLOOKUP(G482,'FX Rates'!A:B,2,FALSE)</f>
        <v>#N/A</v>
      </c>
      <c r="J482">
        <f t="shared" ca="1" si="7"/>
        <v>0</v>
      </c>
    </row>
    <row r="483" spans="8:10" x14ac:dyDescent="0.3">
      <c r="H483" t="e">
        <f>F483*E483*VLOOKUP(G483,'FX Rates'!A:B,2,FALSE)</f>
        <v>#N/A</v>
      </c>
      <c r="J483">
        <f t="shared" ca="1" si="7"/>
        <v>0</v>
      </c>
    </row>
    <row r="484" spans="8:10" x14ac:dyDescent="0.3">
      <c r="H484" t="e">
        <f>F484*E484*VLOOKUP(G484,'FX Rates'!A:B,2,FALSE)</f>
        <v>#N/A</v>
      </c>
      <c r="J484">
        <f t="shared" ca="1" si="7"/>
        <v>0</v>
      </c>
    </row>
    <row r="485" spans="8:10" x14ac:dyDescent="0.3">
      <c r="H485" t="e">
        <f>F485*E485*VLOOKUP(G485,'FX Rates'!A:B,2,FALSE)</f>
        <v>#N/A</v>
      </c>
      <c r="J485">
        <f t="shared" ca="1" si="7"/>
        <v>0</v>
      </c>
    </row>
    <row r="486" spans="8:10" x14ac:dyDescent="0.3">
      <c r="H486" t="e">
        <f>F486*E486*VLOOKUP(G486,'FX Rates'!A:B,2,FALSE)</f>
        <v>#N/A</v>
      </c>
      <c r="J486">
        <f t="shared" ca="1" si="7"/>
        <v>0</v>
      </c>
    </row>
    <row r="487" spans="8:10" x14ac:dyDescent="0.3">
      <c r="H487" t="e">
        <f>F487*E487*VLOOKUP(G487,'FX Rates'!A:B,2,FALSE)</f>
        <v>#N/A</v>
      </c>
      <c r="J487">
        <f t="shared" ca="1" si="7"/>
        <v>0</v>
      </c>
    </row>
    <row r="488" spans="8:10" x14ac:dyDescent="0.3">
      <c r="H488" t="e">
        <f>F488*E488*VLOOKUP(G488,'FX Rates'!A:B,2,FALSE)</f>
        <v>#N/A</v>
      </c>
      <c r="J488">
        <f t="shared" ca="1" si="7"/>
        <v>0</v>
      </c>
    </row>
    <row r="489" spans="8:10" x14ac:dyDescent="0.3">
      <c r="H489" t="e">
        <f>F489*E489*VLOOKUP(G489,'FX Rates'!A:B,2,FALSE)</f>
        <v>#N/A</v>
      </c>
      <c r="J489">
        <f t="shared" ca="1" si="7"/>
        <v>0</v>
      </c>
    </row>
    <row r="490" spans="8:10" x14ac:dyDescent="0.3">
      <c r="H490" t="e">
        <f>F490*E490*VLOOKUP(G490,'FX Rates'!A:B,2,FALSE)</f>
        <v>#N/A</v>
      </c>
      <c r="J490">
        <f t="shared" ca="1" si="7"/>
        <v>0</v>
      </c>
    </row>
    <row r="491" spans="8:10" x14ac:dyDescent="0.3">
      <c r="H491" t="e">
        <f>F491*E491*VLOOKUP(G491,'FX Rates'!A:B,2,FALSE)</f>
        <v>#N/A</v>
      </c>
      <c r="J491">
        <f t="shared" ca="1" si="7"/>
        <v>0</v>
      </c>
    </row>
    <row r="492" spans="8:10" x14ac:dyDescent="0.3">
      <c r="H492" t="e">
        <f>F492*E492*VLOOKUP(G492,'FX Rates'!A:B,2,FALSE)</f>
        <v>#N/A</v>
      </c>
      <c r="J492">
        <f t="shared" ca="1" si="7"/>
        <v>0</v>
      </c>
    </row>
    <row r="493" spans="8:10" x14ac:dyDescent="0.3">
      <c r="H493" t="e">
        <f>F493*E493*VLOOKUP(G493,'FX Rates'!A:B,2,FALSE)</f>
        <v>#N/A</v>
      </c>
      <c r="J493">
        <f t="shared" ca="1" si="7"/>
        <v>0</v>
      </c>
    </row>
    <row r="494" spans="8:10" x14ac:dyDescent="0.3">
      <c r="H494" t="e">
        <f>F494*E494*VLOOKUP(G494,'FX Rates'!A:B,2,FALSE)</f>
        <v>#N/A</v>
      </c>
      <c r="J494">
        <f t="shared" ca="1" si="7"/>
        <v>0</v>
      </c>
    </row>
    <row r="495" spans="8:10" x14ac:dyDescent="0.3">
      <c r="H495" t="e">
        <f>F495*E495*VLOOKUP(G495,'FX Rates'!A:B,2,FALSE)</f>
        <v>#N/A</v>
      </c>
      <c r="J495">
        <f t="shared" ca="1" si="7"/>
        <v>0</v>
      </c>
    </row>
    <row r="496" spans="8:10" x14ac:dyDescent="0.3">
      <c r="H496" t="e">
        <f>F496*E496*VLOOKUP(G496,'FX Rates'!A:B,2,FALSE)</f>
        <v>#N/A</v>
      </c>
      <c r="J496">
        <f t="shared" ca="1" si="7"/>
        <v>0</v>
      </c>
    </row>
    <row r="497" spans="8:10" x14ac:dyDescent="0.3">
      <c r="H497" t="e">
        <f>F497*E497*VLOOKUP(G497,'FX Rates'!A:B,2,FALSE)</f>
        <v>#N/A</v>
      </c>
      <c r="J497">
        <f t="shared" ca="1" si="7"/>
        <v>0</v>
      </c>
    </row>
    <row r="498" spans="8:10" x14ac:dyDescent="0.3">
      <c r="H498" t="e">
        <f>F498*E498*VLOOKUP(G498,'FX Rates'!A:B,2,FALSE)</f>
        <v>#N/A</v>
      </c>
      <c r="J498">
        <f t="shared" ca="1" si="7"/>
        <v>0</v>
      </c>
    </row>
    <row r="499" spans="8:10" x14ac:dyDescent="0.3">
      <c r="H499" t="e">
        <f>F499*E499*VLOOKUP(G499,'FX Rates'!A:B,2,FALSE)</f>
        <v>#N/A</v>
      </c>
      <c r="J499">
        <f t="shared" ca="1" si="7"/>
        <v>0</v>
      </c>
    </row>
    <row r="500" spans="8:10" x14ac:dyDescent="0.3">
      <c r="H500" t="e">
        <f>F500*E500*VLOOKUP(G500,'FX Rates'!A:B,2,FALSE)</f>
        <v>#N/A</v>
      </c>
      <c r="J500">
        <f t="shared" ca="1" si="7"/>
        <v>0</v>
      </c>
    </row>
    <row r="501" spans="8:10" x14ac:dyDescent="0.3">
      <c r="H501" t="e">
        <f>F501*E501*VLOOKUP(G501,'FX Rates'!A:B,2,FALSE)</f>
        <v>#N/A</v>
      </c>
      <c r="J501">
        <f t="shared" ca="1" si="7"/>
        <v>0</v>
      </c>
    </row>
    <row r="502" spans="8:10" x14ac:dyDescent="0.3">
      <c r="H502" t="e">
        <f>F502*E502*VLOOKUP(G502,'FX Rates'!A:B,2,FALSE)</f>
        <v>#N/A</v>
      </c>
      <c r="J502">
        <f t="shared" ca="1" si="7"/>
        <v>0</v>
      </c>
    </row>
    <row r="503" spans="8:10" x14ac:dyDescent="0.3">
      <c r="H503" t="e">
        <f>F503*E503*VLOOKUP(G503,'FX Rates'!A:B,2,FALSE)</f>
        <v>#N/A</v>
      </c>
      <c r="J503">
        <f t="shared" ca="1" si="7"/>
        <v>0</v>
      </c>
    </row>
    <row r="504" spans="8:10" x14ac:dyDescent="0.3">
      <c r="H504" t="e">
        <f>F504*E504*VLOOKUP(G504,'FX Rates'!A:B,2,FALSE)</f>
        <v>#N/A</v>
      </c>
      <c r="J504">
        <f t="shared" ca="1" si="7"/>
        <v>0</v>
      </c>
    </row>
    <row r="505" spans="8:10" x14ac:dyDescent="0.3">
      <c r="H505" t="e">
        <f>F505*E505*VLOOKUP(G505,'FX Rates'!A:B,2,FALSE)</f>
        <v>#N/A</v>
      </c>
      <c r="J505">
        <f t="shared" ca="1" si="7"/>
        <v>0</v>
      </c>
    </row>
    <row r="506" spans="8:10" x14ac:dyDescent="0.3">
      <c r="H506" t="e">
        <f>F506*E506*VLOOKUP(G506,'FX Rates'!A:B,2,FALSE)</f>
        <v>#N/A</v>
      </c>
      <c r="J506">
        <f t="shared" ca="1" si="7"/>
        <v>0</v>
      </c>
    </row>
    <row r="507" spans="8:10" x14ac:dyDescent="0.3">
      <c r="H507" t="e">
        <f>F507*E507*VLOOKUP(G507,'FX Rates'!A:B,2,FALSE)</f>
        <v>#N/A</v>
      </c>
      <c r="J507">
        <f t="shared" ca="1" si="7"/>
        <v>0</v>
      </c>
    </row>
    <row r="508" spans="8:10" x14ac:dyDescent="0.3">
      <c r="H508" t="e">
        <f>F508*E508*VLOOKUP(G508,'FX Rates'!A:B,2,FALSE)</f>
        <v>#N/A</v>
      </c>
      <c r="J508">
        <f t="shared" ca="1" si="7"/>
        <v>0</v>
      </c>
    </row>
    <row r="509" spans="8:10" x14ac:dyDescent="0.3">
      <c r="H509" t="e">
        <f>F509*E509*VLOOKUP(G509,'FX Rates'!A:B,2,FALSE)</f>
        <v>#N/A</v>
      </c>
      <c r="J509">
        <f t="shared" ca="1" si="7"/>
        <v>0</v>
      </c>
    </row>
    <row r="510" spans="8:10" x14ac:dyDescent="0.3">
      <c r="H510" t="e">
        <f>F510*E510*VLOOKUP(G510,'FX Rates'!A:B,2,FALSE)</f>
        <v>#N/A</v>
      </c>
      <c r="J510">
        <f t="shared" ca="1" si="7"/>
        <v>0</v>
      </c>
    </row>
    <row r="511" spans="8:10" x14ac:dyDescent="0.3">
      <c r="H511" t="e">
        <f>F511*E511*VLOOKUP(G511,'FX Rates'!A:B,2,FALSE)</f>
        <v>#N/A</v>
      </c>
      <c r="J511">
        <f t="shared" ca="1" si="7"/>
        <v>0</v>
      </c>
    </row>
    <row r="512" spans="8:10" x14ac:dyDescent="0.3">
      <c r="H512" t="e">
        <f>F512*E512*VLOOKUP(G512,'FX Rates'!A:B,2,FALSE)</f>
        <v>#N/A</v>
      </c>
      <c r="J512">
        <f t="shared" ca="1" si="7"/>
        <v>0</v>
      </c>
    </row>
    <row r="513" spans="8:10" x14ac:dyDescent="0.3">
      <c r="H513" t="e">
        <f>F513*E513*VLOOKUP(G513,'FX Rates'!A:B,2,FALSE)</f>
        <v>#N/A</v>
      </c>
      <c r="J513">
        <f t="shared" ca="1" si="7"/>
        <v>0</v>
      </c>
    </row>
    <row r="514" spans="8:10" x14ac:dyDescent="0.3">
      <c r="H514" t="e">
        <f>F514*E514*VLOOKUP(G514,'FX Rates'!A:B,2,FALSE)</f>
        <v>#N/A</v>
      </c>
      <c r="J514">
        <f t="shared" ref="J514:J577" ca="1" si="8">IF(I514="",0,TODAY()-I514)</f>
        <v>0</v>
      </c>
    </row>
    <row r="515" spans="8:10" x14ac:dyDescent="0.3">
      <c r="H515" t="e">
        <f>F515*E515*VLOOKUP(G515,'FX Rates'!A:B,2,FALSE)</f>
        <v>#N/A</v>
      </c>
      <c r="J515">
        <f t="shared" ca="1" si="8"/>
        <v>0</v>
      </c>
    </row>
    <row r="516" spans="8:10" x14ac:dyDescent="0.3">
      <c r="H516" t="e">
        <f>F516*E516*VLOOKUP(G516,'FX Rates'!A:B,2,FALSE)</f>
        <v>#N/A</v>
      </c>
      <c r="J516">
        <f t="shared" ca="1" si="8"/>
        <v>0</v>
      </c>
    </row>
    <row r="517" spans="8:10" x14ac:dyDescent="0.3">
      <c r="H517" t="e">
        <f>F517*E517*VLOOKUP(G517,'FX Rates'!A:B,2,FALSE)</f>
        <v>#N/A</v>
      </c>
      <c r="J517">
        <f t="shared" ca="1" si="8"/>
        <v>0</v>
      </c>
    </row>
    <row r="518" spans="8:10" x14ac:dyDescent="0.3">
      <c r="H518" t="e">
        <f>F518*E518*VLOOKUP(G518,'FX Rates'!A:B,2,FALSE)</f>
        <v>#N/A</v>
      </c>
      <c r="J518">
        <f t="shared" ca="1" si="8"/>
        <v>0</v>
      </c>
    </row>
    <row r="519" spans="8:10" x14ac:dyDescent="0.3">
      <c r="H519" t="e">
        <f>F519*E519*VLOOKUP(G519,'FX Rates'!A:B,2,FALSE)</f>
        <v>#N/A</v>
      </c>
      <c r="J519">
        <f t="shared" ca="1" si="8"/>
        <v>0</v>
      </c>
    </row>
    <row r="520" spans="8:10" x14ac:dyDescent="0.3">
      <c r="H520" t="e">
        <f>F520*E520*VLOOKUP(G520,'FX Rates'!A:B,2,FALSE)</f>
        <v>#N/A</v>
      </c>
      <c r="J520">
        <f t="shared" ca="1" si="8"/>
        <v>0</v>
      </c>
    </row>
    <row r="521" spans="8:10" x14ac:dyDescent="0.3">
      <c r="H521" t="e">
        <f>F521*E521*VLOOKUP(G521,'FX Rates'!A:B,2,FALSE)</f>
        <v>#N/A</v>
      </c>
      <c r="J521">
        <f t="shared" ca="1" si="8"/>
        <v>0</v>
      </c>
    </row>
    <row r="522" spans="8:10" x14ac:dyDescent="0.3">
      <c r="H522" t="e">
        <f>F522*E522*VLOOKUP(G522,'FX Rates'!A:B,2,FALSE)</f>
        <v>#N/A</v>
      </c>
      <c r="J522">
        <f t="shared" ca="1" si="8"/>
        <v>0</v>
      </c>
    </row>
    <row r="523" spans="8:10" x14ac:dyDescent="0.3">
      <c r="H523" t="e">
        <f>F523*E523*VLOOKUP(G523,'FX Rates'!A:B,2,FALSE)</f>
        <v>#N/A</v>
      </c>
      <c r="J523">
        <f t="shared" ca="1" si="8"/>
        <v>0</v>
      </c>
    </row>
    <row r="524" spans="8:10" x14ac:dyDescent="0.3">
      <c r="H524" t="e">
        <f>F524*E524*VLOOKUP(G524,'FX Rates'!A:B,2,FALSE)</f>
        <v>#N/A</v>
      </c>
      <c r="J524">
        <f t="shared" ca="1" si="8"/>
        <v>0</v>
      </c>
    </row>
    <row r="525" spans="8:10" x14ac:dyDescent="0.3">
      <c r="H525" t="e">
        <f>F525*E525*VLOOKUP(G525,'FX Rates'!A:B,2,FALSE)</f>
        <v>#N/A</v>
      </c>
      <c r="J525">
        <f t="shared" ca="1" si="8"/>
        <v>0</v>
      </c>
    </row>
    <row r="526" spans="8:10" x14ac:dyDescent="0.3">
      <c r="H526" t="e">
        <f>F526*E526*VLOOKUP(G526,'FX Rates'!A:B,2,FALSE)</f>
        <v>#N/A</v>
      </c>
      <c r="J526">
        <f t="shared" ca="1" si="8"/>
        <v>0</v>
      </c>
    </row>
    <row r="527" spans="8:10" x14ac:dyDescent="0.3">
      <c r="H527" t="e">
        <f>F527*E527*VLOOKUP(G527,'FX Rates'!A:B,2,FALSE)</f>
        <v>#N/A</v>
      </c>
      <c r="J527">
        <f t="shared" ca="1" si="8"/>
        <v>0</v>
      </c>
    </row>
    <row r="528" spans="8:10" x14ac:dyDescent="0.3">
      <c r="H528" t="e">
        <f>F528*E528*VLOOKUP(G528,'FX Rates'!A:B,2,FALSE)</f>
        <v>#N/A</v>
      </c>
      <c r="J528">
        <f t="shared" ca="1" si="8"/>
        <v>0</v>
      </c>
    </row>
    <row r="529" spans="8:10" x14ac:dyDescent="0.3">
      <c r="H529" t="e">
        <f>F529*E529*VLOOKUP(G529,'FX Rates'!A:B,2,FALSE)</f>
        <v>#N/A</v>
      </c>
      <c r="J529">
        <f t="shared" ca="1" si="8"/>
        <v>0</v>
      </c>
    </row>
    <row r="530" spans="8:10" x14ac:dyDescent="0.3">
      <c r="H530" t="e">
        <f>F530*E530*VLOOKUP(G530,'FX Rates'!A:B,2,FALSE)</f>
        <v>#N/A</v>
      </c>
      <c r="J530">
        <f t="shared" ca="1" si="8"/>
        <v>0</v>
      </c>
    </row>
    <row r="531" spans="8:10" x14ac:dyDescent="0.3">
      <c r="H531" t="e">
        <f>F531*E531*VLOOKUP(G531,'FX Rates'!A:B,2,FALSE)</f>
        <v>#N/A</v>
      </c>
      <c r="J531">
        <f t="shared" ca="1" si="8"/>
        <v>0</v>
      </c>
    </row>
    <row r="532" spans="8:10" x14ac:dyDescent="0.3">
      <c r="H532" t="e">
        <f>F532*E532*VLOOKUP(G532,'FX Rates'!A:B,2,FALSE)</f>
        <v>#N/A</v>
      </c>
      <c r="J532">
        <f t="shared" ca="1" si="8"/>
        <v>0</v>
      </c>
    </row>
    <row r="533" spans="8:10" x14ac:dyDescent="0.3">
      <c r="H533" t="e">
        <f>F533*E533*VLOOKUP(G533,'FX Rates'!A:B,2,FALSE)</f>
        <v>#N/A</v>
      </c>
      <c r="J533">
        <f t="shared" ca="1" si="8"/>
        <v>0</v>
      </c>
    </row>
    <row r="534" spans="8:10" x14ac:dyDescent="0.3">
      <c r="H534" t="e">
        <f>F534*E534*VLOOKUP(G534,'FX Rates'!A:B,2,FALSE)</f>
        <v>#N/A</v>
      </c>
      <c r="J534">
        <f t="shared" ca="1" si="8"/>
        <v>0</v>
      </c>
    </row>
    <row r="535" spans="8:10" x14ac:dyDescent="0.3">
      <c r="H535" t="e">
        <f>F535*E535*VLOOKUP(G535,'FX Rates'!A:B,2,FALSE)</f>
        <v>#N/A</v>
      </c>
      <c r="J535">
        <f t="shared" ca="1" si="8"/>
        <v>0</v>
      </c>
    </row>
    <row r="536" spans="8:10" x14ac:dyDescent="0.3">
      <c r="H536" t="e">
        <f>F536*E536*VLOOKUP(G536,'FX Rates'!A:B,2,FALSE)</f>
        <v>#N/A</v>
      </c>
      <c r="J536">
        <f t="shared" ca="1" si="8"/>
        <v>0</v>
      </c>
    </row>
    <row r="537" spans="8:10" x14ac:dyDescent="0.3">
      <c r="H537" t="e">
        <f>F537*E537*VLOOKUP(G537,'FX Rates'!A:B,2,FALSE)</f>
        <v>#N/A</v>
      </c>
      <c r="J537">
        <f t="shared" ca="1" si="8"/>
        <v>0</v>
      </c>
    </row>
    <row r="538" spans="8:10" x14ac:dyDescent="0.3">
      <c r="H538" t="e">
        <f>F538*E538*VLOOKUP(G538,'FX Rates'!A:B,2,FALSE)</f>
        <v>#N/A</v>
      </c>
      <c r="J538">
        <f t="shared" ca="1" si="8"/>
        <v>0</v>
      </c>
    </row>
    <row r="539" spans="8:10" x14ac:dyDescent="0.3">
      <c r="H539" t="e">
        <f>F539*E539*VLOOKUP(G539,'FX Rates'!A:B,2,FALSE)</f>
        <v>#N/A</v>
      </c>
      <c r="J539">
        <f t="shared" ca="1" si="8"/>
        <v>0</v>
      </c>
    </row>
    <row r="540" spans="8:10" x14ac:dyDescent="0.3">
      <c r="H540" t="e">
        <f>F540*E540*VLOOKUP(G540,'FX Rates'!A:B,2,FALSE)</f>
        <v>#N/A</v>
      </c>
      <c r="J540">
        <f t="shared" ca="1" si="8"/>
        <v>0</v>
      </c>
    </row>
    <row r="541" spans="8:10" x14ac:dyDescent="0.3">
      <c r="H541" t="e">
        <f>F541*E541*VLOOKUP(G541,'FX Rates'!A:B,2,FALSE)</f>
        <v>#N/A</v>
      </c>
      <c r="J541">
        <f t="shared" ca="1" si="8"/>
        <v>0</v>
      </c>
    </row>
    <row r="542" spans="8:10" x14ac:dyDescent="0.3">
      <c r="H542" t="e">
        <f>F542*E542*VLOOKUP(G542,'FX Rates'!A:B,2,FALSE)</f>
        <v>#N/A</v>
      </c>
      <c r="J542">
        <f t="shared" ca="1" si="8"/>
        <v>0</v>
      </c>
    </row>
    <row r="543" spans="8:10" x14ac:dyDescent="0.3">
      <c r="H543" t="e">
        <f>F543*E543*VLOOKUP(G543,'FX Rates'!A:B,2,FALSE)</f>
        <v>#N/A</v>
      </c>
      <c r="J543">
        <f t="shared" ca="1" si="8"/>
        <v>0</v>
      </c>
    </row>
    <row r="544" spans="8:10" x14ac:dyDescent="0.3">
      <c r="H544" t="e">
        <f>F544*E544*VLOOKUP(G544,'FX Rates'!A:B,2,FALSE)</f>
        <v>#N/A</v>
      </c>
      <c r="J544">
        <f t="shared" ca="1" si="8"/>
        <v>0</v>
      </c>
    </row>
    <row r="545" spans="8:10" x14ac:dyDescent="0.3">
      <c r="H545" t="e">
        <f>F545*E545*VLOOKUP(G545,'FX Rates'!A:B,2,FALSE)</f>
        <v>#N/A</v>
      </c>
      <c r="J545">
        <f t="shared" ca="1" si="8"/>
        <v>0</v>
      </c>
    </row>
    <row r="546" spans="8:10" x14ac:dyDescent="0.3">
      <c r="H546" t="e">
        <f>F546*E546*VLOOKUP(G546,'FX Rates'!A:B,2,FALSE)</f>
        <v>#N/A</v>
      </c>
      <c r="J546">
        <f t="shared" ca="1" si="8"/>
        <v>0</v>
      </c>
    </row>
    <row r="547" spans="8:10" x14ac:dyDescent="0.3">
      <c r="H547" t="e">
        <f>F547*E547*VLOOKUP(G547,'FX Rates'!A:B,2,FALSE)</f>
        <v>#N/A</v>
      </c>
      <c r="J547">
        <f t="shared" ca="1" si="8"/>
        <v>0</v>
      </c>
    </row>
    <row r="548" spans="8:10" x14ac:dyDescent="0.3">
      <c r="H548" t="e">
        <f>F548*E548*VLOOKUP(G548,'FX Rates'!A:B,2,FALSE)</f>
        <v>#N/A</v>
      </c>
      <c r="J548">
        <f t="shared" ca="1" si="8"/>
        <v>0</v>
      </c>
    </row>
    <row r="549" spans="8:10" x14ac:dyDescent="0.3">
      <c r="H549" t="e">
        <f>F549*E549*VLOOKUP(G549,'FX Rates'!A:B,2,FALSE)</f>
        <v>#N/A</v>
      </c>
      <c r="J549">
        <f t="shared" ca="1" si="8"/>
        <v>0</v>
      </c>
    </row>
    <row r="550" spans="8:10" x14ac:dyDescent="0.3">
      <c r="H550" t="e">
        <f>F550*E550*VLOOKUP(G550,'FX Rates'!A:B,2,FALSE)</f>
        <v>#N/A</v>
      </c>
      <c r="J550">
        <f t="shared" ca="1" si="8"/>
        <v>0</v>
      </c>
    </row>
    <row r="551" spans="8:10" x14ac:dyDescent="0.3">
      <c r="H551" t="e">
        <f>F551*E551*VLOOKUP(G551,'FX Rates'!A:B,2,FALSE)</f>
        <v>#N/A</v>
      </c>
      <c r="J551">
        <f t="shared" ca="1" si="8"/>
        <v>0</v>
      </c>
    </row>
    <row r="552" spans="8:10" x14ac:dyDescent="0.3">
      <c r="H552" t="e">
        <f>F552*E552*VLOOKUP(G552,'FX Rates'!A:B,2,FALSE)</f>
        <v>#N/A</v>
      </c>
      <c r="J552">
        <f t="shared" ca="1" si="8"/>
        <v>0</v>
      </c>
    </row>
    <row r="553" spans="8:10" x14ac:dyDescent="0.3">
      <c r="H553" t="e">
        <f>F553*E553*VLOOKUP(G553,'FX Rates'!A:B,2,FALSE)</f>
        <v>#N/A</v>
      </c>
      <c r="J553">
        <f t="shared" ca="1" si="8"/>
        <v>0</v>
      </c>
    </row>
    <row r="554" spans="8:10" x14ac:dyDescent="0.3">
      <c r="H554" t="e">
        <f>F554*E554*VLOOKUP(G554,'FX Rates'!A:B,2,FALSE)</f>
        <v>#N/A</v>
      </c>
      <c r="J554">
        <f t="shared" ca="1" si="8"/>
        <v>0</v>
      </c>
    </row>
    <row r="555" spans="8:10" x14ac:dyDescent="0.3">
      <c r="H555" t="e">
        <f>F555*E555*VLOOKUP(G555,'FX Rates'!A:B,2,FALSE)</f>
        <v>#N/A</v>
      </c>
      <c r="J555">
        <f t="shared" ca="1" si="8"/>
        <v>0</v>
      </c>
    </row>
    <row r="556" spans="8:10" x14ac:dyDescent="0.3">
      <c r="H556" t="e">
        <f>F556*E556*VLOOKUP(G556,'FX Rates'!A:B,2,FALSE)</f>
        <v>#N/A</v>
      </c>
      <c r="J556">
        <f t="shared" ca="1" si="8"/>
        <v>0</v>
      </c>
    </row>
    <row r="557" spans="8:10" x14ac:dyDescent="0.3">
      <c r="H557" t="e">
        <f>F557*E557*VLOOKUP(G557,'FX Rates'!A:B,2,FALSE)</f>
        <v>#N/A</v>
      </c>
      <c r="J557">
        <f t="shared" ca="1" si="8"/>
        <v>0</v>
      </c>
    </row>
    <row r="558" spans="8:10" x14ac:dyDescent="0.3">
      <c r="H558" t="e">
        <f>F558*E558*VLOOKUP(G558,'FX Rates'!A:B,2,FALSE)</f>
        <v>#N/A</v>
      </c>
      <c r="J558">
        <f t="shared" ca="1" si="8"/>
        <v>0</v>
      </c>
    </row>
    <row r="559" spans="8:10" x14ac:dyDescent="0.3">
      <c r="H559" t="e">
        <f>F559*E559*VLOOKUP(G559,'FX Rates'!A:B,2,FALSE)</f>
        <v>#N/A</v>
      </c>
      <c r="J559">
        <f t="shared" ca="1" si="8"/>
        <v>0</v>
      </c>
    </row>
    <row r="560" spans="8:10" x14ac:dyDescent="0.3">
      <c r="H560" t="e">
        <f>F560*E560*VLOOKUP(G560,'FX Rates'!A:B,2,FALSE)</f>
        <v>#N/A</v>
      </c>
      <c r="J560">
        <f t="shared" ca="1" si="8"/>
        <v>0</v>
      </c>
    </row>
    <row r="561" spans="8:10" x14ac:dyDescent="0.3">
      <c r="H561" t="e">
        <f>F561*E561*VLOOKUP(G561,'FX Rates'!A:B,2,FALSE)</f>
        <v>#N/A</v>
      </c>
      <c r="J561">
        <f t="shared" ca="1" si="8"/>
        <v>0</v>
      </c>
    </row>
    <row r="562" spans="8:10" x14ac:dyDescent="0.3">
      <c r="H562" t="e">
        <f>F562*E562*VLOOKUP(G562,'FX Rates'!A:B,2,FALSE)</f>
        <v>#N/A</v>
      </c>
      <c r="J562">
        <f t="shared" ca="1" si="8"/>
        <v>0</v>
      </c>
    </row>
    <row r="563" spans="8:10" x14ac:dyDescent="0.3">
      <c r="H563" t="e">
        <f>F563*E563*VLOOKUP(G563,'FX Rates'!A:B,2,FALSE)</f>
        <v>#N/A</v>
      </c>
      <c r="J563">
        <f t="shared" ca="1" si="8"/>
        <v>0</v>
      </c>
    </row>
    <row r="564" spans="8:10" x14ac:dyDescent="0.3">
      <c r="H564" t="e">
        <f>F564*E564*VLOOKUP(G564,'FX Rates'!A:B,2,FALSE)</f>
        <v>#N/A</v>
      </c>
      <c r="J564">
        <f t="shared" ca="1" si="8"/>
        <v>0</v>
      </c>
    </row>
    <row r="565" spans="8:10" x14ac:dyDescent="0.3">
      <c r="H565" t="e">
        <f>F565*E565*VLOOKUP(G565,'FX Rates'!A:B,2,FALSE)</f>
        <v>#N/A</v>
      </c>
      <c r="J565">
        <f t="shared" ca="1" si="8"/>
        <v>0</v>
      </c>
    </row>
    <row r="566" spans="8:10" x14ac:dyDescent="0.3">
      <c r="H566" t="e">
        <f>F566*E566*VLOOKUP(G566,'FX Rates'!A:B,2,FALSE)</f>
        <v>#N/A</v>
      </c>
      <c r="J566">
        <f t="shared" ca="1" si="8"/>
        <v>0</v>
      </c>
    </row>
    <row r="567" spans="8:10" x14ac:dyDescent="0.3">
      <c r="H567" t="e">
        <f>F567*E567*VLOOKUP(G567,'FX Rates'!A:B,2,FALSE)</f>
        <v>#N/A</v>
      </c>
      <c r="J567">
        <f t="shared" ca="1" si="8"/>
        <v>0</v>
      </c>
    </row>
    <row r="568" spans="8:10" x14ac:dyDescent="0.3">
      <c r="H568" t="e">
        <f>F568*E568*VLOOKUP(G568,'FX Rates'!A:B,2,FALSE)</f>
        <v>#N/A</v>
      </c>
      <c r="J568">
        <f t="shared" ca="1" si="8"/>
        <v>0</v>
      </c>
    </row>
    <row r="569" spans="8:10" x14ac:dyDescent="0.3">
      <c r="H569" t="e">
        <f>F569*E569*VLOOKUP(G569,'FX Rates'!A:B,2,FALSE)</f>
        <v>#N/A</v>
      </c>
      <c r="J569">
        <f t="shared" ca="1" si="8"/>
        <v>0</v>
      </c>
    </row>
    <row r="570" spans="8:10" x14ac:dyDescent="0.3">
      <c r="H570" t="e">
        <f>F570*E570*VLOOKUP(G570,'FX Rates'!A:B,2,FALSE)</f>
        <v>#N/A</v>
      </c>
      <c r="J570">
        <f t="shared" ca="1" si="8"/>
        <v>0</v>
      </c>
    </row>
    <row r="571" spans="8:10" x14ac:dyDescent="0.3">
      <c r="H571" t="e">
        <f>F571*E571*VLOOKUP(G571,'FX Rates'!A:B,2,FALSE)</f>
        <v>#N/A</v>
      </c>
      <c r="J571">
        <f t="shared" ca="1" si="8"/>
        <v>0</v>
      </c>
    </row>
    <row r="572" spans="8:10" x14ac:dyDescent="0.3">
      <c r="H572" t="e">
        <f>F572*E572*VLOOKUP(G572,'FX Rates'!A:B,2,FALSE)</f>
        <v>#N/A</v>
      </c>
      <c r="J572">
        <f t="shared" ca="1" si="8"/>
        <v>0</v>
      </c>
    </row>
    <row r="573" spans="8:10" x14ac:dyDescent="0.3">
      <c r="H573" t="e">
        <f>F573*E573*VLOOKUP(G573,'FX Rates'!A:B,2,FALSE)</f>
        <v>#N/A</v>
      </c>
      <c r="J573">
        <f t="shared" ca="1" si="8"/>
        <v>0</v>
      </c>
    </row>
    <row r="574" spans="8:10" x14ac:dyDescent="0.3">
      <c r="H574" t="e">
        <f>F574*E574*VLOOKUP(G574,'FX Rates'!A:B,2,FALSE)</f>
        <v>#N/A</v>
      </c>
      <c r="J574">
        <f t="shared" ca="1" si="8"/>
        <v>0</v>
      </c>
    </row>
    <row r="575" spans="8:10" x14ac:dyDescent="0.3">
      <c r="H575" t="e">
        <f>F575*E575*VLOOKUP(G575,'FX Rates'!A:B,2,FALSE)</f>
        <v>#N/A</v>
      </c>
      <c r="J575">
        <f t="shared" ca="1" si="8"/>
        <v>0</v>
      </c>
    </row>
    <row r="576" spans="8:10" x14ac:dyDescent="0.3">
      <c r="H576" t="e">
        <f>F576*E576*VLOOKUP(G576,'FX Rates'!A:B,2,FALSE)</f>
        <v>#N/A</v>
      </c>
      <c r="J576">
        <f t="shared" ca="1" si="8"/>
        <v>0</v>
      </c>
    </row>
    <row r="577" spans="8:10" x14ac:dyDescent="0.3">
      <c r="H577" t="e">
        <f>F577*E577*VLOOKUP(G577,'FX Rates'!A:B,2,FALSE)</f>
        <v>#N/A</v>
      </c>
      <c r="J577">
        <f t="shared" ca="1" si="8"/>
        <v>0</v>
      </c>
    </row>
    <row r="578" spans="8:10" x14ac:dyDescent="0.3">
      <c r="H578" t="e">
        <f>F578*E578*VLOOKUP(G578,'FX Rates'!A:B,2,FALSE)</f>
        <v>#N/A</v>
      </c>
      <c r="J578">
        <f t="shared" ref="J578:J641" ca="1" si="9">IF(I578="",0,TODAY()-I578)</f>
        <v>0</v>
      </c>
    </row>
    <row r="579" spans="8:10" x14ac:dyDescent="0.3">
      <c r="H579" t="e">
        <f>F579*E579*VLOOKUP(G579,'FX Rates'!A:B,2,FALSE)</f>
        <v>#N/A</v>
      </c>
      <c r="J579">
        <f t="shared" ca="1" si="9"/>
        <v>0</v>
      </c>
    </row>
    <row r="580" spans="8:10" x14ac:dyDescent="0.3">
      <c r="H580" t="e">
        <f>F580*E580*VLOOKUP(G580,'FX Rates'!A:B,2,FALSE)</f>
        <v>#N/A</v>
      </c>
      <c r="J580">
        <f t="shared" ca="1" si="9"/>
        <v>0</v>
      </c>
    </row>
    <row r="581" spans="8:10" x14ac:dyDescent="0.3">
      <c r="H581" t="e">
        <f>F581*E581*VLOOKUP(G581,'FX Rates'!A:B,2,FALSE)</f>
        <v>#N/A</v>
      </c>
      <c r="J581">
        <f t="shared" ca="1" si="9"/>
        <v>0</v>
      </c>
    </row>
    <row r="582" spans="8:10" x14ac:dyDescent="0.3">
      <c r="H582" t="e">
        <f>F582*E582*VLOOKUP(G582,'FX Rates'!A:B,2,FALSE)</f>
        <v>#N/A</v>
      </c>
      <c r="J582">
        <f t="shared" ca="1" si="9"/>
        <v>0</v>
      </c>
    </row>
    <row r="583" spans="8:10" x14ac:dyDescent="0.3">
      <c r="H583" t="e">
        <f>F583*E583*VLOOKUP(G583,'FX Rates'!A:B,2,FALSE)</f>
        <v>#N/A</v>
      </c>
      <c r="J583">
        <f t="shared" ca="1" si="9"/>
        <v>0</v>
      </c>
    </row>
    <row r="584" spans="8:10" x14ac:dyDescent="0.3">
      <c r="H584" t="e">
        <f>F584*E584*VLOOKUP(G584,'FX Rates'!A:B,2,FALSE)</f>
        <v>#N/A</v>
      </c>
      <c r="J584">
        <f t="shared" ca="1" si="9"/>
        <v>0</v>
      </c>
    </row>
    <row r="585" spans="8:10" x14ac:dyDescent="0.3">
      <c r="H585" t="e">
        <f>F585*E585*VLOOKUP(G585,'FX Rates'!A:B,2,FALSE)</f>
        <v>#N/A</v>
      </c>
      <c r="J585">
        <f t="shared" ca="1" si="9"/>
        <v>0</v>
      </c>
    </row>
    <row r="586" spans="8:10" x14ac:dyDescent="0.3">
      <c r="H586" t="e">
        <f>F586*E586*VLOOKUP(G586,'FX Rates'!A:B,2,FALSE)</f>
        <v>#N/A</v>
      </c>
      <c r="J586">
        <f t="shared" ca="1" si="9"/>
        <v>0</v>
      </c>
    </row>
    <row r="587" spans="8:10" x14ac:dyDescent="0.3">
      <c r="H587" t="e">
        <f>F587*E587*VLOOKUP(G587,'FX Rates'!A:B,2,FALSE)</f>
        <v>#N/A</v>
      </c>
      <c r="J587">
        <f t="shared" ca="1" si="9"/>
        <v>0</v>
      </c>
    </row>
    <row r="588" spans="8:10" x14ac:dyDescent="0.3">
      <c r="H588" t="e">
        <f>F588*E588*VLOOKUP(G588,'FX Rates'!A:B,2,FALSE)</f>
        <v>#N/A</v>
      </c>
      <c r="J588">
        <f t="shared" ca="1" si="9"/>
        <v>0</v>
      </c>
    </row>
    <row r="589" spans="8:10" x14ac:dyDescent="0.3">
      <c r="H589" t="e">
        <f>F589*E589*VLOOKUP(G589,'FX Rates'!A:B,2,FALSE)</f>
        <v>#N/A</v>
      </c>
      <c r="J589">
        <f t="shared" ca="1" si="9"/>
        <v>0</v>
      </c>
    </row>
    <row r="590" spans="8:10" x14ac:dyDescent="0.3">
      <c r="H590" t="e">
        <f>F590*E590*VLOOKUP(G590,'FX Rates'!A:B,2,FALSE)</f>
        <v>#N/A</v>
      </c>
      <c r="J590">
        <f t="shared" ca="1" si="9"/>
        <v>0</v>
      </c>
    </row>
    <row r="591" spans="8:10" x14ac:dyDescent="0.3">
      <c r="H591" t="e">
        <f>F591*E591*VLOOKUP(G591,'FX Rates'!A:B,2,FALSE)</f>
        <v>#N/A</v>
      </c>
      <c r="J591">
        <f t="shared" ca="1" si="9"/>
        <v>0</v>
      </c>
    </row>
    <row r="592" spans="8:10" x14ac:dyDescent="0.3">
      <c r="H592" t="e">
        <f>F592*E592*VLOOKUP(G592,'FX Rates'!A:B,2,FALSE)</f>
        <v>#N/A</v>
      </c>
      <c r="J592">
        <f t="shared" ca="1" si="9"/>
        <v>0</v>
      </c>
    </row>
    <row r="593" spans="8:10" x14ac:dyDescent="0.3">
      <c r="H593" t="e">
        <f>F593*E593*VLOOKUP(G593,'FX Rates'!A:B,2,FALSE)</f>
        <v>#N/A</v>
      </c>
      <c r="J593">
        <f t="shared" ca="1" si="9"/>
        <v>0</v>
      </c>
    </row>
    <row r="594" spans="8:10" x14ac:dyDescent="0.3">
      <c r="H594" t="e">
        <f>F594*E594*VLOOKUP(G594,'FX Rates'!A:B,2,FALSE)</f>
        <v>#N/A</v>
      </c>
      <c r="J594">
        <f t="shared" ca="1" si="9"/>
        <v>0</v>
      </c>
    </row>
    <row r="595" spans="8:10" x14ac:dyDescent="0.3">
      <c r="H595" t="e">
        <f>F595*E595*VLOOKUP(G595,'FX Rates'!A:B,2,FALSE)</f>
        <v>#N/A</v>
      </c>
      <c r="J595">
        <f t="shared" ca="1" si="9"/>
        <v>0</v>
      </c>
    </row>
    <row r="596" spans="8:10" x14ac:dyDescent="0.3">
      <c r="H596" t="e">
        <f>F596*E596*VLOOKUP(G596,'FX Rates'!A:B,2,FALSE)</f>
        <v>#N/A</v>
      </c>
      <c r="J596">
        <f t="shared" ca="1" si="9"/>
        <v>0</v>
      </c>
    </row>
    <row r="597" spans="8:10" x14ac:dyDescent="0.3">
      <c r="H597" t="e">
        <f>F597*E597*VLOOKUP(G597,'FX Rates'!A:B,2,FALSE)</f>
        <v>#N/A</v>
      </c>
      <c r="J597">
        <f t="shared" ca="1" si="9"/>
        <v>0</v>
      </c>
    </row>
    <row r="598" spans="8:10" x14ac:dyDescent="0.3">
      <c r="H598" t="e">
        <f>F598*E598*VLOOKUP(G598,'FX Rates'!A:B,2,FALSE)</f>
        <v>#N/A</v>
      </c>
      <c r="J598">
        <f t="shared" ca="1" si="9"/>
        <v>0</v>
      </c>
    </row>
    <row r="599" spans="8:10" x14ac:dyDescent="0.3">
      <c r="H599" t="e">
        <f>F599*E599*VLOOKUP(G599,'FX Rates'!A:B,2,FALSE)</f>
        <v>#N/A</v>
      </c>
      <c r="J599">
        <f t="shared" ca="1" si="9"/>
        <v>0</v>
      </c>
    </row>
    <row r="600" spans="8:10" x14ac:dyDescent="0.3">
      <c r="H600" t="e">
        <f>F600*E600*VLOOKUP(G600,'FX Rates'!A:B,2,FALSE)</f>
        <v>#N/A</v>
      </c>
      <c r="J600">
        <f t="shared" ca="1" si="9"/>
        <v>0</v>
      </c>
    </row>
    <row r="601" spans="8:10" x14ac:dyDescent="0.3">
      <c r="H601" t="e">
        <f>F601*E601*VLOOKUP(G601,'FX Rates'!A:B,2,FALSE)</f>
        <v>#N/A</v>
      </c>
      <c r="J601">
        <f t="shared" ca="1" si="9"/>
        <v>0</v>
      </c>
    </row>
    <row r="602" spans="8:10" x14ac:dyDescent="0.3">
      <c r="H602" t="e">
        <f>F602*E602*VLOOKUP(G602,'FX Rates'!A:B,2,FALSE)</f>
        <v>#N/A</v>
      </c>
      <c r="J602">
        <f t="shared" ca="1" si="9"/>
        <v>0</v>
      </c>
    </row>
    <row r="603" spans="8:10" x14ac:dyDescent="0.3">
      <c r="H603" t="e">
        <f>F603*E603*VLOOKUP(G603,'FX Rates'!A:B,2,FALSE)</f>
        <v>#N/A</v>
      </c>
      <c r="J603">
        <f t="shared" ca="1" si="9"/>
        <v>0</v>
      </c>
    </row>
    <row r="604" spans="8:10" x14ac:dyDescent="0.3">
      <c r="H604" t="e">
        <f>F604*E604*VLOOKUP(G604,'FX Rates'!A:B,2,FALSE)</f>
        <v>#N/A</v>
      </c>
      <c r="J604">
        <f t="shared" ca="1" si="9"/>
        <v>0</v>
      </c>
    </row>
    <row r="605" spans="8:10" x14ac:dyDescent="0.3">
      <c r="H605" t="e">
        <f>F605*E605*VLOOKUP(G605,'FX Rates'!A:B,2,FALSE)</f>
        <v>#N/A</v>
      </c>
      <c r="J605">
        <f t="shared" ca="1" si="9"/>
        <v>0</v>
      </c>
    </row>
    <row r="606" spans="8:10" x14ac:dyDescent="0.3">
      <c r="H606" t="e">
        <f>F606*E606*VLOOKUP(G606,'FX Rates'!A:B,2,FALSE)</f>
        <v>#N/A</v>
      </c>
      <c r="J606">
        <f t="shared" ca="1" si="9"/>
        <v>0</v>
      </c>
    </row>
    <row r="607" spans="8:10" x14ac:dyDescent="0.3">
      <c r="H607" t="e">
        <f>F607*E607*VLOOKUP(G607,'FX Rates'!A:B,2,FALSE)</f>
        <v>#N/A</v>
      </c>
      <c r="J607">
        <f t="shared" ca="1" si="9"/>
        <v>0</v>
      </c>
    </row>
    <row r="608" spans="8:10" x14ac:dyDescent="0.3">
      <c r="H608" t="e">
        <f>F608*E608*VLOOKUP(G608,'FX Rates'!A:B,2,FALSE)</f>
        <v>#N/A</v>
      </c>
      <c r="J608">
        <f t="shared" ca="1" si="9"/>
        <v>0</v>
      </c>
    </row>
    <row r="609" spans="8:10" x14ac:dyDescent="0.3">
      <c r="H609" t="e">
        <f>F609*E609*VLOOKUP(G609,'FX Rates'!A:B,2,FALSE)</f>
        <v>#N/A</v>
      </c>
      <c r="J609">
        <f t="shared" ca="1" si="9"/>
        <v>0</v>
      </c>
    </row>
    <row r="610" spans="8:10" x14ac:dyDescent="0.3">
      <c r="H610" t="e">
        <f>F610*E610*VLOOKUP(G610,'FX Rates'!A:B,2,FALSE)</f>
        <v>#N/A</v>
      </c>
      <c r="J610">
        <f t="shared" ca="1" si="9"/>
        <v>0</v>
      </c>
    </row>
    <row r="611" spans="8:10" x14ac:dyDescent="0.3">
      <c r="H611" t="e">
        <f>F611*E611*VLOOKUP(G611,'FX Rates'!A:B,2,FALSE)</f>
        <v>#N/A</v>
      </c>
      <c r="J611">
        <f t="shared" ca="1" si="9"/>
        <v>0</v>
      </c>
    </row>
    <row r="612" spans="8:10" x14ac:dyDescent="0.3">
      <c r="H612" t="e">
        <f>F612*E612*VLOOKUP(G612,'FX Rates'!A:B,2,FALSE)</f>
        <v>#N/A</v>
      </c>
      <c r="J612">
        <f t="shared" ca="1" si="9"/>
        <v>0</v>
      </c>
    </row>
    <row r="613" spans="8:10" x14ac:dyDescent="0.3">
      <c r="H613" t="e">
        <f>F613*E613*VLOOKUP(G613,'FX Rates'!A:B,2,FALSE)</f>
        <v>#N/A</v>
      </c>
      <c r="J613">
        <f t="shared" ca="1" si="9"/>
        <v>0</v>
      </c>
    </row>
    <row r="614" spans="8:10" x14ac:dyDescent="0.3">
      <c r="H614" t="e">
        <f>F614*E614*VLOOKUP(G614,'FX Rates'!A:B,2,FALSE)</f>
        <v>#N/A</v>
      </c>
      <c r="J614">
        <f t="shared" ca="1" si="9"/>
        <v>0</v>
      </c>
    </row>
    <row r="615" spans="8:10" x14ac:dyDescent="0.3">
      <c r="H615" t="e">
        <f>F615*E615*VLOOKUP(G615,'FX Rates'!A:B,2,FALSE)</f>
        <v>#N/A</v>
      </c>
      <c r="J615">
        <f t="shared" ca="1" si="9"/>
        <v>0</v>
      </c>
    </row>
    <row r="616" spans="8:10" x14ac:dyDescent="0.3">
      <c r="H616" t="e">
        <f>F616*E616*VLOOKUP(G616,'FX Rates'!A:B,2,FALSE)</f>
        <v>#N/A</v>
      </c>
      <c r="J616">
        <f t="shared" ca="1" si="9"/>
        <v>0</v>
      </c>
    </row>
    <row r="617" spans="8:10" x14ac:dyDescent="0.3">
      <c r="H617" t="e">
        <f>F617*E617*VLOOKUP(G617,'FX Rates'!A:B,2,FALSE)</f>
        <v>#N/A</v>
      </c>
      <c r="J617">
        <f t="shared" ca="1" si="9"/>
        <v>0</v>
      </c>
    </row>
    <row r="618" spans="8:10" x14ac:dyDescent="0.3">
      <c r="H618" t="e">
        <f>F618*E618*VLOOKUP(G618,'FX Rates'!A:B,2,FALSE)</f>
        <v>#N/A</v>
      </c>
      <c r="J618">
        <f t="shared" ca="1" si="9"/>
        <v>0</v>
      </c>
    </row>
    <row r="619" spans="8:10" x14ac:dyDescent="0.3">
      <c r="H619" t="e">
        <f>F619*E619*VLOOKUP(G619,'FX Rates'!A:B,2,FALSE)</f>
        <v>#N/A</v>
      </c>
      <c r="J619">
        <f t="shared" ca="1" si="9"/>
        <v>0</v>
      </c>
    </row>
    <row r="620" spans="8:10" x14ac:dyDescent="0.3">
      <c r="H620" t="e">
        <f>F620*E620*VLOOKUP(G620,'FX Rates'!A:B,2,FALSE)</f>
        <v>#N/A</v>
      </c>
      <c r="J620">
        <f t="shared" ca="1" si="9"/>
        <v>0</v>
      </c>
    </row>
    <row r="621" spans="8:10" x14ac:dyDescent="0.3">
      <c r="H621" t="e">
        <f>F621*E621*VLOOKUP(G621,'FX Rates'!A:B,2,FALSE)</f>
        <v>#N/A</v>
      </c>
      <c r="J621">
        <f t="shared" ca="1" si="9"/>
        <v>0</v>
      </c>
    </row>
    <row r="622" spans="8:10" x14ac:dyDescent="0.3">
      <c r="H622" t="e">
        <f>F622*E622*VLOOKUP(G622,'FX Rates'!A:B,2,FALSE)</f>
        <v>#N/A</v>
      </c>
      <c r="J622">
        <f t="shared" ca="1" si="9"/>
        <v>0</v>
      </c>
    </row>
    <row r="623" spans="8:10" x14ac:dyDescent="0.3">
      <c r="H623" t="e">
        <f>F623*E623*VLOOKUP(G623,'FX Rates'!A:B,2,FALSE)</f>
        <v>#N/A</v>
      </c>
      <c r="J623">
        <f t="shared" ca="1" si="9"/>
        <v>0</v>
      </c>
    </row>
    <row r="624" spans="8:10" x14ac:dyDescent="0.3">
      <c r="H624" t="e">
        <f>F624*E624*VLOOKUP(G624,'FX Rates'!A:B,2,FALSE)</f>
        <v>#N/A</v>
      </c>
      <c r="J624">
        <f t="shared" ca="1" si="9"/>
        <v>0</v>
      </c>
    </row>
    <row r="625" spans="8:10" x14ac:dyDescent="0.3">
      <c r="H625" t="e">
        <f>F625*E625*VLOOKUP(G625,'FX Rates'!A:B,2,FALSE)</f>
        <v>#N/A</v>
      </c>
      <c r="J625">
        <f t="shared" ca="1" si="9"/>
        <v>0</v>
      </c>
    </row>
    <row r="626" spans="8:10" x14ac:dyDescent="0.3">
      <c r="H626" t="e">
        <f>F626*E626*VLOOKUP(G626,'FX Rates'!A:B,2,FALSE)</f>
        <v>#N/A</v>
      </c>
      <c r="J626">
        <f t="shared" ca="1" si="9"/>
        <v>0</v>
      </c>
    </row>
    <row r="627" spans="8:10" x14ac:dyDescent="0.3">
      <c r="H627" t="e">
        <f>F627*E627*VLOOKUP(G627,'FX Rates'!A:B,2,FALSE)</f>
        <v>#N/A</v>
      </c>
      <c r="J627">
        <f t="shared" ca="1" si="9"/>
        <v>0</v>
      </c>
    </row>
    <row r="628" spans="8:10" x14ac:dyDescent="0.3">
      <c r="H628" t="e">
        <f>F628*E628*VLOOKUP(G628,'FX Rates'!A:B,2,FALSE)</f>
        <v>#N/A</v>
      </c>
      <c r="J628">
        <f t="shared" ca="1" si="9"/>
        <v>0</v>
      </c>
    </row>
    <row r="629" spans="8:10" x14ac:dyDescent="0.3">
      <c r="H629" t="e">
        <f>F629*E629*VLOOKUP(G629,'FX Rates'!A:B,2,FALSE)</f>
        <v>#N/A</v>
      </c>
      <c r="J629">
        <f t="shared" ca="1" si="9"/>
        <v>0</v>
      </c>
    </row>
    <row r="630" spans="8:10" x14ac:dyDescent="0.3">
      <c r="H630" t="e">
        <f>F630*E630*VLOOKUP(G630,'FX Rates'!A:B,2,FALSE)</f>
        <v>#N/A</v>
      </c>
      <c r="J630">
        <f t="shared" ca="1" si="9"/>
        <v>0</v>
      </c>
    </row>
    <row r="631" spans="8:10" x14ac:dyDescent="0.3">
      <c r="H631" t="e">
        <f>F631*E631*VLOOKUP(G631,'FX Rates'!A:B,2,FALSE)</f>
        <v>#N/A</v>
      </c>
      <c r="J631">
        <f t="shared" ca="1" si="9"/>
        <v>0</v>
      </c>
    </row>
    <row r="632" spans="8:10" x14ac:dyDescent="0.3">
      <c r="H632" t="e">
        <f>F632*E632*VLOOKUP(G632,'FX Rates'!A:B,2,FALSE)</f>
        <v>#N/A</v>
      </c>
      <c r="J632">
        <f t="shared" ca="1" si="9"/>
        <v>0</v>
      </c>
    </row>
    <row r="633" spans="8:10" x14ac:dyDescent="0.3">
      <c r="H633" t="e">
        <f>F633*E633*VLOOKUP(G633,'FX Rates'!A:B,2,FALSE)</f>
        <v>#N/A</v>
      </c>
      <c r="J633">
        <f t="shared" ca="1" si="9"/>
        <v>0</v>
      </c>
    </row>
    <row r="634" spans="8:10" x14ac:dyDescent="0.3">
      <c r="H634" t="e">
        <f>F634*E634*VLOOKUP(G634,'FX Rates'!A:B,2,FALSE)</f>
        <v>#N/A</v>
      </c>
      <c r="J634">
        <f t="shared" ca="1" si="9"/>
        <v>0</v>
      </c>
    </row>
    <row r="635" spans="8:10" x14ac:dyDescent="0.3">
      <c r="H635" t="e">
        <f>F635*E635*VLOOKUP(G635,'FX Rates'!A:B,2,FALSE)</f>
        <v>#N/A</v>
      </c>
      <c r="J635">
        <f t="shared" ca="1" si="9"/>
        <v>0</v>
      </c>
    </row>
    <row r="636" spans="8:10" x14ac:dyDescent="0.3">
      <c r="H636" t="e">
        <f>F636*E636*VLOOKUP(G636,'FX Rates'!A:B,2,FALSE)</f>
        <v>#N/A</v>
      </c>
      <c r="J636">
        <f t="shared" ca="1" si="9"/>
        <v>0</v>
      </c>
    </row>
    <row r="637" spans="8:10" x14ac:dyDescent="0.3">
      <c r="H637" t="e">
        <f>F637*E637*VLOOKUP(G637,'FX Rates'!A:B,2,FALSE)</f>
        <v>#N/A</v>
      </c>
      <c r="J637">
        <f t="shared" ca="1" si="9"/>
        <v>0</v>
      </c>
    </row>
    <row r="638" spans="8:10" x14ac:dyDescent="0.3">
      <c r="H638" t="e">
        <f>F638*E638*VLOOKUP(G638,'FX Rates'!A:B,2,FALSE)</f>
        <v>#N/A</v>
      </c>
      <c r="J638">
        <f t="shared" ca="1" si="9"/>
        <v>0</v>
      </c>
    </row>
    <row r="639" spans="8:10" x14ac:dyDescent="0.3">
      <c r="H639" t="e">
        <f>F639*E639*VLOOKUP(G639,'FX Rates'!A:B,2,FALSE)</f>
        <v>#N/A</v>
      </c>
      <c r="J639">
        <f t="shared" ca="1" si="9"/>
        <v>0</v>
      </c>
    </row>
    <row r="640" spans="8:10" x14ac:dyDescent="0.3">
      <c r="H640" t="e">
        <f>F640*E640*VLOOKUP(G640,'FX Rates'!A:B,2,FALSE)</f>
        <v>#N/A</v>
      </c>
      <c r="J640">
        <f t="shared" ca="1" si="9"/>
        <v>0</v>
      </c>
    </row>
    <row r="641" spans="8:10" x14ac:dyDescent="0.3">
      <c r="H641" t="e">
        <f>F641*E641*VLOOKUP(G641,'FX Rates'!A:B,2,FALSE)</f>
        <v>#N/A</v>
      </c>
      <c r="J641">
        <f t="shared" ca="1" si="9"/>
        <v>0</v>
      </c>
    </row>
    <row r="642" spans="8:10" x14ac:dyDescent="0.3">
      <c r="H642" t="e">
        <f>F642*E642*VLOOKUP(G642,'FX Rates'!A:B,2,FALSE)</f>
        <v>#N/A</v>
      </c>
      <c r="J642">
        <f t="shared" ref="J642:J705" ca="1" si="10">IF(I642="",0,TODAY()-I642)</f>
        <v>0</v>
      </c>
    </row>
    <row r="643" spans="8:10" x14ac:dyDescent="0.3">
      <c r="H643" t="e">
        <f>F643*E643*VLOOKUP(G643,'FX Rates'!A:B,2,FALSE)</f>
        <v>#N/A</v>
      </c>
      <c r="J643">
        <f t="shared" ca="1" si="10"/>
        <v>0</v>
      </c>
    </row>
    <row r="644" spans="8:10" x14ac:dyDescent="0.3">
      <c r="H644" t="e">
        <f>F644*E644*VLOOKUP(G644,'FX Rates'!A:B,2,FALSE)</f>
        <v>#N/A</v>
      </c>
      <c r="J644">
        <f t="shared" ca="1" si="10"/>
        <v>0</v>
      </c>
    </row>
    <row r="645" spans="8:10" x14ac:dyDescent="0.3">
      <c r="H645" t="e">
        <f>F645*E645*VLOOKUP(G645,'FX Rates'!A:B,2,FALSE)</f>
        <v>#N/A</v>
      </c>
      <c r="J645">
        <f t="shared" ca="1" si="10"/>
        <v>0</v>
      </c>
    </row>
    <row r="646" spans="8:10" x14ac:dyDescent="0.3">
      <c r="H646" t="e">
        <f>F646*E646*VLOOKUP(G646,'FX Rates'!A:B,2,FALSE)</f>
        <v>#N/A</v>
      </c>
      <c r="J646">
        <f t="shared" ca="1" si="10"/>
        <v>0</v>
      </c>
    </row>
    <row r="647" spans="8:10" x14ac:dyDescent="0.3">
      <c r="H647" t="e">
        <f>F647*E647*VLOOKUP(G647,'FX Rates'!A:B,2,FALSE)</f>
        <v>#N/A</v>
      </c>
      <c r="J647">
        <f t="shared" ca="1" si="10"/>
        <v>0</v>
      </c>
    </row>
    <row r="648" spans="8:10" x14ac:dyDescent="0.3">
      <c r="H648" t="e">
        <f>F648*E648*VLOOKUP(G648,'FX Rates'!A:B,2,FALSE)</f>
        <v>#N/A</v>
      </c>
      <c r="J648">
        <f t="shared" ca="1" si="10"/>
        <v>0</v>
      </c>
    </row>
    <row r="649" spans="8:10" x14ac:dyDescent="0.3">
      <c r="H649" t="e">
        <f>F649*E649*VLOOKUP(G649,'FX Rates'!A:B,2,FALSE)</f>
        <v>#N/A</v>
      </c>
      <c r="J649">
        <f t="shared" ca="1" si="10"/>
        <v>0</v>
      </c>
    </row>
    <row r="650" spans="8:10" x14ac:dyDescent="0.3">
      <c r="H650" t="e">
        <f>F650*E650*VLOOKUP(G650,'FX Rates'!A:B,2,FALSE)</f>
        <v>#N/A</v>
      </c>
      <c r="J650">
        <f t="shared" ca="1" si="10"/>
        <v>0</v>
      </c>
    </row>
    <row r="651" spans="8:10" x14ac:dyDescent="0.3">
      <c r="H651" t="e">
        <f>F651*E651*VLOOKUP(G651,'FX Rates'!A:B,2,FALSE)</f>
        <v>#N/A</v>
      </c>
      <c r="J651">
        <f t="shared" ca="1" si="10"/>
        <v>0</v>
      </c>
    </row>
    <row r="652" spans="8:10" x14ac:dyDescent="0.3">
      <c r="H652" t="e">
        <f>F652*E652*VLOOKUP(G652,'FX Rates'!A:B,2,FALSE)</f>
        <v>#N/A</v>
      </c>
      <c r="J652">
        <f t="shared" ca="1" si="10"/>
        <v>0</v>
      </c>
    </row>
    <row r="653" spans="8:10" x14ac:dyDescent="0.3">
      <c r="H653" t="e">
        <f>F653*E653*VLOOKUP(G653,'FX Rates'!A:B,2,FALSE)</f>
        <v>#N/A</v>
      </c>
      <c r="J653">
        <f t="shared" ca="1" si="10"/>
        <v>0</v>
      </c>
    </row>
    <row r="654" spans="8:10" x14ac:dyDescent="0.3">
      <c r="H654" t="e">
        <f>F654*E654*VLOOKUP(G654,'FX Rates'!A:B,2,FALSE)</f>
        <v>#N/A</v>
      </c>
      <c r="J654">
        <f t="shared" ca="1" si="10"/>
        <v>0</v>
      </c>
    </row>
    <row r="655" spans="8:10" x14ac:dyDescent="0.3">
      <c r="H655" t="e">
        <f>F655*E655*VLOOKUP(G655,'FX Rates'!A:B,2,FALSE)</f>
        <v>#N/A</v>
      </c>
      <c r="J655">
        <f t="shared" ca="1" si="10"/>
        <v>0</v>
      </c>
    </row>
    <row r="656" spans="8:10" x14ac:dyDescent="0.3">
      <c r="H656" t="e">
        <f>F656*E656*VLOOKUP(G656,'FX Rates'!A:B,2,FALSE)</f>
        <v>#N/A</v>
      </c>
      <c r="J656">
        <f t="shared" ca="1" si="10"/>
        <v>0</v>
      </c>
    </row>
    <row r="657" spans="8:10" x14ac:dyDescent="0.3">
      <c r="H657" t="e">
        <f>F657*E657*VLOOKUP(G657,'FX Rates'!A:B,2,FALSE)</f>
        <v>#N/A</v>
      </c>
      <c r="J657">
        <f t="shared" ca="1" si="10"/>
        <v>0</v>
      </c>
    </row>
    <row r="658" spans="8:10" x14ac:dyDescent="0.3">
      <c r="H658" t="e">
        <f>F658*E658*VLOOKUP(G658,'FX Rates'!A:B,2,FALSE)</f>
        <v>#N/A</v>
      </c>
      <c r="J658">
        <f t="shared" ca="1" si="10"/>
        <v>0</v>
      </c>
    </row>
    <row r="659" spans="8:10" x14ac:dyDescent="0.3">
      <c r="H659" t="e">
        <f>F659*E659*VLOOKUP(G659,'FX Rates'!A:B,2,FALSE)</f>
        <v>#N/A</v>
      </c>
      <c r="J659">
        <f t="shared" ca="1" si="10"/>
        <v>0</v>
      </c>
    </row>
    <row r="660" spans="8:10" x14ac:dyDescent="0.3">
      <c r="H660" t="e">
        <f>F660*E660*VLOOKUP(G660,'FX Rates'!A:B,2,FALSE)</f>
        <v>#N/A</v>
      </c>
      <c r="J660">
        <f t="shared" ca="1" si="10"/>
        <v>0</v>
      </c>
    </row>
    <row r="661" spans="8:10" x14ac:dyDescent="0.3">
      <c r="H661" t="e">
        <f>F661*E661*VLOOKUP(G661,'FX Rates'!A:B,2,FALSE)</f>
        <v>#N/A</v>
      </c>
      <c r="J661">
        <f t="shared" ca="1" si="10"/>
        <v>0</v>
      </c>
    </row>
    <row r="662" spans="8:10" x14ac:dyDescent="0.3">
      <c r="H662" t="e">
        <f>F662*E662*VLOOKUP(G662,'FX Rates'!A:B,2,FALSE)</f>
        <v>#N/A</v>
      </c>
      <c r="J662">
        <f t="shared" ca="1" si="10"/>
        <v>0</v>
      </c>
    </row>
    <row r="663" spans="8:10" x14ac:dyDescent="0.3">
      <c r="H663" t="e">
        <f>F663*E663*VLOOKUP(G663,'FX Rates'!A:B,2,FALSE)</f>
        <v>#N/A</v>
      </c>
      <c r="J663">
        <f t="shared" ca="1" si="10"/>
        <v>0</v>
      </c>
    </row>
    <row r="664" spans="8:10" x14ac:dyDescent="0.3">
      <c r="H664" t="e">
        <f>F664*E664*VLOOKUP(G664,'FX Rates'!A:B,2,FALSE)</f>
        <v>#N/A</v>
      </c>
      <c r="J664">
        <f t="shared" ca="1" si="10"/>
        <v>0</v>
      </c>
    </row>
    <row r="665" spans="8:10" x14ac:dyDescent="0.3">
      <c r="H665" t="e">
        <f>F665*E665*VLOOKUP(G665,'FX Rates'!A:B,2,FALSE)</f>
        <v>#N/A</v>
      </c>
      <c r="J665">
        <f t="shared" ca="1" si="10"/>
        <v>0</v>
      </c>
    </row>
    <row r="666" spans="8:10" x14ac:dyDescent="0.3">
      <c r="H666" t="e">
        <f>F666*E666*VLOOKUP(G666,'FX Rates'!A:B,2,FALSE)</f>
        <v>#N/A</v>
      </c>
      <c r="J666">
        <f t="shared" ca="1" si="10"/>
        <v>0</v>
      </c>
    </row>
    <row r="667" spans="8:10" x14ac:dyDescent="0.3">
      <c r="H667" t="e">
        <f>F667*E667*VLOOKUP(G667,'FX Rates'!A:B,2,FALSE)</f>
        <v>#N/A</v>
      </c>
      <c r="J667">
        <f t="shared" ca="1" si="10"/>
        <v>0</v>
      </c>
    </row>
    <row r="668" spans="8:10" x14ac:dyDescent="0.3">
      <c r="H668" t="e">
        <f>F668*E668*VLOOKUP(G668,'FX Rates'!A:B,2,FALSE)</f>
        <v>#N/A</v>
      </c>
      <c r="J668">
        <f t="shared" ca="1" si="10"/>
        <v>0</v>
      </c>
    </row>
    <row r="669" spans="8:10" x14ac:dyDescent="0.3">
      <c r="H669" t="e">
        <f>F669*E669*VLOOKUP(G669,'FX Rates'!A:B,2,FALSE)</f>
        <v>#N/A</v>
      </c>
      <c r="J669">
        <f t="shared" ca="1" si="10"/>
        <v>0</v>
      </c>
    </row>
    <row r="670" spans="8:10" x14ac:dyDescent="0.3">
      <c r="H670" t="e">
        <f>F670*E670*VLOOKUP(G670,'FX Rates'!A:B,2,FALSE)</f>
        <v>#N/A</v>
      </c>
      <c r="J670">
        <f t="shared" ca="1" si="10"/>
        <v>0</v>
      </c>
    </row>
    <row r="671" spans="8:10" x14ac:dyDescent="0.3">
      <c r="H671" t="e">
        <f>F671*E671*VLOOKUP(G671,'FX Rates'!A:B,2,FALSE)</f>
        <v>#N/A</v>
      </c>
      <c r="J671">
        <f t="shared" ca="1" si="10"/>
        <v>0</v>
      </c>
    </row>
    <row r="672" spans="8:10" x14ac:dyDescent="0.3">
      <c r="H672" t="e">
        <f>F672*E672*VLOOKUP(G672,'FX Rates'!A:B,2,FALSE)</f>
        <v>#N/A</v>
      </c>
      <c r="J672">
        <f t="shared" ca="1" si="10"/>
        <v>0</v>
      </c>
    </row>
    <row r="673" spans="8:10" x14ac:dyDescent="0.3">
      <c r="H673" t="e">
        <f>F673*E673*VLOOKUP(G673,'FX Rates'!A:B,2,FALSE)</f>
        <v>#N/A</v>
      </c>
      <c r="J673">
        <f t="shared" ca="1" si="10"/>
        <v>0</v>
      </c>
    </row>
    <row r="674" spans="8:10" x14ac:dyDescent="0.3">
      <c r="H674" t="e">
        <f>F674*E674*VLOOKUP(G674,'FX Rates'!A:B,2,FALSE)</f>
        <v>#N/A</v>
      </c>
      <c r="J674">
        <f t="shared" ca="1" si="10"/>
        <v>0</v>
      </c>
    </row>
    <row r="675" spans="8:10" x14ac:dyDescent="0.3">
      <c r="H675" t="e">
        <f>F675*E675*VLOOKUP(G675,'FX Rates'!A:B,2,FALSE)</f>
        <v>#N/A</v>
      </c>
      <c r="J675">
        <f t="shared" ca="1" si="10"/>
        <v>0</v>
      </c>
    </row>
    <row r="676" spans="8:10" x14ac:dyDescent="0.3">
      <c r="H676" t="e">
        <f>F676*E676*VLOOKUP(G676,'FX Rates'!A:B,2,FALSE)</f>
        <v>#N/A</v>
      </c>
      <c r="J676">
        <f t="shared" ca="1" si="10"/>
        <v>0</v>
      </c>
    </row>
    <row r="677" spans="8:10" x14ac:dyDescent="0.3">
      <c r="H677" t="e">
        <f>F677*E677*VLOOKUP(G677,'FX Rates'!A:B,2,FALSE)</f>
        <v>#N/A</v>
      </c>
      <c r="J677">
        <f t="shared" ca="1" si="10"/>
        <v>0</v>
      </c>
    </row>
    <row r="678" spans="8:10" x14ac:dyDescent="0.3">
      <c r="H678" t="e">
        <f>F678*E678*VLOOKUP(G678,'FX Rates'!A:B,2,FALSE)</f>
        <v>#N/A</v>
      </c>
      <c r="J678">
        <f t="shared" ca="1" si="10"/>
        <v>0</v>
      </c>
    </row>
    <row r="679" spans="8:10" x14ac:dyDescent="0.3">
      <c r="H679" t="e">
        <f>F679*E679*VLOOKUP(G679,'FX Rates'!A:B,2,FALSE)</f>
        <v>#N/A</v>
      </c>
      <c r="J679">
        <f t="shared" ca="1" si="10"/>
        <v>0</v>
      </c>
    </row>
    <row r="680" spans="8:10" x14ac:dyDescent="0.3">
      <c r="H680" t="e">
        <f>F680*E680*VLOOKUP(G680,'FX Rates'!A:B,2,FALSE)</f>
        <v>#N/A</v>
      </c>
      <c r="J680">
        <f t="shared" ca="1" si="10"/>
        <v>0</v>
      </c>
    </row>
    <row r="681" spans="8:10" x14ac:dyDescent="0.3">
      <c r="H681" t="e">
        <f>F681*E681*VLOOKUP(G681,'FX Rates'!A:B,2,FALSE)</f>
        <v>#N/A</v>
      </c>
      <c r="J681">
        <f t="shared" ca="1" si="10"/>
        <v>0</v>
      </c>
    </row>
    <row r="682" spans="8:10" x14ac:dyDescent="0.3">
      <c r="H682" t="e">
        <f>F682*E682*VLOOKUP(G682,'FX Rates'!A:B,2,FALSE)</f>
        <v>#N/A</v>
      </c>
      <c r="J682">
        <f t="shared" ca="1" si="10"/>
        <v>0</v>
      </c>
    </row>
    <row r="683" spans="8:10" x14ac:dyDescent="0.3">
      <c r="H683" t="e">
        <f>F683*E683*VLOOKUP(G683,'FX Rates'!A:B,2,FALSE)</f>
        <v>#N/A</v>
      </c>
      <c r="J683">
        <f t="shared" ca="1" si="10"/>
        <v>0</v>
      </c>
    </row>
    <row r="684" spans="8:10" x14ac:dyDescent="0.3">
      <c r="H684" t="e">
        <f>F684*E684*VLOOKUP(G684,'FX Rates'!A:B,2,FALSE)</f>
        <v>#N/A</v>
      </c>
      <c r="J684">
        <f t="shared" ca="1" si="10"/>
        <v>0</v>
      </c>
    </row>
    <row r="685" spans="8:10" x14ac:dyDescent="0.3">
      <c r="H685" t="e">
        <f>F685*E685*VLOOKUP(G685,'FX Rates'!A:B,2,FALSE)</f>
        <v>#N/A</v>
      </c>
      <c r="J685">
        <f t="shared" ca="1" si="10"/>
        <v>0</v>
      </c>
    </row>
    <row r="686" spans="8:10" x14ac:dyDescent="0.3">
      <c r="H686" t="e">
        <f>F686*E686*VLOOKUP(G686,'FX Rates'!A:B,2,FALSE)</f>
        <v>#N/A</v>
      </c>
      <c r="J686">
        <f t="shared" ca="1" si="10"/>
        <v>0</v>
      </c>
    </row>
    <row r="687" spans="8:10" x14ac:dyDescent="0.3">
      <c r="H687" t="e">
        <f>F687*E687*VLOOKUP(G687,'FX Rates'!A:B,2,FALSE)</f>
        <v>#N/A</v>
      </c>
      <c r="J687">
        <f t="shared" ca="1" si="10"/>
        <v>0</v>
      </c>
    </row>
    <row r="688" spans="8:10" x14ac:dyDescent="0.3">
      <c r="H688" t="e">
        <f>F688*E688*VLOOKUP(G688,'FX Rates'!A:B,2,FALSE)</f>
        <v>#N/A</v>
      </c>
      <c r="J688">
        <f t="shared" ca="1" si="10"/>
        <v>0</v>
      </c>
    </row>
    <row r="689" spans="8:10" x14ac:dyDescent="0.3">
      <c r="H689" t="e">
        <f>F689*E689*VLOOKUP(G689,'FX Rates'!A:B,2,FALSE)</f>
        <v>#N/A</v>
      </c>
      <c r="J689">
        <f t="shared" ca="1" si="10"/>
        <v>0</v>
      </c>
    </row>
    <row r="690" spans="8:10" x14ac:dyDescent="0.3">
      <c r="H690" t="e">
        <f>F690*E690*VLOOKUP(G690,'FX Rates'!A:B,2,FALSE)</f>
        <v>#N/A</v>
      </c>
      <c r="J690">
        <f t="shared" ca="1" si="10"/>
        <v>0</v>
      </c>
    </row>
    <row r="691" spans="8:10" x14ac:dyDescent="0.3">
      <c r="H691" t="e">
        <f>F691*E691*VLOOKUP(G691,'FX Rates'!A:B,2,FALSE)</f>
        <v>#N/A</v>
      </c>
      <c r="J691">
        <f t="shared" ca="1" si="10"/>
        <v>0</v>
      </c>
    </row>
    <row r="692" spans="8:10" x14ac:dyDescent="0.3">
      <c r="H692" t="e">
        <f>F692*E692*VLOOKUP(G692,'FX Rates'!A:B,2,FALSE)</f>
        <v>#N/A</v>
      </c>
      <c r="J692">
        <f t="shared" ca="1" si="10"/>
        <v>0</v>
      </c>
    </row>
    <row r="693" spans="8:10" x14ac:dyDescent="0.3">
      <c r="H693" t="e">
        <f>F693*E693*VLOOKUP(G693,'FX Rates'!A:B,2,FALSE)</f>
        <v>#N/A</v>
      </c>
      <c r="J693">
        <f t="shared" ca="1" si="10"/>
        <v>0</v>
      </c>
    </row>
    <row r="694" spans="8:10" x14ac:dyDescent="0.3">
      <c r="H694" t="e">
        <f>F694*E694*VLOOKUP(G694,'FX Rates'!A:B,2,FALSE)</f>
        <v>#N/A</v>
      </c>
      <c r="J694">
        <f t="shared" ca="1" si="10"/>
        <v>0</v>
      </c>
    </row>
    <row r="695" spans="8:10" x14ac:dyDescent="0.3">
      <c r="H695" t="e">
        <f>F695*E695*VLOOKUP(G695,'FX Rates'!A:B,2,FALSE)</f>
        <v>#N/A</v>
      </c>
      <c r="J695">
        <f t="shared" ca="1" si="10"/>
        <v>0</v>
      </c>
    </row>
    <row r="696" spans="8:10" x14ac:dyDescent="0.3">
      <c r="H696" t="e">
        <f>F696*E696*VLOOKUP(G696,'FX Rates'!A:B,2,FALSE)</f>
        <v>#N/A</v>
      </c>
      <c r="J696">
        <f t="shared" ca="1" si="10"/>
        <v>0</v>
      </c>
    </row>
    <row r="697" spans="8:10" x14ac:dyDescent="0.3">
      <c r="H697" t="e">
        <f>F697*E697*VLOOKUP(G697,'FX Rates'!A:B,2,FALSE)</f>
        <v>#N/A</v>
      </c>
      <c r="J697">
        <f t="shared" ca="1" si="10"/>
        <v>0</v>
      </c>
    </row>
    <row r="698" spans="8:10" x14ac:dyDescent="0.3">
      <c r="H698" t="e">
        <f>F698*E698*VLOOKUP(G698,'FX Rates'!A:B,2,FALSE)</f>
        <v>#N/A</v>
      </c>
      <c r="J698">
        <f t="shared" ca="1" si="10"/>
        <v>0</v>
      </c>
    </row>
    <row r="699" spans="8:10" x14ac:dyDescent="0.3">
      <c r="H699" t="e">
        <f>F699*E699*VLOOKUP(G699,'FX Rates'!A:B,2,FALSE)</f>
        <v>#N/A</v>
      </c>
      <c r="J699">
        <f t="shared" ca="1" si="10"/>
        <v>0</v>
      </c>
    </row>
    <row r="700" spans="8:10" x14ac:dyDescent="0.3">
      <c r="H700" t="e">
        <f>F700*E700*VLOOKUP(G700,'FX Rates'!A:B,2,FALSE)</f>
        <v>#N/A</v>
      </c>
      <c r="J700">
        <f t="shared" ca="1" si="10"/>
        <v>0</v>
      </c>
    </row>
    <row r="701" spans="8:10" x14ac:dyDescent="0.3">
      <c r="H701" t="e">
        <f>F701*E701*VLOOKUP(G701,'FX Rates'!A:B,2,FALSE)</f>
        <v>#N/A</v>
      </c>
      <c r="J701">
        <f t="shared" ca="1" si="10"/>
        <v>0</v>
      </c>
    </row>
    <row r="702" spans="8:10" x14ac:dyDescent="0.3">
      <c r="H702" t="e">
        <f>F702*E702*VLOOKUP(G702,'FX Rates'!A:B,2,FALSE)</f>
        <v>#N/A</v>
      </c>
      <c r="J702">
        <f t="shared" ca="1" si="10"/>
        <v>0</v>
      </c>
    </row>
    <row r="703" spans="8:10" x14ac:dyDescent="0.3">
      <c r="H703" t="e">
        <f>F703*E703*VLOOKUP(G703,'FX Rates'!A:B,2,FALSE)</f>
        <v>#N/A</v>
      </c>
      <c r="J703">
        <f t="shared" ca="1" si="10"/>
        <v>0</v>
      </c>
    </row>
    <row r="704" spans="8:10" x14ac:dyDescent="0.3">
      <c r="H704" t="e">
        <f>F704*E704*VLOOKUP(G704,'FX Rates'!A:B,2,FALSE)</f>
        <v>#N/A</v>
      </c>
      <c r="J704">
        <f t="shared" ca="1" si="10"/>
        <v>0</v>
      </c>
    </row>
    <row r="705" spans="8:10" x14ac:dyDescent="0.3">
      <c r="H705" t="e">
        <f>F705*E705*VLOOKUP(G705,'FX Rates'!A:B,2,FALSE)</f>
        <v>#N/A</v>
      </c>
      <c r="J705">
        <f t="shared" ca="1" si="10"/>
        <v>0</v>
      </c>
    </row>
    <row r="706" spans="8:10" x14ac:dyDescent="0.3">
      <c r="H706" t="e">
        <f>F706*E706*VLOOKUP(G706,'FX Rates'!A:B,2,FALSE)</f>
        <v>#N/A</v>
      </c>
      <c r="J706">
        <f t="shared" ref="J706:J769" ca="1" si="11">IF(I706="",0,TODAY()-I706)</f>
        <v>0</v>
      </c>
    </row>
    <row r="707" spans="8:10" x14ac:dyDescent="0.3">
      <c r="H707" t="e">
        <f>F707*E707*VLOOKUP(G707,'FX Rates'!A:B,2,FALSE)</f>
        <v>#N/A</v>
      </c>
      <c r="J707">
        <f t="shared" ca="1" si="11"/>
        <v>0</v>
      </c>
    </row>
    <row r="708" spans="8:10" x14ac:dyDescent="0.3">
      <c r="H708" t="e">
        <f>F708*E708*VLOOKUP(G708,'FX Rates'!A:B,2,FALSE)</f>
        <v>#N/A</v>
      </c>
      <c r="J708">
        <f t="shared" ca="1" si="11"/>
        <v>0</v>
      </c>
    </row>
    <row r="709" spans="8:10" x14ac:dyDescent="0.3">
      <c r="H709" t="e">
        <f>F709*E709*VLOOKUP(G709,'FX Rates'!A:B,2,FALSE)</f>
        <v>#N/A</v>
      </c>
      <c r="J709">
        <f t="shared" ca="1" si="11"/>
        <v>0</v>
      </c>
    </row>
    <row r="710" spans="8:10" x14ac:dyDescent="0.3">
      <c r="H710" t="e">
        <f>F710*E710*VLOOKUP(G710,'FX Rates'!A:B,2,FALSE)</f>
        <v>#N/A</v>
      </c>
      <c r="J710">
        <f t="shared" ca="1" si="11"/>
        <v>0</v>
      </c>
    </row>
    <row r="711" spans="8:10" x14ac:dyDescent="0.3">
      <c r="H711" t="e">
        <f>F711*E711*VLOOKUP(G711,'FX Rates'!A:B,2,FALSE)</f>
        <v>#N/A</v>
      </c>
      <c r="J711">
        <f t="shared" ca="1" si="11"/>
        <v>0</v>
      </c>
    </row>
    <row r="712" spans="8:10" x14ac:dyDescent="0.3">
      <c r="H712" t="e">
        <f>F712*E712*VLOOKUP(G712,'FX Rates'!A:B,2,FALSE)</f>
        <v>#N/A</v>
      </c>
      <c r="J712">
        <f t="shared" ca="1" si="11"/>
        <v>0</v>
      </c>
    </row>
    <row r="713" spans="8:10" x14ac:dyDescent="0.3">
      <c r="H713" t="e">
        <f>F713*E713*VLOOKUP(G713,'FX Rates'!A:B,2,FALSE)</f>
        <v>#N/A</v>
      </c>
      <c r="J713">
        <f t="shared" ca="1" si="11"/>
        <v>0</v>
      </c>
    </row>
    <row r="714" spans="8:10" x14ac:dyDescent="0.3">
      <c r="H714" t="e">
        <f>F714*E714*VLOOKUP(G714,'FX Rates'!A:B,2,FALSE)</f>
        <v>#N/A</v>
      </c>
      <c r="J714">
        <f t="shared" ca="1" si="11"/>
        <v>0</v>
      </c>
    </row>
    <row r="715" spans="8:10" x14ac:dyDescent="0.3">
      <c r="H715" t="e">
        <f>F715*E715*VLOOKUP(G715,'FX Rates'!A:B,2,FALSE)</f>
        <v>#N/A</v>
      </c>
      <c r="J715">
        <f t="shared" ca="1" si="11"/>
        <v>0</v>
      </c>
    </row>
    <row r="716" spans="8:10" x14ac:dyDescent="0.3">
      <c r="H716" t="e">
        <f>F716*E716*VLOOKUP(G716,'FX Rates'!A:B,2,FALSE)</f>
        <v>#N/A</v>
      </c>
      <c r="J716">
        <f t="shared" ca="1" si="11"/>
        <v>0</v>
      </c>
    </row>
    <row r="717" spans="8:10" x14ac:dyDescent="0.3">
      <c r="H717" t="e">
        <f>F717*E717*VLOOKUP(G717,'FX Rates'!A:B,2,FALSE)</f>
        <v>#N/A</v>
      </c>
      <c r="J717">
        <f t="shared" ca="1" si="11"/>
        <v>0</v>
      </c>
    </row>
    <row r="718" spans="8:10" x14ac:dyDescent="0.3">
      <c r="H718" t="e">
        <f>F718*E718*VLOOKUP(G718,'FX Rates'!A:B,2,FALSE)</f>
        <v>#N/A</v>
      </c>
      <c r="J718">
        <f t="shared" ca="1" si="11"/>
        <v>0</v>
      </c>
    </row>
    <row r="719" spans="8:10" x14ac:dyDescent="0.3">
      <c r="H719" t="e">
        <f>F719*E719*VLOOKUP(G719,'FX Rates'!A:B,2,FALSE)</f>
        <v>#N/A</v>
      </c>
      <c r="J719">
        <f t="shared" ca="1" si="11"/>
        <v>0</v>
      </c>
    </row>
    <row r="720" spans="8:10" x14ac:dyDescent="0.3">
      <c r="H720" t="e">
        <f>F720*E720*VLOOKUP(G720,'FX Rates'!A:B,2,FALSE)</f>
        <v>#N/A</v>
      </c>
      <c r="J720">
        <f t="shared" ca="1" si="11"/>
        <v>0</v>
      </c>
    </row>
    <row r="721" spans="8:10" x14ac:dyDescent="0.3">
      <c r="H721" t="e">
        <f>F721*E721*VLOOKUP(G721,'FX Rates'!A:B,2,FALSE)</f>
        <v>#N/A</v>
      </c>
      <c r="J721">
        <f t="shared" ca="1" si="11"/>
        <v>0</v>
      </c>
    </row>
    <row r="722" spans="8:10" x14ac:dyDescent="0.3">
      <c r="H722" t="e">
        <f>F722*E722*VLOOKUP(G722,'FX Rates'!A:B,2,FALSE)</f>
        <v>#N/A</v>
      </c>
      <c r="J722">
        <f t="shared" ca="1" si="11"/>
        <v>0</v>
      </c>
    </row>
    <row r="723" spans="8:10" x14ac:dyDescent="0.3">
      <c r="H723" t="e">
        <f>F723*E723*VLOOKUP(G723,'FX Rates'!A:B,2,FALSE)</f>
        <v>#N/A</v>
      </c>
      <c r="J723">
        <f t="shared" ca="1" si="11"/>
        <v>0</v>
      </c>
    </row>
    <row r="724" spans="8:10" x14ac:dyDescent="0.3">
      <c r="H724" t="e">
        <f>F724*E724*VLOOKUP(G724,'FX Rates'!A:B,2,FALSE)</f>
        <v>#N/A</v>
      </c>
      <c r="J724">
        <f t="shared" ca="1" si="11"/>
        <v>0</v>
      </c>
    </row>
    <row r="725" spans="8:10" x14ac:dyDescent="0.3">
      <c r="H725" t="e">
        <f>F725*E725*VLOOKUP(G725,'FX Rates'!A:B,2,FALSE)</f>
        <v>#N/A</v>
      </c>
      <c r="J725">
        <f t="shared" ca="1" si="11"/>
        <v>0</v>
      </c>
    </row>
    <row r="726" spans="8:10" x14ac:dyDescent="0.3">
      <c r="H726" t="e">
        <f>F726*E726*VLOOKUP(G726,'FX Rates'!A:B,2,FALSE)</f>
        <v>#N/A</v>
      </c>
      <c r="J726">
        <f t="shared" ca="1" si="11"/>
        <v>0</v>
      </c>
    </row>
    <row r="727" spans="8:10" x14ac:dyDescent="0.3">
      <c r="H727" t="e">
        <f>F727*E727*VLOOKUP(G727,'FX Rates'!A:B,2,FALSE)</f>
        <v>#N/A</v>
      </c>
      <c r="J727">
        <f t="shared" ca="1" si="11"/>
        <v>0</v>
      </c>
    </row>
    <row r="728" spans="8:10" x14ac:dyDescent="0.3">
      <c r="H728" t="e">
        <f>F728*E728*VLOOKUP(G728,'FX Rates'!A:B,2,FALSE)</f>
        <v>#N/A</v>
      </c>
      <c r="J728">
        <f t="shared" ca="1" si="11"/>
        <v>0</v>
      </c>
    </row>
    <row r="729" spans="8:10" x14ac:dyDescent="0.3">
      <c r="H729" t="e">
        <f>F729*E729*VLOOKUP(G729,'FX Rates'!A:B,2,FALSE)</f>
        <v>#N/A</v>
      </c>
      <c r="J729">
        <f t="shared" ca="1" si="11"/>
        <v>0</v>
      </c>
    </row>
    <row r="730" spans="8:10" x14ac:dyDescent="0.3">
      <c r="H730" t="e">
        <f>F730*E730*VLOOKUP(G730,'FX Rates'!A:B,2,FALSE)</f>
        <v>#N/A</v>
      </c>
      <c r="J730">
        <f t="shared" ca="1" si="11"/>
        <v>0</v>
      </c>
    </row>
    <row r="731" spans="8:10" x14ac:dyDescent="0.3">
      <c r="H731" t="e">
        <f>F731*E731*VLOOKUP(G731,'FX Rates'!A:B,2,FALSE)</f>
        <v>#N/A</v>
      </c>
      <c r="J731">
        <f t="shared" ca="1" si="11"/>
        <v>0</v>
      </c>
    </row>
    <row r="732" spans="8:10" x14ac:dyDescent="0.3">
      <c r="H732" t="e">
        <f>F732*E732*VLOOKUP(G732,'FX Rates'!A:B,2,FALSE)</f>
        <v>#N/A</v>
      </c>
      <c r="J732">
        <f t="shared" ca="1" si="11"/>
        <v>0</v>
      </c>
    </row>
    <row r="733" spans="8:10" x14ac:dyDescent="0.3">
      <c r="H733" t="e">
        <f>F733*E733*VLOOKUP(G733,'FX Rates'!A:B,2,FALSE)</f>
        <v>#N/A</v>
      </c>
      <c r="J733">
        <f t="shared" ca="1" si="11"/>
        <v>0</v>
      </c>
    </row>
    <row r="734" spans="8:10" x14ac:dyDescent="0.3">
      <c r="H734" t="e">
        <f>F734*E734*VLOOKUP(G734,'FX Rates'!A:B,2,FALSE)</f>
        <v>#N/A</v>
      </c>
      <c r="J734">
        <f t="shared" ca="1" si="11"/>
        <v>0</v>
      </c>
    </row>
    <row r="735" spans="8:10" x14ac:dyDescent="0.3">
      <c r="H735" t="e">
        <f>F735*E735*VLOOKUP(G735,'FX Rates'!A:B,2,FALSE)</f>
        <v>#N/A</v>
      </c>
      <c r="J735">
        <f t="shared" ca="1" si="11"/>
        <v>0</v>
      </c>
    </row>
    <row r="736" spans="8:10" x14ac:dyDescent="0.3">
      <c r="H736" t="e">
        <f>F736*E736*VLOOKUP(G736,'FX Rates'!A:B,2,FALSE)</f>
        <v>#N/A</v>
      </c>
      <c r="J736">
        <f t="shared" ca="1" si="11"/>
        <v>0</v>
      </c>
    </row>
    <row r="737" spans="8:10" x14ac:dyDescent="0.3">
      <c r="H737" t="e">
        <f>F737*E737*VLOOKUP(G737,'FX Rates'!A:B,2,FALSE)</f>
        <v>#N/A</v>
      </c>
      <c r="J737">
        <f t="shared" ca="1" si="11"/>
        <v>0</v>
      </c>
    </row>
    <row r="738" spans="8:10" x14ac:dyDescent="0.3">
      <c r="H738" t="e">
        <f>F738*E738*VLOOKUP(G738,'FX Rates'!A:B,2,FALSE)</f>
        <v>#N/A</v>
      </c>
      <c r="J738">
        <f t="shared" ca="1" si="11"/>
        <v>0</v>
      </c>
    </row>
    <row r="739" spans="8:10" x14ac:dyDescent="0.3">
      <c r="H739" t="e">
        <f>F739*E739*VLOOKUP(G739,'FX Rates'!A:B,2,FALSE)</f>
        <v>#N/A</v>
      </c>
      <c r="J739">
        <f t="shared" ca="1" si="11"/>
        <v>0</v>
      </c>
    </row>
    <row r="740" spans="8:10" x14ac:dyDescent="0.3">
      <c r="H740" t="e">
        <f>F740*E740*VLOOKUP(G740,'FX Rates'!A:B,2,FALSE)</f>
        <v>#N/A</v>
      </c>
      <c r="J740">
        <f t="shared" ca="1" si="11"/>
        <v>0</v>
      </c>
    </row>
    <row r="741" spans="8:10" x14ac:dyDescent="0.3">
      <c r="H741" t="e">
        <f>F741*E741*VLOOKUP(G741,'FX Rates'!A:B,2,FALSE)</f>
        <v>#N/A</v>
      </c>
      <c r="J741">
        <f t="shared" ca="1" si="11"/>
        <v>0</v>
      </c>
    </row>
    <row r="742" spans="8:10" x14ac:dyDescent="0.3">
      <c r="H742" t="e">
        <f>F742*E742*VLOOKUP(G742,'FX Rates'!A:B,2,FALSE)</f>
        <v>#N/A</v>
      </c>
      <c r="J742">
        <f t="shared" ca="1" si="11"/>
        <v>0</v>
      </c>
    </row>
    <row r="743" spans="8:10" x14ac:dyDescent="0.3">
      <c r="H743" t="e">
        <f>F743*E743*VLOOKUP(G743,'FX Rates'!A:B,2,FALSE)</f>
        <v>#N/A</v>
      </c>
      <c r="J743">
        <f t="shared" ca="1" si="11"/>
        <v>0</v>
      </c>
    </row>
    <row r="744" spans="8:10" x14ac:dyDescent="0.3">
      <c r="H744" t="e">
        <f>F744*E744*VLOOKUP(G744,'FX Rates'!A:B,2,FALSE)</f>
        <v>#N/A</v>
      </c>
      <c r="J744">
        <f t="shared" ca="1" si="11"/>
        <v>0</v>
      </c>
    </row>
    <row r="745" spans="8:10" x14ac:dyDescent="0.3">
      <c r="H745" t="e">
        <f>F745*E745*VLOOKUP(G745,'FX Rates'!A:B,2,FALSE)</f>
        <v>#N/A</v>
      </c>
      <c r="J745">
        <f t="shared" ca="1" si="11"/>
        <v>0</v>
      </c>
    </row>
    <row r="746" spans="8:10" x14ac:dyDescent="0.3">
      <c r="H746" t="e">
        <f>F746*E746*VLOOKUP(G746,'FX Rates'!A:B,2,FALSE)</f>
        <v>#N/A</v>
      </c>
      <c r="J746">
        <f t="shared" ca="1" si="11"/>
        <v>0</v>
      </c>
    </row>
    <row r="747" spans="8:10" x14ac:dyDescent="0.3">
      <c r="H747" t="e">
        <f>F747*E747*VLOOKUP(G747,'FX Rates'!A:B,2,FALSE)</f>
        <v>#N/A</v>
      </c>
      <c r="J747">
        <f t="shared" ca="1" si="11"/>
        <v>0</v>
      </c>
    </row>
    <row r="748" spans="8:10" x14ac:dyDescent="0.3">
      <c r="H748" t="e">
        <f>F748*E748*VLOOKUP(G748,'FX Rates'!A:B,2,FALSE)</f>
        <v>#N/A</v>
      </c>
      <c r="J748">
        <f t="shared" ca="1" si="11"/>
        <v>0</v>
      </c>
    </row>
    <row r="749" spans="8:10" x14ac:dyDescent="0.3">
      <c r="H749" t="e">
        <f>F749*E749*VLOOKUP(G749,'FX Rates'!A:B,2,FALSE)</f>
        <v>#N/A</v>
      </c>
      <c r="J749">
        <f t="shared" ca="1" si="11"/>
        <v>0</v>
      </c>
    </row>
    <row r="750" spans="8:10" x14ac:dyDescent="0.3">
      <c r="H750" t="e">
        <f>F750*E750*VLOOKUP(G750,'FX Rates'!A:B,2,FALSE)</f>
        <v>#N/A</v>
      </c>
      <c r="J750">
        <f t="shared" ca="1" si="11"/>
        <v>0</v>
      </c>
    </row>
    <row r="751" spans="8:10" x14ac:dyDescent="0.3">
      <c r="H751" t="e">
        <f>F751*E751*VLOOKUP(G751,'FX Rates'!A:B,2,FALSE)</f>
        <v>#N/A</v>
      </c>
      <c r="J751">
        <f t="shared" ca="1" si="11"/>
        <v>0</v>
      </c>
    </row>
    <row r="752" spans="8:10" x14ac:dyDescent="0.3">
      <c r="H752" t="e">
        <f>F752*E752*VLOOKUP(G752,'FX Rates'!A:B,2,FALSE)</f>
        <v>#N/A</v>
      </c>
      <c r="J752">
        <f t="shared" ca="1" si="11"/>
        <v>0</v>
      </c>
    </row>
    <row r="753" spans="8:10" x14ac:dyDescent="0.3">
      <c r="H753" t="e">
        <f>F753*E753*VLOOKUP(G753,'FX Rates'!A:B,2,FALSE)</f>
        <v>#N/A</v>
      </c>
      <c r="J753">
        <f t="shared" ca="1" si="11"/>
        <v>0</v>
      </c>
    </row>
    <row r="754" spans="8:10" x14ac:dyDescent="0.3">
      <c r="H754" t="e">
        <f>F754*E754*VLOOKUP(G754,'FX Rates'!A:B,2,FALSE)</f>
        <v>#N/A</v>
      </c>
      <c r="J754">
        <f t="shared" ca="1" si="11"/>
        <v>0</v>
      </c>
    </row>
    <row r="755" spans="8:10" x14ac:dyDescent="0.3">
      <c r="H755" t="e">
        <f>F755*E755*VLOOKUP(G755,'FX Rates'!A:B,2,FALSE)</f>
        <v>#N/A</v>
      </c>
      <c r="J755">
        <f t="shared" ca="1" si="11"/>
        <v>0</v>
      </c>
    </row>
    <row r="756" spans="8:10" x14ac:dyDescent="0.3">
      <c r="H756" t="e">
        <f>F756*E756*VLOOKUP(G756,'FX Rates'!A:B,2,FALSE)</f>
        <v>#N/A</v>
      </c>
      <c r="J756">
        <f t="shared" ca="1" si="11"/>
        <v>0</v>
      </c>
    </row>
    <row r="757" spans="8:10" x14ac:dyDescent="0.3">
      <c r="H757" t="e">
        <f>F757*E757*VLOOKUP(G757,'FX Rates'!A:B,2,FALSE)</f>
        <v>#N/A</v>
      </c>
      <c r="J757">
        <f t="shared" ca="1" si="11"/>
        <v>0</v>
      </c>
    </row>
    <row r="758" spans="8:10" x14ac:dyDescent="0.3">
      <c r="H758" t="e">
        <f>F758*E758*VLOOKUP(G758,'FX Rates'!A:B,2,FALSE)</f>
        <v>#N/A</v>
      </c>
      <c r="J758">
        <f t="shared" ca="1" si="11"/>
        <v>0</v>
      </c>
    </row>
    <row r="759" spans="8:10" x14ac:dyDescent="0.3">
      <c r="H759" t="e">
        <f>F759*E759*VLOOKUP(G759,'FX Rates'!A:B,2,FALSE)</f>
        <v>#N/A</v>
      </c>
      <c r="J759">
        <f t="shared" ca="1" si="11"/>
        <v>0</v>
      </c>
    </row>
    <row r="760" spans="8:10" x14ac:dyDescent="0.3">
      <c r="H760" t="e">
        <f>F760*E760*VLOOKUP(G760,'FX Rates'!A:B,2,FALSE)</f>
        <v>#N/A</v>
      </c>
      <c r="J760">
        <f t="shared" ca="1" si="11"/>
        <v>0</v>
      </c>
    </row>
    <row r="761" spans="8:10" x14ac:dyDescent="0.3">
      <c r="H761" t="e">
        <f>F761*E761*VLOOKUP(G761,'FX Rates'!A:B,2,FALSE)</f>
        <v>#N/A</v>
      </c>
      <c r="J761">
        <f t="shared" ca="1" si="11"/>
        <v>0</v>
      </c>
    </row>
    <row r="762" spans="8:10" x14ac:dyDescent="0.3">
      <c r="H762" t="e">
        <f>F762*E762*VLOOKUP(G762,'FX Rates'!A:B,2,FALSE)</f>
        <v>#N/A</v>
      </c>
      <c r="J762">
        <f t="shared" ca="1" si="11"/>
        <v>0</v>
      </c>
    </row>
    <row r="763" spans="8:10" x14ac:dyDescent="0.3">
      <c r="H763" t="e">
        <f>F763*E763*VLOOKUP(G763,'FX Rates'!A:B,2,FALSE)</f>
        <v>#N/A</v>
      </c>
      <c r="J763">
        <f t="shared" ca="1" si="11"/>
        <v>0</v>
      </c>
    </row>
    <row r="764" spans="8:10" x14ac:dyDescent="0.3">
      <c r="H764" t="e">
        <f>F764*E764*VLOOKUP(G764,'FX Rates'!A:B,2,FALSE)</f>
        <v>#N/A</v>
      </c>
      <c r="J764">
        <f t="shared" ca="1" si="11"/>
        <v>0</v>
      </c>
    </row>
    <row r="765" spans="8:10" x14ac:dyDescent="0.3">
      <c r="H765" t="e">
        <f>F765*E765*VLOOKUP(G765,'FX Rates'!A:B,2,FALSE)</f>
        <v>#N/A</v>
      </c>
      <c r="J765">
        <f t="shared" ca="1" si="11"/>
        <v>0</v>
      </c>
    </row>
    <row r="766" spans="8:10" x14ac:dyDescent="0.3">
      <c r="H766" t="e">
        <f>F766*E766*VLOOKUP(G766,'FX Rates'!A:B,2,FALSE)</f>
        <v>#N/A</v>
      </c>
      <c r="J766">
        <f t="shared" ca="1" si="11"/>
        <v>0</v>
      </c>
    </row>
    <row r="767" spans="8:10" x14ac:dyDescent="0.3">
      <c r="H767" t="e">
        <f>F767*E767*VLOOKUP(G767,'FX Rates'!A:B,2,FALSE)</f>
        <v>#N/A</v>
      </c>
      <c r="J767">
        <f t="shared" ca="1" si="11"/>
        <v>0</v>
      </c>
    </row>
    <row r="768" spans="8:10" x14ac:dyDescent="0.3">
      <c r="H768" t="e">
        <f>F768*E768*VLOOKUP(G768,'FX Rates'!A:B,2,FALSE)</f>
        <v>#N/A</v>
      </c>
      <c r="J768">
        <f t="shared" ca="1" si="11"/>
        <v>0</v>
      </c>
    </row>
    <row r="769" spans="8:10" x14ac:dyDescent="0.3">
      <c r="H769" t="e">
        <f>F769*E769*VLOOKUP(G769,'FX Rates'!A:B,2,FALSE)</f>
        <v>#N/A</v>
      </c>
      <c r="J769">
        <f t="shared" ca="1" si="11"/>
        <v>0</v>
      </c>
    </row>
    <row r="770" spans="8:10" x14ac:dyDescent="0.3">
      <c r="H770" t="e">
        <f>F770*E770*VLOOKUP(G770,'FX Rates'!A:B,2,FALSE)</f>
        <v>#N/A</v>
      </c>
      <c r="J770">
        <f t="shared" ref="J770:J833" ca="1" si="12">IF(I770="",0,TODAY()-I770)</f>
        <v>0</v>
      </c>
    </row>
    <row r="771" spans="8:10" x14ac:dyDescent="0.3">
      <c r="H771" t="e">
        <f>F771*E771*VLOOKUP(G771,'FX Rates'!A:B,2,FALSE)</f>
        <v>#N/A</v>
      </c>
      <c r="J771">
        <f t="shared" ca="1" si="12"/>
        <v>0</v>
      </c>
    </row>
    <row r="772" spans="8:10" x14ac:dyDescent="0.3">
      <c r="H772" t="e">
        <f>F772*E772*VLOOKUP(G772,'FX Rates'!A:B,2,FALSE)</f>
        <v>#N/A</v>
      </c>
      <c r="J772">
        <f t="shared" ca="1" si="12"/>
        <v>0</v>
      </c>
    </row>
    <row r="773" spans="8:10" x14ac:dyDescent="0.3">
      <c r="H773" t="e">
        <f>F773*E773*VLOOKUP(G773,'FX Rates'!A:B,2,FALSE)</f>
        <v>#N/A</v>
      </c>
      <c r="J773">
        <f t="shared" ca="1" si="12"/>
        <v>0</v>
      </c>
    </row>
    <row r="774" spans="8:10" x14ac:dyDescent="0.3">
      <c r="H774" t="e">
        <f>F774*E774*VLOOKUP(G774,'FX Rates'!A:B,2,FALSE)</f>
        <v>#N/A</v>
      </c>
      <c r="J774">
        <f t="shared" ca="1" si="12"/>
        <v>0</v>
      </c>
    </row>
    <row r="775" spans="8:10" x14ac:dyDescent="0.3">
      <c r="H775" t="e">
        <f>F775*E775*VLOOKUP(G775,'FX Rates'!A:B,2,FALSE)</f>
        <v>#N/A</v>
      </c>
      <c r="J775">
        <f t="shared" ca="1" si="12"/>
        <v>0</v>
      </c>
    </row>
    <row r="776" spans="8:10" x14ac:dyDescent="0.3">
      <c r="H776" t="e">
        <f>F776*E776*VLOOKUP(G776,'FX Rates'!A:B,2,FALSE)</f>
        <v>#N/A</v>
      </c>
      <c r="J776">
        <f t="shared" ca="1" si="12"/>
        <v>0</v>
      </c>
    </row>
    <row r="777" spans="8:10" x14ac:dyDescent="0.3">
      <c r="H777" t="e">
        <f>F777*E777*VLOOKUP(G777,'FX Rates'!A:B,2,FALSE)</f>
        <v>#N/A</v>
      </c>
      <c r="J777">
        <f t="shared" ca="1" si="12"/>
        <v>0</v>
      </c>
    </row>
    <row r="778" spans="8:10" x14ac:dyDescent="0.3">
      <c r="H778" t="e">
        <f>F778*E778*VLOOKUP(G778,'FX Rates'!A:B,2,FALSE)</f>
        <v>#N/A</v>
      </c>
      <c r="J778">
        <f t="shared" ca="1" si="12"/>
        <v>0</v>
      </c>
    </row>
    <row r="779" spans="8:10" x14ac:dyDescent="0.3">
      <c r="H779" t="e">
        <f>F779*E779*VLOOKUP(G779,'FX Rates'!A:B,2,FALSE)</f>
        <v>#N/A</v>
      </c>
      <c r="J779">
        <f t="shared" ca="1" si="12"/>
        <v>0</v>
      </c>
    </row>
    <row r="780" spans="8:10" x14ac:dyDescent="0.3">
      <c r="H780" t="e">
        <f>F780*E780*VLOOKUP(G780,'FX Rates'!A:B,2,FALSE)</f>
        <v>#N/A</v>
      </c>
      <c r="J780">
        <f t="shared" ca="1" si="12"/>
        <v>0</v>
      </c>
    </row>
    <row r="781" spans="8:10" x14ac:dyDescent="0.3">
      <c r="H781" t="e">
        <f>F781*E781*VLOOKUP(G781,'FX Rates'!A:B,2,FALSE)</f>
        <v>#N/A</v>
      </c>
      <c r="J781">
        <f t="shared" ca="1" si="12"/>
        <v>0</v>
      </c>
    </row>
    <row r="782" spans="8:10" x14ac:dyDescent="0.3">
      <c r="H782" t="e">
        <f>F782*E782*VLOOKUP(G782,'FX Rates'!A:B,2,FALSE)</f>
        <v>#N/A</v>
      </c>
      <c r="J782">
        <f t="shared" ca="1" si="12"/>
        <v>0</v>
      </c>
    </row>
    <row r="783" spans="8:10" x14ac:dyDescent="0.3">
      <c r="H783" t="e">
        <f>F783*E783*VLOOKUP(G783,'FX Rates'!A:B,2,FALSE)</f>
        <v>#N/A</v>
      </c>
      <c r="J783">
        <f t="shared" ca="1" si="12"/>
        <v>0</v>
      </c>
    </row>
    <row r="784" spans="8:10" x14ac:dyDescent="0.3">
      <c r="H784" t="e">
        <f>F784*E784*VLOOKUP(G784,'FX Rates'!A:B,2,FALSE)</f>
        <v>#N/A</v>
      </c>
      <c r="J784">
        <f t="shared" ca="1" si="12"/>
        <v>0</v>
      </c>
    </row>
    <row r="785" spans="8:10" x14ac:dyDescent="0.3">
      <c r="H785" t="e">
        <f>F785*E785*VLOOKUP(G785,'FX Rates'!A:B,2,FALSE)</f>
        <v>#N/A</v>
      </c>
      <c r="J785">
        <f t="shared" ca="1" si="12"/>
        <v>0</v>
      </c>
    </row>
    <row r="786" spans="8:10" x14ac:dyDescent="0.3">
      <c r="H786" t="e">
        <f>F786*E786*VLOOKUP(G786,'FX Rates'!A:B,2,FALSE)</f>
        <v>#N/A</v>
      </c>
      <c r="J786">
        <f t="shared" ca="1" si="12"/>
        <v>0</v>
      </c>
    </row>
    <row r="787" spans="8:10" x14ac:dyDescent="0.3">
      <c r="H787" t="e">
        <f>F787*E787*VLOOKUP(G787,'FX Rates'!A:B,2,FALSE)</f>
        <v>#N/A</v>
      </c>
      <c r="J787">
        <f t="shared" ca="1" si="12"/>
        <v>0</v>
      </c>
    </row>
    <row r="788" spans="8:10" x14ac:dyDescent="0.3">
      <c r="H788" t="e">
        <f>F788*E788*VLOOKUP(G788,'FX Rates'!A:B,2,FALSE)</f>
        <v>#N/A</v>
      </c>
      <c r="J788">
        <f t="shared" ca="1" si="12"/>
        <v>0</v>
      </c>
    </row>
    <row r="789" spans="8:10" x14ac:dyDescent="0.3">
      <c r="H789" t="e">
        <f>F789*E789*VLOOKUP(G789,'FX Rates'!A:B,2,FALSE)</f>
        <v>#N/A</v>
      </c>
      <c r="J789">
        <f t="shared" ca="1" si="12"/>
        <v>0</v>
      </c>
    </row>
    <row r="790" spans="8:10" x14ac:dyDescent="0.3">
      <c r="H790" t="e">
        <f>F790*E790*VLOOKUP(G790,'FX Rates'!A:B,2,FALSE)</f>
        <v>#N/A</v>
      </c>
      <c r="J790">
        <f t="shared" ca="1" si="12"/>
        <v>0</v>
      </c>
    </row>
    <row r="791" spans="8:10" x14ac:dyDescent="0.3">
      <c r="H791" t="e">
        <f>F791*E791*VLOOKUP(G791,'FX Rates'!A:B,2,FALSE)</f>
        <v>#N/A</v>
      </c>
      <c r="J791">
        <f t="shared" ca="1" si="12"/>
        <v>0</v>
      </c>
    </row>
    <row r="792" spans="8:10" x14ac:dyDescent="0.3">
      <c r="H792" t="e">
        <f>F792*E792*VLOOKUP(G792,'FX Rates'!A:B,2,FALSE)</f>
        <v>#N/A</v>
      </c>
      <c r="J792">
        <f t="shared" ca="1" si="12"/>
        <v>0</v>
      </c>
    </row>
    <row r="793" spans="8:10" x14ac:dyDescent="0.3">
      <c r="H793" t="e">
        <f>F793*E793*VLOOKUP(G793,'FX Rates'!A:B,2,FALSE)</f>
        <v>#N/A</v>
      </c>
      <c r="J793">
        <f t="shared" ca="1" si="12"/>
        <v>0</v>
      </c>
    </row>
    <row r="794" spans="8:10" x14ac:dyDescent="0.3">
      <c r="H794" t="e">
        <f>F794*E794*VLOOKUP(G794,'FX Rates'!A:B,2,FALSE)</f>
        <v>#N/A</v>
      </c>
      <c r="J794">
        <f t="shared" ca="1" si="12"/>
        <v>0</v>
      </c>
    </row>
    <row r="795" spans="8:10" x14ac:dyDescent="0.3">
      <c r="H795" t="e">
        <f>F795*E795*VLOOKUP(G795,'FX Rates'!A:B,2,FALSE)</f>
        <v>#N/A</v>
      </c>
      <c r="J795">
        <f t="shared" ca="1" si="12"/>
        <v>0</v>
      </c>
    </row>
    <row r="796" spans="8:10" x14ac:dyDescent="0.3">
      <c r="H796" t="e">
        <f>F796*E796*VLOOKUP(G796,'FX Rates'!A:B,2,FALSE)</f>
        <v>#N/A</v>
      </c>
      <c r="J796">
        <f t="shared" ca="1" si="12"/>
        <v>0</v>
      </c>
    </row>
    <row r="797" spans="8:10" x14ac:dyDescent="0.3">
      <c r="H797" t="e">
        <f>F797*E797*VLOOKUP(G797,'FX Rates'!A:B,2,FALSE)</f>
        <v>#N/A</v>
      </c>
      <c r="J797">
        <f t="shared" ca="1" si="12"/>
        <v>0</v>
      </c>
    </row>
    <row r="798" spans="8:10" x14ac:dyDescent="0.3">
      <c r="H798" t="e">
        <f>F798*E798*VLOOKUP(G798,'FX Rates'!A:B,2,FALSE)</f>
        <v>#N/A</v>
      </c>
      <c r="J798">
        <f t="shared" ca="1" si="12"/>
        <v>0</v>
      </c>
    </row>
    <row r="799" spans="8:10" x14ac:dyDescent="0.3">
      <c r="H799" t="e">
        <f>F799*E799*VLOOKUP(G799,'FX Rates'!A:B,2,FALSE)</f>
        <v>#N/A</v>
      </c>
      <c r="J799">
        <f t="shared" ca="1" si="12"/>
        <v>0</v>
      </c>
    </row>
    <row r="800" spans="8:10" x14ac:dyDescent="0.3">
      <c r="H800" t="e">
        <f>F800*E800*VLOOKUP(G800,'FX Rates'!A:B,2,FALSE)</f>
        <v>#N/A</v>
      </c>
      <c r="J800">
        <f t="shared" ca="1" si="12"/>
        <v>0</v>
      </c>
    </row>
    <row r="801" spans="8:10" x14ac:dyDescent="0.3">
      <c r="H801" t="e">
        <f>F801*E801*VLOOKUP(G801,'FX Rates'!A:B,2,FALSE)</f>
        <v>#N/A</v>
      </c>
      <c r="J801">
        <f t="shared" ca="1" si="12"/>
        <v>0</v>
      </c>
    </row>
    <row r="802" spans="8:10" x14ac:dyDescent="0.3">
      <c r="H802" t="e">
        <f>F802*E802*VLOOKUP(G802,'FX Rates'!A:B,2,FALSE)</f>
        <v>#N/A</v>
      </c>
      <c r="J802">
        <f t="shared" ca="1" si="12"/>
        <v>0</v>
      </c>
    </row>
    <row r="803" spans="8:10" x14ac:dyDescent="0.3">
      <c r="H803" t="e">
        <f>F803*E803*VLOOKUP(G803,'FX Rates'!A:B,2,FALSE)</f>
        <v>#N/A</v>
      </c>
      <c r="J803">
        <f t="shared" ca="1" si="12"/>
        <v>0</v>
      </c>
    </row>
    <row r="804" spans="8:10" x14ac:dyDescent="0.3">
      <c r="H804" t="e">
        <f>F804*E804*VLOOKUP(G804,'FX Rates'!A:B,2,FALSE)</f>
        <v>#N/A</v>
      </c>
      <c r="J804">
        <f t="shared" ca="1" si="12"/>
        <v>0</v>
      </c>
    </row>
    <row r="805" spans="8:10" x14ac:dyDescent="0.3">
      <c r="H805" t="e">
        <f>F805*E805*VLOOKUP(G805,'FX Rates'!A:B,2,FALSE)</f>
        <v>#N/A</v>
      </c>
      <c r="J805">
        <f t="shared" ca="1" si="12"/>
        <v>0</v>
      </c>
    </row>
    <row r="806" spans="8:10" x14ac:dyDescent="0.3">
      <c r="H806" t="e">
        <f>F806*E806*VLOOKUP(G806,'FX Rates'!A:B,2,FALSE)</f>
        <v>#N/A</v>
      </c>
      <c r="J806">
        <f t="shared" ca="1" si="12"/>
        <v>0</v>
      </c>
    </row>
    <row r="807" spans="8:10" x14ac:dyDescent="0.3">
      <c r="H807" t="e">
        <f>F807*E807*VLOOKUP(G807,'FX Rates'!A:B,2,FALSE)</f>
        <v>#N/A</v>
      </c>
      <c r="J807">
        <f t="shared" ca="1" si="12"/>
        <v>0</v>
      </c>
    </row>
    <row r="808" spans="8:10" x14ac:dyDescent="0.3">
      <c r="H808" t="e">
        <f>F808*E808*VLOOKUP(G808,'FX Rates'!A:B,2,FALSE)</f>
        <v>#N/A</v>
      </c>
      <c r="J808">
        <f t="shared" ca="1" si="12"/>
        <v>0</v>
      </c>
    </row>
    <row r="809" spans="8:10" x14ac:dyDescent="0.3">
      <c r="H809" t="e">
        <f>F809*E809*VLOOKUP(G809,'FX Rates'!A:B,2,FALSE)</f>
        <v>#N/A</v>
      </c>
      <c r="J809">
        <f t="shared" ca="1" si="12"/>
        <v>0</v>
      </c>
    </row>
    <row r="810" spans="8:10" x14ac:dyDescent="0.3">
      <c r="H810" t="e">
        <f>F810*E810*VLOOKUP(G810,'FX Rates'!A:B,2,FALSE)</f>
        <v>#N/A</v>
      </c>
      <c r="J810">
        <f t="shared" ca="1" si="12"/>
        <v>0</v>
      </c>
    </row>
    <row r="811" spans="8:10" x14ac:dyDescent="0.3">
      <c r="H811" t="e">
        <f>F811*E811*VLOOKUP(G811,'FX Rates'!A:B,2,FALSE)</f>
        <v>#N/A</v>
      </c>
      <c r="J811">
        <f t="shared" ca="1" si="12"/>
        <v>0</v>
      </c>
    </row>
    <row r="812" spans="8:10" x14ac:dyDescent="0.3">
      <c r="H812" t="e">
        <f>F812*E812*VLOOKUP(G812,'FX Rates'!A:B,2,FALSE)</f>
        <v>#N/A</v>
      </c>
      <c r="J812">
        <f t="shared" ca="1" si="12"/>
        <v>0</v>
      </c>
    </row>
    <row r="813" spans="8:10" x14ac:dyDescent="0.3">
      <c r="H813" t="e">
        <f>F813*E813*VLOOKUP(G813,'FX Rates'!A:B,2,FALSE)</f>
        <v>#N/A</v>
      </c>
      <c r="J813">
        <f t="shared" ca="1" si="12"/>
        <v>0</v>
      </c>
    </row>
    <row r="814" spans="8:10" x14ac:dyDescent="0.3">
      <c r="H814" t="e">
        <f>F814*E814*VLOOKUP(G814,'FX Rates'!A:B,2,FALSE)</f>
        <v>#N/A</v>
      </c>
      <c r="J814">
        <f t="shared" ca="1" si="12"/>
        <v>0</v>
      </c>
    </row>
    <row r="815" spans="8:10" x14ac:dyDescent="0.3">
      <c r="H815" t="e">
        <f>F815*E815*VLOOKUP(G815,'FX Rates'!A:B,2,FALSE)</f>
        <v>#N/A</v>
      </c>
      <c r="J815">
        <f t="shared" ca="1" si="12"/>
        <v>0</v>
      </c>
    </row>
    <row r="816" spans="8:10" x14ac:dyDescent="0.3">
      <c r="H816" t="e">
        <f>F816*E816*VLOOKUP(G816,'FX Rates'!A:B,2,FALSE)</f>
        <v>#N/A</v>
      </c>
      <c r="J816">
        <f t="shared" ca="1" si="12"/>
        <v>0</v>
      </c>
    </row>
    <row r="817" spans="8:10" x14ac:dyDescent="0.3">
      <c r="H817" t="e">
        <f>F817*E817*VLOOKUP(G817,'FX Rates'!A:B,2,FALSE)</f>
        <v>#N/A</v>
      </c>
      <c r="J817">
        <f t="shared" ca="1" si="12"/>
        <v>0</v>
      </c>
    </row>
    <row r="818" spans="8:10" x14ac:dyDescent="0.3">
      <c r="H818" t="e">
        <f>F818*E818*VLOOKUP(G818,'FX Rates'!A:B,2,FALSE)</f>
        <v>#N/A</v>
      </c>
      <c r="J818">
        <f t="shared" ca="1" si="12"/>
        <v>0</v>
      </c>
    </row>
    <row r="819" spans="8:10" x14ac:dyDescent="0.3">
      <c r="H819" t="e">
        <f>F819*E819*VLOOKUP(G819,'FX Rates'!A:B,2,FALSE)</f>
        <v>#N/A</v>
      </c>
      <c r="J819">
        <f t="shared" ca="1" si="12"/>
        <v>0</v>
      </c>
    </row>
    <row r="820" spans="8:10" x14ac:dyDescent="0.3">
      <c r="H820" t="e">
        <f>F820*E820*VLOOKUP(G820,'FX Rates'!A:B,2,FALSE)</f>
        <v>#N/A</v>
      </c>
      <c r="J820">
        <f t="shared" ca="1" si="12"/>
        <v>0</v>
      </c>
    </row>
    <row r="821" spans="8:10" x14ac:dyDescent="0.3">
      <c r="H821" t="e">
        <f>F821*E821*VLOOKUP(G821,'FX Rates'!A:B,2,FALSE)</f>
        <v>#N/A</v>
      </c>
      <c r="J821">
        <f t="shared" ca="1" si="12"/>
        <v>0</v>
      </c>
    </row>
    <row r="822" spans="8:10" x14ac:dyDescent="0.3">
      <c r="H822" t="e">
        <f>F822*E822*VLOOKUP(G822,'FX Rates'!A:B,2,FALSE)</f>
        <v>#N/A</v>
      </c>
      <c r="J822">
        <f t="shared" ca="1" si="12"/>
        <v>0</v>
      </c>
    </row>
    <row r="823" spans="8:10" x14ac:dyDescent="0.3">
      <c r="H823" t="e">
        <f>F823*E823*VLOOKUP(G823,'FX Rates'!A:B,2,FALSE)</f>
        <v>#N/A</v>
      </c>
      <c r="J823">
        <f t="shared" ca="1" si="12"/>
        <v>0</v>
      </c>
    </row>
    <row r="824" spans="8:10" x14ac:dyDescent="0.3">
      <c r="H824" t="e">
        <f>F824*E824*VLOOKUP(G824,'FX Rates'!A:B,2,FALSE)</f>
        <v>#N/A</v>
      </c>
      <c r="J824">
        <f t="shared" ca="1" si="12"/>
        <v>0</v>
      </c>
    </row>
    <row r="825" spans="8:10" x14ac:dyDescent="0.3">
      <c r="H825" t="e">
        <f>F825*E825*VLOOKUP(G825,'FX Rates'!A:B,2,FALSE)</f>
        <v>#N/A</v>
      </c>
      <c r="J825">
        <f t="shared" ca="1" si="12"/>
        <v>0</v>
      </c>
    </row>
    <row r="826" spans="8:10" x14ac:dyDescent="0.3">
      <c r="H826" t="e">
        <f>F826*E826*VLOOKUP(G826,'FX Rates'!A:B,2,FALSE)</f>
        <v>#N/A</v>
      </c>
      <c r="J826">
        <f t="shared" ca="1" si="12"/>
        <v>0</v>
      </c>
    </row>
    <row r="827" spans="8:10" x14ac:dyDescent="0.3">
      <c r="H827" t="e">
        <f>F827*E827*VLOOKUP(G827,'FX Rates'!A:B,2,FALSE)</f>
        <v>#N/A</v>
      </c>
      <c r="J827">
        <f t="shared" ca="1" si="12"/>
        <v>0</v>
      </c>
    </row>
    <row r="828" spans="8:10" x14ac:dyDescent="0.3">
      <c r="H828" t="e">
        <f>F828*E828*VLOOKUP(G828,'FX Rates'!A:B,2,FALSE)</f>
        <v>#N/A</v>
      </c>
      <c r="J828">
        <f t="shared" ca="1" si="12"/>
        <v>0</v>
      </c>
    </row>
    <row r="829" spans="8:10" x14ac:dyDescent="0.3">
      <c r="H829" t="e">
        <f>F829*E829*VLOOKUP(G829,'FX Rates'!A:B,2,FALSE)</f>
        <v>#N/A</v>
      </c>
      <c r="J829">
        <f t="shared" ca="1" si="12"/>
        <v>0</v>
      </c>
    </row>
    <row r="830" spans="8:10" x14ac:dyDescent="0.3">
      <c r="H830" t="e">
        <f>F830*E830*VLOOKUP(G830,'FX Rates'!A:B,2,FALSE)</f>
        <v>#N/A</v>
      </c>
      <c r="J830">
        <f t="shared" ca="1" si="12"/>
        <v>0</v>
      </c>
    </row>
    <row r="831" spans="8:10" x14ac:dyDescent="0.3">
      <c r="H831" t="e">
        <f>F831*E831*VLOOKUP(G831,'FX Rates'!A:B,2,FALSE)</f>
        <v>#N/A</v>
      </c>
      <c r="J831">
        <f t="shared" ca="1" si="12"/>
        <v>0</v>
      </c>
    </row>
    <row r="832" spans="8:10" x14ac:dyDescent="0.3">
      <c r="H832" t="e">
        <f>F832*E832*VLOOKUP(G832,'FX Rates'!A:B,2,FALSE)</f>
        <v>#N/A</v>
      </c>
      <c r="J832">
        <f t="shared" ca="1" si="12"/>
        <v>0</v>
      </c>
    </row>
    <row r="833" spans="8:10" x14ac:dyDescent="0.3">
      <c r="H833" t="e">
        <f>F833*E833*VLOOKUP(G833,'FX Rates'!A:B,2,FALSE)</f>
        <v>#N/A</v>
      </c>
      <c r="J833">
        <f t="shared" ca="1" si="12"/>
        <v>0</v>
      </c>
    </row>
    <row r="834" spans="8:10" x14ac:dyDescent="0.3">
      <c r="H834" t="e">
        <f>F834*E834*VLOOKUP(G834,'FX Rates'!A:B,2,FALSE)</f>
        <v>#N/A</v>
      </c>
      <c r="J834">
        <f t="shared" ref="J834:J897" ca="1" si="13">IF(I834="",0,TODAY()-I834)</f>
        <v>0</v>
      </c>
    </row>
    <row r="835" spans="8:10" x14ac:dyDescent="0.3">
      <c r="H835" t="e">
        <f>F835*E835*VLOOKUP(G835,'FX Rates'!A:B,2,FALSE)</f>
        <v>#N/A</v>
      </c>
      <c r="J835">
        <f t="shared" ca="1" si="13"/>
        <v>0</v>
      </c>
    </row>
    <row r="836" spans="8:10" x14ac:dyDescent="0.3">
      <c r="H836" t="e">
        <f>F836*E836*VLOOKUP(G836,'FX Rates'!A:B,2,FALSE)</f>
        <v>#N/A</v>
      </c>
      <c r="J836">
        <f t="shared" ca="1" si="13"/>
        <v>0</v>
      </c>
    </row>
    <row r="837" spans="8:10" x14ac:dyDescent="0.3">
      <c r="H837" t="e">
        <f>F837*E837*VLOOKUP(G837,'FX Rates'!A:B,2,FALSE)</f>
        <v>#N/A</v>
      </c>
      <c r="J837">
        <f t="shared" ca="1" si="13"/>
        <v>0</v>
      </c>
    </row>
    <row r="838" spans="8:10" x14ac:dyDescent="0.3">
      <c r="H838" t="e">
        <f>F838*E838*VLOOKUP(G838,'FX Rates'!A:B,2,FALSE)</f>
        <v>#N/A</v>
      </c>
      <c r="J838">
        <f t="shared" ca="1" si="13"/>
        <v>0</v>
      </c>
    </row>
    <row r="839" spans="8:10" x14ac:dyDescent="0.3">
      <c r="H839" t="e">
        <f>F839*E839*VLOOKUP(G839,'FX Rates'!A:B,2,FALSE)</f>
        <v>#N/A</v>
      </c>
      <c r="J839">
        <f t="shared" ca="1" si="13"/>
        <v>0</v>
      </c>
    </row>
    <row r="840" spans="8:10" x14ac:dyDescent="0.3">
      <c r="H840" t="e">
        <f>F840*E840*VLOOKUP(G840,'FX Rates'!A:B,2,FALSE)</f>
        <v>#N/A</v>
      </c>
      <c r="J840">
        <f t="shared" ca="1" si="13"/>
        <v>0</v>
      </c>
    </row>
    <row r="841" spans="8:10" x14ac:dyDescent="0.3">
      <c r="H841" t="e">
        <f>F841*E841*VLOOKUP(G841,'FX Rates'!A:B,2,FALSE)</f>
        <v>#N/A</v>
      </c>
      <c r="J841">
        <f t="shared" ca="1" si="13"/>
        <v>0</v>
      </c>
    </row>
    <row r="842" spans="8:10" x14ac:dyDescent="0.3">
      <c r="H842" t="e">
        <f>F842*E842*VLOOKUP(G842,'FX Rates'!A:B,2,FALSE)</f>
        <v>#N/A</v>
      </c>
      <c r="J842">
        <f t="shared" ca="1" si="13"/>
        <v>0</v>
      </c>
    </row>
    <row r="843" spans="8:10" x14ac:dyDescent="0.3">
      <c r="H843" t="e">
        <f>F843*E843*VLOOKUP(G843,'FX Rates'!A:B,2,FALSE)</f>
        <v>#N/A</v>
      </c>
      <c r="J843">
        <f t="shared" ca="1" si="13"/>
        <v>0</v>
      </c>
    </row>
    <row r="844" spans="8:10" x14ac:dyDescent="0.3">
      <c r="H844" t="e">
        <f>F844*E844*VLOOKUP(G844,'FX Rates'!A:B,2,FALSE)</f>
        <v>#N/A</v>
      </c>
      <c r="J844">
        <f t="shared" ca="1" si="13"/>
        <v>0</v>
      </c>
    </row>
    <row r="845" spans="8:10" x14ac:dyDescent="0.3">
      <c r="H845" t="e">
        <f>F845*E845*VLOOKUP(G845,'FX Rates'!A:B,2,FALSE)</f>
        <v>#N/A</v>
      </c>
      <c r="J845">
        <f t="shared" ca="1" si="13"/>
        <v>0</v>
      </c>
    </row>
    <row r="846" spans="8:10" x14ac:dyDescent="0.3">
      <c r="H846" t="e">
        <f>F846*E846*VLOOKUP(G846,'FX Rates'!A:B,2,FALSE)</f>
        <v>#N/A</v>
      </c>
      <c r="J846">
        <f t="shared" ca="1" si="13"/>
        <v>0</v>
      </c>
    </row>
    <row r="847" spans="8:10" x14ac:dyDescent="0.3">
      <c r="H847" t="e">
        <f>F847*E847*VLOOKUP(G847,'FX Rates'!A:B,2,FALSE)</f>
        <v>#N/A</v>
      </c>
      <c r="J847">
        <f t="shared" ca="1" si="13"/>
        <v>0</v>
      </c>
    </row>
    <row r="848" spans="8:10" x14ac:dyDescent="0.3">
      <c r="H848" t="e">
        <f>F848*E848*VLOOKUP(G848,'FX Rates'!A:B,2,FALSE)</f>
        <v>#N/A</v>
      </c>
      <c r="J848">
        <f t="shared" ca="1" si="13"/>
        <v>0</v>
      </c>
    </row>
    <row r="849" spans="8:10" x14ac:dyDescent="0.3">
      <c r="H849" t="e">
        <f>F849*E849*VLOOKUP(G849,'FX Rates'!A:B,2,FALSE)</f>
        <v>#N/A</v>
      </c>
      <c r="J849">
        <f t="shared" ca="1" si="13"/>
        <v>0</v>
      </c>
    </row>
    <row r="850" spans="8:10" x14ac:dyDescent="0.3">
      <c r="H850" t="e">
        <f>F850*E850*VLOOKUP(G850,'FX Rates'!A:B,2,FALSE)</f>
        <v>#N/A</v>
      </c>
      <c r="J850">
        <f t="shared" ca="1" si="13"/>
        <v>0</v>
      </c>
    </row>
    <row r="851" spans="8:10" x14ac:dyDescent="0.3">
      <c r="H851" t="e">
        <f>F851*E851*VLOOKUP(G851,'FX Rates'!A:B,2,FALSE)</f>
        <v>#N/A</v>
      </c>
      <c r="J851">
        <f t="shared" ca="1" si="13"/>
        <v>0</v>
      </c>
    </row>
    <row r="852" spans="8:10" x14ac:dyDescent="0.3">
      <c r="H852" t="e">
        <f>F852*E852*VLOOKUP(G852,'FX Rates'!A:B,2,FALSE)</f>
        <v>#N/A</v>
      </c>
      <c r="J852">
        <f t="shared" ca="1" si="13"/>
        <v>0</v>
      </c>
    </row>
    <row r="853" spans="8:10" x14ac:dyDescent="0.3">
      <c r="H853" t="e">
        <f>F853*E853*VLOOKUP(G853,'FX Rates'!A:B,2,FALSE)</f>
        <v>#N/A</v>
      </c>
      <c r="J853">
        <f t="shared" ca="1" si="13"/>
        <v>0</v>
      </c>
    </row>
    <row r="854" spans="8:10" x14ac:dyDescent="0.3">
      <c r="H854" t="e">
        <f>F854*E854*VLOOKUP(G854,'FX Rates'!A:B,2,FALSE)</f>
        <v>#N/A</v>
      </c>
      <c r="J854">
        <f t="shared" ca="1" si="13"/>
        <v>0</v>
      </c>
    </row>
    <row r="855" spans="8:10" x14ac:dyDescent="0.3">
      <c r="H855" t="e">
        <f>F855*E855*VLOOKUP(G855,'FX Rates'!A:B,2,FALSE)</f>
        <v>#N/A</v>
      </c>
      <c r="J855">
        <f t="shared" ca="1" si="13"/>
        <v>0</v>
      </c>
    </row>
    <row r="856" spans="8:10" x14ac:dyDescent="0.3">
      <c r="H856" t="e">
        <f>F856*E856*VLOOKUP(G856,'FX Rates'!A:B,2,FALSE)</f>
        <v>#N/A</v>
      </c>
      <c r="J856">
        <f t="shared" ca="1" si="13"/>
        <v>0</v>
      </c>
    </row>
    <row r="857" spans="8:10" x14ac:dyDescent="0.3">
      <c r="H857" t="e">
        <f>F857*E857*VLOOKUP(G857,'FX Rates'!A:B,2,FALSE)</f>
        <v>#N/A</v>
      </c>
      <c r="J857">
        <f t="shared" ca="1" si="13"/>
        <v>0</v>
      </c>
    </row>
    <row r="858" spans="8:10" x14ac:dyDescent="0.3">
      <c r="H858" t="e">
        <f>F858*E858*VLOOKUP(G858,'FX Rates'!A:B,2,FALSE)</f>
        <v>#N/A</v>
      </c>
      <c r="J858">
        <f t="shared" ca="1" si="13"/>
        <v>0</v>
      </c>
    </row>
    <row r="859" spans="8:10" x14ac:dyDescent="0.3">
      <c r="H859" t="e">
        <f>F859*E859*VLOOKUP(G859,'FX Rates'!A:B,2,FALSE)</f>
        <v>#N/A</v>
      </c>
      <c r="J859">
        <f t="shared" ca="1" si="13"/>
        <v>0</v>
      </c>
    </row>
    <row r="860" spans="8:10" x14ac:dyDescent="0.3">
      <c r="H860" t="e">
        <f>F860*E860*VLOOKUP(G860,'FX Rates'!A:B,2,FALSE)</f>
        <v>#N/A</v>
      </c>
      <c r="J860">
        <f t="shared" ca="1" si="13"/>
        <v>0</v>
      </c>
    </row>
    <row r="861" spans="8:10" x14ac:dyDescent="0.3">
      <c r="H861" t="e">
        <f>F861*E861*VLOOKUP(G861,'FX Rates'!A:B,2,FALSE)</f>
        <v>#N/A</v>
      </c>
      <c r="J861">
        <f t="shared" ca="1" si="13"/>
        <v>0</v>
      </c>
    </row>
    <row r="862" spans="8:10" x14ac:dyDescent="0.3">
      <c r="H862" t="e">
        <f>F862*E862*VLOOKUP(G862,'FX Rates'!A:B,2,FALSE)</f>
        <v>#N/A</v>
      </c>
      <c r="J862">
        <f t="shared" ca="1" si="13"/>
        <v>0</v>
      </c>
    </row>
    <row r="863" spans="8:10" x14ac:dyDescent="0.3">
      <c r="H863" t="e">
        <f>F863*E863*VLOOKUP(G863,'FX Rates'!A:B,2,FALSE)</f>
        <v>#N/A</v>
      </c>
      <c r="J863">
        <f t="shared" ca="1" si="13"/>
        <v>0</v>
      </c>
    </row>
    <row r="864" spans="8:10" x14ac:dyDescent="0.3">
      <c r="H864" t="e">
        <f>F864*E864*VLOOKUP(G864,'FX Rates'!A:B,2,FALSE)</f>
        <v>#N/A</v>
      </c>
      <c r="J864">
        <f t="shared" ca="1" si="13"/>
        <v>0</v>
      </c>
    </row>
    <row r="865" spans="8:10" x14ac:dyDescent="0.3">
      <c r="H865" t="e">
        <f>F865*E865*VLOOKUP(G865,'FX Rates'!A:B,2,FALSE)</f>
        <v>#N/A</v>
      </c>
      <c r="J865">
        <f t="shared" ca="1" si="13"/>
        <v>0</v>
      </c>
    </row>
    <row r="866" spans="8:10" x14ac:dyDescent="0.3">
      <c r="H866" t="e">
        <f>F866*E866*VLOOKUP(G866,'FX Rates'!A:B,2,FALSE)</f>
        <v>#N/A</v>
      </c>
      <c r="J866">
        <f t="shared" ca="1" si="13"/>
        <v>0</v>
      </c>
    </row>
    <row r="867" spans="8:10" x14ac:dyDescent="0.3">
      <c r="H867" t="e">
        <f>F867*E867*VLOOKUP(G867,'FX Rates'!A:B,2,FALSE)</f>
        <v>#N/A</v>
      </c>
      <c r="J867">
        <f t="shared" ca="1" si="13"/>
        <v>0</v>
      </c>
    </row>
    <row r="868" spans="8:10" x14ac:dyDescent="0.3">
      <c r="H868" t="e">
        <f>F868*E868*VLOOKUP(G868,'FX Rates'!A:B,2,FALSE)</f>
        <v>#N/A</v>
      </c>
      <c r="J868">
        <f t="shared" ca="1" si="13"/>
        <v>0</v>
      </c>
    </row>
    <row r="869" spans="8:10" x14ac:dyDescent="0.3">
      <c r="H869" t="e">
        <f>F869*E869*VLOOKUP(G869,'FX Rates'!A:B,2,FALSE)</f>
        <v>#N/A</v>
      </c>
      <c r="J869">
        <f t="shared" ca="1" si="13"/>
        <v>0</v>
      </c>
    </row>
    <row r="870" spans="8:10" x14ac:dyDescent="0.3">
      <c r="H870" t="e">
        <f>F870*E870*VLOOKUP(G870,'FX Rates'!A:B,2,FALSE)</f>
        <v>#N/A</v>
      </c>
      <c r="J870">
        <f t="shared" ca="1" si="13"/>
        <v>0</v>
      </c>
    </row>
    <row r="871" spans="8:10" x14ac:dyDescent="0.3">
      <c r="H871" t="e">
        <f>F871*E871*VLOOKUP(G871,'FX Rates'!A:B,2,FALSE)</f>
        <v>#N/A</v>
      </c>
      <c r="J871">
        <f t="shared" ca="1" si="13"/>
        <v>0</v>
      </c>
    </row>
    <row r="872" spans="8:10" x14ac:dyDescent="0.3">
      <c r="H872" t="e">
        <f>F872*E872*VLOOKUP(G872,'FX Rates'!A:B,2,FALSE)</f>
        <v>#N/A</v>
      </c>
      <c r="J872">
        <f t="shared" ca="1" si="13"/>
        <v>0</v>
      </c>
    </row>
    <row r="873" spans="8:10" x14ac:dyDescent="0.3">
      <c r="H873" t="e">
        <f>F873*E873*VLOOKUP(G873,'FX Rates'!A:B,2,FALSE)</f>
        <v>#N/A</v>
      </c>
      <c r="J873">
        <f t="shared" ca="1" si="13"/>
        <v>0</v>
      </c>
    </row>
    <row r="874" spans="8:10" x14ac:dyDescent="0.3">
      <c r="H874" t="e">
        <f>F874*E874*VLOOKUP(G874,'FX Rates'!A:B,2,FALSE)</f>
        <v>#N/A</v>
      </c>
      <c r="J874">
        <f t="shared" ca="1" si="13"/>
        <v>0</v>
      </c>
    </row>
    <row r="875" spans="8:10" x14ac:dyDescent="0.3">
      <c r="H875" t="e">
        <f>F875*E875*VLOOKUP(G875,'FX Rates'!A:B,2,FALSE)</f>
        <v>#N/A</v>
      </c>
      <c r="J875">
        <f t="shared" ca="1" si="13"/>
        <v>0</v>
      </c>
    </row>
    <row r="876" spans="8:10" x14ac:dyDescent="0.3">
      <c r="H876" t="e">
        <f>F876*E876*VLOOKUP(G876,'FX Rates'!A:B,2,FALSE)</f>
        <v>#N/A</v>
      </c>
      <c r="J876">
        <f t="shared" ca="1" si="13"/>
        <v>0</v>
      </c>
    </row>
    <row r="877" spans="8:10" x14ac:dyDescent="0.3">
      <c r="H877" t="e">
        <f>F877*E877*VLOOKUP(G877,'FX Rates'!A:B,2,FALSE)</f>
        <v>#N/A</v>
      </c>
      <c r="J877">
        <f t="shared" ca="1" si="13"/>
        <v>0</v>
      </c>
    </row>
    <row r="878" spans="8:10" x14ac:dyDescent="0.3">
      <c r="H878" t="e">
        <f>F878*E878*VLOOKUP(G878,'FX Rates'!A:B,2,FALSE)</f>
        <v>#N/A</v>
      </c>
      <c r="J878">
        <f t="shared" ca="1" si="13"/>
        <v>0</v>
      </c>
    </row>
    <row r="879" spans="8:10" x14ac:dyDescent="0.3">
      <c r="H879" t="e">
        <f>F879*E879*VLOOKUP(G879,'FX Rates'!A:B,2,FALSE)</f>
        <v>#N/A</v>
      </c>
      <c r="J879">
        <f t="shared" ca="1" si="13"/>
        <v>0</v>
      </c>
    </row>
    <row r="880" spans="8:10" x14ac:dyDescent="0.3">
      <c r="H880" t="e">
        <f>F880*E880*VLOOKUP(G880,'FX Rates'!A:B,2,FALSE)</f>
        <v>#N/A</v>
      </c>
      <c r="J880">
        <f t="shared" ca="1" si="13"/>
        <v>0</v>
      </c>
    </row>
    <row r="881" spans="8:10" x14ac:dyDescent="0.3">
      <c r="H881" t="e">
        <f>F881*E881*VLOOKUP(G881,'FX Rates'!A:B,2,FALSE)</f>
        <v>#N/A</v>
      </c>
      <c r="J881">
        <f t="shared" ca="1" si="13"/>
        <v>0</v>
      </c>
    </row>
    <row r="882" spans="8:10" x14ac:dyDescent="0.3">
      <c r="H882" t="e">
        <f>F882*E882*VLOOKUP(G882,'FX Rates'!A:B,2,FALSE)</f>
        <v>#N/A</v>
      </c>
      <c r="J882">
        <f t="shared" ca="1" si="13"/>
        <v>0</v>
      </c>
    </row>
    <row r="883" spans="8:10" x14ac:dyDescent="0.3">
      <c r="H883" t="e">
        <f>F883*E883*VLOOKUP(G883,'FX Rates'!A:B,2,FALSE)</f>
        <v>#N/A</v>
      </c>
      <c r="J883">
        <f t="shared" ca="1" si="13"/>
        <v>0</v>
      </c>
    </row>
    <row r="884" spans="8:10" x14ac:dyDescent="0.3">
      <c r="H884" t="e">
        <f>F884*E884*VLOOKUP(G884,'FX Rates'!A:B,2,FALSE)</f>
        <v>#N/A</v>
      </c>
      <c r="J884">
        <f t="shared" ca="1" si="13"/>
        <v>0</v>
      </c>
    </row>
    <row r="885" spans="8:10" x14ac:dyDescent="0.3">
      <c r="H885" t="e">
        <f>F885*E885*VLOOKUP(G885,'FX Rates'!A:B,2,FALSE)</f>
        <v>#N/A</v>
      </c>
      <c r="J885">
        <f t="shared" ca="1" si="13"/>
        <v>0</v>
      </c>
    </row>
    <row r="886" spans="8:10" x14ac:dyDescent="0.3">
      <c r="H886" t="e">
        <f>F886*E886*VLOOKUP(G886,'FX Rates'!A:B,2,FALSE)</f>
        <v>#N/A</v>
      </c>
      <c r="J886">
        <f t="shared" ca="1" si="13"/>
        <v>0</v>
      </c>
    </row>
    <row r="887" spans="8:10" x14ac:dyDescent="0.3">
      <c r="H887" t="e">
        <f>F887*E887*VLOOKUP(G887,'FX Rates'!A:B,2,FALSE)</f>
        <v>#N/A</v>
      </c>
      <c r="J887">
        <f t="shared" ca="1" si="13"/>
        <v>0</v>
      </c>
    </row>
    <row r="888" spans="8:10" x14ac:dyDescent="0.3">
      <c r="H888" t="e">
        <f>F888*E888*VLOOKUP(G888,'FX Rates'!A:B,2,FALSE)</f>
        <v>#N/A</v>
      </c>
      <c r="J888">
        <f t="shared" ca="1" si="13"/>
        <v>0</v>
      </c>
    </row>
    <row r="889" spans="8:10" x14ac:dyDescent="0.3">
      <c r="H889" t="e">
        <f>F889*E889*VLOOKUP(G889,'FX Rates'!A:B,2,FALSE)</f>
        <v>#N/A</v>
      </c>
      <c r="J889">
        <f t="shared" ca="1" si="13"/>
        <v>0</v>
      </c>
    </row>
    <row r="890" spans="8:10" x14ac:dyDescent="0.3">
      <c r="H890" t="e">
        <f>F890*E890*VLOOKUP(G890,'FX Rates'!A:B,2,FALSE)</f>
        <v>#N/A</v>
      </c>
      <c r="J890">
        <f t="shared" ca="1" si="13"/>
        <v>0</v>
      </c>
    </row>
    <row r="891" spans="8:10" x14ac:dyDescent="0.3">
      <c r="H891" t="e">
        <f>F891*E891*VLOOKUP(G891,'FX Rates'!A:B,2,FALSE)</f>
        <v>#N/A</v>
      </c>
      <c r="J891">
        <f t="shared" ca="1" si="13"/>
        <v>0</v>
      </c>
    </row>
    <row r="892" spans="8:10" x14ac:dyDescent="0.3">
      <c r="H892" t="e">
        <f>F892*E892*VLOOKUP(G892,'FX Rates'!A:B,2,FALSE)</f>
        <v>#N/A</v>
      </c>
      <c r="J892">
        <f t="shared" ca="1" si="13"/>
        <v>0</v>
      </c>
    </row>
    <row r="893" spans="8:10" x14ac:dyDescent="0.3">
      <c r="H893" t="e">
        <f>F893*E893*VLOOKUP(G893,'FX Rates'!A:B,2,FALSE)</f>
        <v>#N/A</v>
      </c>
      <c r="J893">
        <f t="shared" ca="1" si="13"/>
        <v>0</v>
      </c>
    </row>
    <row r="894" spans="8:10" x14ac:dyDescent="0.3">
      <c r="H894" t="e">
        <f>F894*E894*VLOOKUP(G894,'FX Rates'!A:B,2,FALSE)</f>
        <v>#N/A</v>
      </c>
      <c r="J894">
        <f t="shared" ca="1" si="13"/>
        <v>0</v>
      </c>
    </row>
    <row r="895" spans="8:10" x14ac:dyDescent="0.3">
      <c r="H895" t="e">
        <f>F895*E895*VLOOKUP(G895,'FX Rates'!A:B,2,FALSE)</f>
        <v>#N/A</v>
      </c>
      <c r="J895">
        <f t="shared" ca="1" si="13"/>
        <v>0</v>
      </c>
    </row>
    <row r="896" spans="8:10" x14ac:dyDescent="0.3">
      <c r="H896" t="e">
        <f>F896*E896*VLOOKUP(G896,'FX Rates'!A:B,2,FALSE)</f>
        <v>#N/A</v>
      </c>
      <c r="J896">
        <f t="shared" ca="1" si="13"/>
        <v>0</v>
      </c>
    </row>
    <row r="897" spans="8:10" x14ac:dyDescent="0.3">
      <c r="H897" t="e">
        <f>F897*E897*VLOOKUP(G897,'FX Rates'!A:B,2,FALSE)</f>
        <v>#N/A</v>
      </c>
      <c r="J897">
        <f t="shared" ca="1" si="13"/>
        <v>0</v>
      </c>
    </row>
    <row r="898" spans="8:10" x14ac:dyDescent="0.3">
      <c r="H898" t="e">
        <f>F898*E898*VLOOKUP(G898,'FX Rates'!A:B,2,FALSE)</f>
        <v>#N/A</v>
      </c>
      <c r="J898">
        <f t="shared" ref="J898:J961" ca="1" si="14">IF(I898="",0,TODAY()-I898)</f>
        <v>0</v>
      </c>
    </row>
    <row r="899" spans="8:10" x14ac:dyDescent="0.3">
      <c r="H899" t="e">
        <f>F899*E899*VLOOKUP(G899,'FX Rates'!A:B,2,FALSE)</f>
        <v>#N/A</v>
      </c>
      <c r="J899">
        <f t="shared" ca="1" si="14"/>
        <v>0</v>
      </c>
    </row>
    <row r="900" spans="8:10" x14ac:dyDescent="0.3">
      <c r="H900" t="e">
        <f>F900*E900*VLOOKUP(G900,'FX Rates'!A:B,2,FALSE)</f>
        <v>#N/A</v>
      </c>
      <c r="J900">
        <f t="shared" ca="1" si="14"/>
        <v>0</v>
      </c>
    </row>
    <row r="901" spans="8:10" x14ac:dyDescent="0.3">
      <c r="H901" t="e">
        <f>F901*E901*VLOOKUP(G901,'FX Rates'!A:B,2,FALSE)</f>
        <v>#N/A</v>
      </c>
      <c r="J901">
        <f t="shared" ca="1" si="14"/>
        <v>0</v>
      </c>
    </row>
    <row r="902" spans="8:10" x14ac:dyDescent="0.3">
      <c r="H902" t="e">
        <f>F902*E902*VLOOKUP(G902,'FX Rates'!A:B,2,FALSE)</f>
        <v>#N/A</v>
      </c>
      <c r="J902">
        <f t="shared" ca="1" si="14"/>
        <v>0</v>
      </c>
    </row>
    <row r="903" spans="8:10" x14ac:dyDescent="0.3">
      <c r="H903" t="e">
        <f>F903*E903*VLOOKUP(G903,'FX Rates'!A:B,2,FALSE)</f>
        <v>#N/A</v>
      </c>
      <c r="J903">
        <f t="shared" ca="1" si="14"/>
        <v>0</v>
      </c>
    </row>
    <row r="904" spans="8:10" x14ac:dyDescent="0.3">
      <c r="H904" t="e">
        <f>F904*E904*VLOOKUP(G904,'FX Rates'!A:B,2,FALSE)</f>
        <v>#N/A</v>
      </c>
      <c r="J904">
        <f t="shared" ca="1" si="14"/>
        <v>0</v>
      </c>
    </row>
    <row r="905" spans="8:10" x14ac:dyDescent="0.3">
      <c r="H905" t="e">
        <f>F905*E905*VLOOKUP(G905,'FX Rates'!A:B,2,FALSE)</f>
        <v>#N/A</v>
      </c>
      <c r="J905">
        <f t="shared" ca="1" si="14"/>
        <v>0</v>
      </c>
    </row>
    <row r="906" spans="8:10" x14ac:dyDescent="0.3">
      <c r="H906" t="e">
        <f>F906*E906*VLOOKUP(G906,'FX Rates'!A:B,2,FALSE)</f>
        <v>#N/A</v>
      </c>
      <c r="J906">
        <f t="shared" ca="1" si="14"/>
        <v>0</v>
      </c>
    </row>
    <row r="907" spans="8:10" x14ac:dyDescent="0.3">
      <c r="H907" t="e">
        <f>F907*E907*VLOOKUP(G907,'FX Rates'!A:B,2,FALSE)</f>
        <v>#N/A</v>
      </c>
      <c r="J907">
        <f t="shared" ca="1" si="14"/>
        <v>0</v>
      </c>
    </row>
    <row r="908" spans="8:10" x14ac:dyDescent="0.3">
      <c r="H908" t="e">
        <f>F908*E908*VLOOKUP(G908,'FX Rates'!A:B,2,FALSE)</f>
        <v>#N/A</v>
      </c>
      <c r="J908">
        <f t="shared" ca="1" si="14"/>
        <v>0</v>
      </c>
    </row>
    <row r="909" spans="8:10" x14ac:dyDescent="0.3">
      <c r="H909" t="e">
        <f>F909*E909*VLOOKUP(G909,'FX Rates'!A:B,2,FALSE)</f>
        <v>#N/A</v>
      </c>
      <c r="J909">
        <f t="shared" ca="1" si="14"/>
        <v>0</v>
      </c>
    </row>
    <row r="910" spans="8:10" x14ac:dyDescent="0.3">
      <c r="H910" t="e">
        <f>F910*E910*VLOOKUP(G910,'FX Rates'!A:B,2,FALSE)</f>
        <v>#N/A</v>
      </c>
      <c r="J910">
        <f t="shared" ca="1" si="14"/>
        <v>0</v>
      </c>
    </row>
    <row r="911" spans="8:10" x14ac:dyDescent="0.3">
      <c r="H911" t="e">
        <f>F911*E911*VLOOKUP(G911,'FX Rates'!A:B,2,FALSE)</f>
        <v>#N/A</v>
      </c>
      <c r="J911">
        <f t="shared" ca="1" si="14"/>
        <v>0</v>
      </c>
    </row>
    <row r="912" spans="8:10" x14ac:dyDescent="0.3">
      <c r="H912" t="e">
        <f>F912*E912*VLOOKUP(G912,'FX Rates'!A:B,2,FALSE)</f>
        <v>#N/A</v>
      </c>
      <c r="J912">
        <f t="shared" ca="1" si="14"/>
        <v>0</v>
      </c>
    </row>
    <row r="913" spans="8:10" x14ac:dyDescent="0.3">
      <c r="H913" t="e">
        <f>F913*E913*VLOOKUP(G913,'FX Rates'!A:B,2,FALSE)</f>
        <v>#N/A</v>
      </c>
      <c r="J913">
        <f t="shared" ca="1" si="14"/>
        <v>0</v>
      </c>
    </row>
    <row r="914" spans="8:10" x14ac:dyDescent="0.3">
      <c r="H914" t="e">
        <f>F914*E914*VLOOKUP(G914,'FX Rates'!A:B,2,FALSE)</f>
        <v>#N/A</v>
      </c>
      <c r="J914">
        <f t="shared" ca="1" si="14"/>
        <v>0</v>
      </c>
    </row>
    <row r="915" spans="8:10" x14ac:dyDescent="0.3">
      <c r="H915" t="e">
        <f>F915*E915*VLOOKUP(G915,'FX Rates'!A:B,2,FALSE)</f>
        <v>#N/A</v>
      </c>
      <c r="J915">
        <f t="shared" ca="1" si="14"/>
        <v>0</v>
      </c>
    </row>
    <row r="916" spans="8:10" x14ac:dyDescent="0.3">
      <c r="H916" t="e">
        <f>F916*E916*VLOOKUP(G916,'FX Rates'!A:B,2,FALSE)</f>
        <v>#N/A</v>
      </c>
      <c r="J916">
        <f t="shared" ca="1" si="14"/>
        <v>0</v>
      </c>
    </row>
    <row r="917" spans="8:10" x14ac:dyDescent="0.3">
      <c r="H917" t="e">
        <f>F917*E917*VLOOKUP(G917,'FX Rates'!A:B,2,FALSE)</f>
        <v>#N/A</v>
      </c>
      <c r="J917">
        <f t="shared" ca="1" si="14"/>
        <v>0</v>
      </c>
    </row>
    <row r="918" spans="8:10" x14ac:dyDescent="0.3">
      <c r="H918" t="e">
        <f>F918*E918*VLOOKUP(G918,'FX Rates'!A:B,2,FALSE)</f>
        <v>#N/A</v>
      </c>
      <c r="J918">
        <f t="shared" ca="1" si="14"/>
        <v>0</v>
      </c>
    </row>
    <row r="919" spans="8:10" x14ac:dyDescent="0.3">
      <c r="H919" t="e">
        <f>F919*E919*VLOOKUP(G919,'FX Rates'!A:B,2,FALSE)</f>
        <v>#N/A</v>
      </c>
      <c r="J919">
        <f t="shared" ca="1" si="14"/>
        <v>0</v>
      </c>
    </row>
    <row r="920" spans="8:10" x14ac:dyDescent="0.3">
      <c r="H920" t="e">
        <f>F920*E920*VLOOKUP(G920,'FX Rates'!A:B,2,FALSE)</f>
        <v>#N/A</v>
      </c>
      <c r="J920">
        <f t="shared" ca="1" si="14"/>
        <v>0</v>
      </c>
    </row>
    <row r="921" spans="8:10" x14ac:dyDescent="0.3">
      <c r="H921" t="e">
        <f>F921*E921*VLOOKUP(G921,'FX Rates'!A:B,2,FALSE)</f>
        <v>#N/A</v>
      </c>
      <c r="J921">
        <f t="shared" ca="1" si="14"/>
        <v>0</v>
      </c>
    </row>
    <row r="922" spans="8:10" x14ac:dyDescent="0.3">
      <c r="H922" t="e">
        <f>F922*E922*VLOOKUP(G922,'FX Rates'!A:B,2,FALSE)</f>
        <v>#N/A</v>
      </c>
      <c r="J922">
        <f t="shared" ca="1" si="14"/>
        <v>0</v>
      </c>
    </row>
    <row r="923" spans="8:10" x14ac:dyDescent="0.3">
      <c r="H923" t="e">
        <f>F923*E923*VLOOKUP(G923,'FX Rates'!A:B,2,FALSE)</f>
        <v>#N/A</v>
      </c>
      <c r="J923">
        <f t="shared" ca="1" si="14"/>
        <v>0</v>
      </c>
    </row>
    <row r="924" spans="8:10" x14ac:dyDescent="0.3">
      <c r="H924" t="e">
        <f>F924*E924*VLOOKUP(G924,'FX Rates'!A:B,2,FALSE)</f>
        <v>#N/A</v>
      </c>
      <c r="J924">
        <f t="shared" ca="1" si="14"/>
        <v>0</v>
      </c>
    </row>
    <row r="925" spans="8:10" x14ac:dyDescent="0.3">
      <c r="H925" t="e">
        <f>F925*E925*VLOOKUP(G925,'FX Rates'!A:B,2,FALSE)</f>
        <v>#N/A</v>
      </c>
      <c r="J925">
        <f t="shared" ca="1" si="14"/>
        <v>0</v>
      </c>
    </row>
    <row r="926" spans="8:10" x14ac:dyDescent="0.3">
      <c r="H926" t="e">
        <f>F926*E926*VLOOKUP(G926,'FX Rates'!A:B,2,FALSE)</f>
        <v>#N/A</v>
      </c>
      <c r="J926">
        <f t="shared" ca="1" si="14"/>
        <v>0</v>
      </c>
    </row>
    <row r="927" spans="8:10" x14ac:dyDescent="0.3">
      <c r="H927" t="e">
        <f>F927*E927*VLOOKUP(G927,'FX Rates'!A:B,2,FALSE)</f>
        <v>#N/A</v>
      </c>
      <c r="J927">
        <f t="shared" ca="1" si="14"/>
        <v>0</v>
      </c>
    </row>
    <row r="928" spans="8:10" x14ac:dyDescent="0.3">
      <c r="H928" t="e">
        <f>F928*E928*VLOOKUP(G928,'FX Rates'!A:B,2,FALSE)</f>
        <v>#N/A</v>
      </c>
      <c r="J928">
        <f t="shared" ca="1" si="14"/>
        <v>0</v>
      </c>
    </row>
    <row r="929" spans="8:10" x14ac:dyDescent="0.3">
      <c r="H929" t="e">
        <f>F929*E929*VLOOKUP(G929,'FX Rates'!A:B,2,FALSE)</f>
        <v>#N/A</v>
      </c>
      <c r="J929">
        <f t="shared" ca="1" si="14"/>
        <v>0</v>
      </c>
    </row>
    <row r="930" spans="8:10" x14ac:dyDescent="0.3">
      <c r="H930" t="e">
        <f>F930*E930*VLOOKUP(G930,'FX Rates'!A:B,2,FALSE)</f>
        <v>#N/A</v>
      </c>
      <c r="J930">
        <f t="shared" ca="1" si="14"/>
        <v>0</v>
      </c>
    </row>
    <row r="931" spans="8:10" x14ac:dyDescent="0.3">
      <c r="H931" t="e">
        <f>F931*E931*VLOOKUP(G931,'FX Rates'!A:B,2,FALSE)</f>
        <v>#N/A</v>
      </c>
      <c r="J931">
        <f t="shared" ca="1" si="14"/>
        <v>0</v>
      </c>
    </row>
    <row r="932" spans="8:10" x14ac:dyDescent="0.3">
      <c r="H932" t="e">
        <f>F932*E932*VLOOKUP(G932,'FX Rates'!A:B,2,FALSE)</f>
        <v>#N/A</v>
      </c>
      <c r="J932">
        <f t="shared" ca="1" si="14"/>
        <v>0</v>
      </c>
    </row>
    <row r="933" spans="8:10" x14ac:dyDescent="0.3">
      <c r="H933" t="e">
        <f>F933*E933*VLOOKUP(G933,'FX Rates'!A:B,2,FALSE)</f>
        <v>#N/A</v>
      </c>
      <c r="J933">
        <f t="shared" ca="1" si="14"/>
        <v>0</v>
      </c>
    </row>
    <row r="934" spans="8:10" x14ac:dyDescent="0.3">
      <c r="H934" t="e">
        <f>F934*E934*VLOOKUP(G934,'FX Rates'!A:B,2,FALSE)</f>
        <v>#N/A</v>
      </c>
      <c r="J934">
        <f t="shared" ca="1" si="14"/>
        <v>0</v>
      </c>
    </row>
    <row r="935" spans="8:10" x14ac:dyDescent="0.3">
      <c r="H935" t="e">
        <f>F935*E935*VLOOKUP(G935,'FX Rates'!A:B,2,FALSE)</f>
        <v>#N/A</v>
      </c>
      <c r="J935">
        <f t="shared" ca="1" si="14"/>
        <v>0</v>
      </c>
    </row>
    <row r="936" spans="8:10" x14ac:dyDescent="0.3">
      <c r="H936" t="e">
        <f>F936*E936*VLOOKUP(G936,'FX Rates'!A:B,2,FALSE)</f>
        <v>#N/A</v>
      </c>
      <c r="J936">
        <f t="shared" ca="1" si="14"/>
        <v>0</v>
      </c>
    </row>
    <row r="937" spans="8:10" x14ac:dyDescent="0.3">
      <c r="H937" t="e">
        <f>F937*E937*VLOOKUP(G937,'FX Rates'!A:B,2,FALSE)</f>
        <v>#N/A</v>
      </c>
      <c r="J937">
        <f t="shared" ca="1" si="14"/>
        <v>0</v>
      </c>
    </row>
    <row r="938" spans="8:10" x14ac:dyDescent="0.3">
      <c r="H938" t="e">
        <f>F938*E938*VLOOKUP(G938,'FX Rates'!A:B,2,FALSE)</f>
        <v>#N/A</v>
      </c>
      <c r="J938">
        <f t="shared" ca="1" si="14"/>
        <v>0</v>
      </c>
    </row>
    <row r="939" spans="8:10" x14ac:dyDescent="0.3">
      <c r="H939" t="e">
        <f>F939*E939*VLOOKUP(G939,'FX Rates'!A:B,2,FALSE)</f>
        <v>#N/A</v>
      </c>
      <c r="J939">
        <f t="shared" ca="1" si="14"/>
        <v>0</v>
      </c>
    </row>
    <row r="940" spans="8:10" x14ac:dyDescent="0.3">
      <c r="H940" t="e">
        <f>F940*E940*VLOOKUP(G940,'FX Rates'!A:B,2,FALSE)</f>
        <v>#N/A</v>
      </c>
      <c r="J940">
        <f t="shared" ca="1" si="14"/>
        <v>0</v>
      </c>
    </row>
    <row r="941" spans="8:10" x14ac:dyDescent="0.3">
      <c r="H941" t="e">
        <f>F941*E941*VLOOKUP(G941,'FX Rates'!A:B,2,FALSE)</f>
        <v>#N/A</v>
      </c>
      <c r="J941">
        <f t="shared" ca="1" si="14"/>
        <v>0</v>
      </c>
    </row>
    <row r="942" spans="8:10" x14ac:dyDescent="0.3">
      <c r="H942" t="e">
        <f>F942*E942*VLOOKUP(G942,'FX Rates'!A:B,2,FALSE)</f>
        <v>#N/A</v>
      </c>
      <c r="J942">
        <f t="shared" ca="1" si="14"/>
        <v>0</v>
      </c>
    </row>
    <row r="943" spans="8:10" x14ac:dyDescent="0.3">
      <c r="H943" t="e">
        <f>F943*E943*VLOOKUP(G943,'FX Rates'!A:B,2,FALSE)</f>
        <v>#N/A</v>
      </c>
      <c r="J943">
        <f t="shared" ca="1" si="14"/>
        <v>0</v>
      </c>
    </row>
    <row r="944" spans="8:10" x14ac:dyDescent="0.3">
      <c r="H944" t="e">
        <f>F944*E944*VLOOKUP(G944,'FX Rates'!A:B,2,FALSE)</f>
        <v>#N/A</v>
      </c>
      <c r="J944">
        <f t="shared" ca="1" si="14"/>
        <v>0</v>
      </c>
    </row>
    <row r="945" spans="8:10" x14ac:dyDescent="0.3">
      <c r="H945" t="e">
        <f>F945*E945*VLOOKUP(G945,'FX Rates'!A:B,2,FALSE)</f>
        <v>#N/A</v>
      </c>
      <c r="J945">
        <f t="shared" ca="1" si="14"/>
        <v>0</v>
      </c>
    </row>
    <row r="946" spans="8:10" x14ac:dyDescent="0.3">
      <c r="H946" t="e">
        <f>F946*E946*VLOOKUP(G946,'FX Rates'!A:B,2,FALSE)</f>
        <v>#N/A</v>
      </c>
      <c r="J946">
        <f t="shared" ca="1" si="14"/>
        <v>0</v>
      </c>
    </row>
    <row r="947" spans="8:10" x14ac:dyDescent="0.3">
      <c r="H947" t="e">
        <f>F947*E947*VLOOKUP(G947,'FX Rates'!A:B,2,FALSE)</f>
        <v>#N/A</v>
      </c>
      <c r="J947">
        <f t="shared" ca="1" si="14"/>
        <v>0</v>
      </c>
    </row>
    <row r="948" spans="8:10" x14ac:dyDescent="0.3">
      <c r="H948" t="e">
        <f>F948*E948*VLOOKUP(G948,'FX Rates'!A:B,2,FALSE)</f>
        <v>#N/A</v>
      </c>
      <c r="J948">
        <f t="shared" ca="1" si="14"/>
        <v>0</v>
      </c>
    </row>
    <row r="949" spans="8:10" x14ac:dyDescent="0.3">
      <c r="H949" t="e">
        <f>F949*E949*VLOOKUP(G949,'FX Rates'!A:B,2,FALSE)</f>
        <v>#N/A</v>
      </c>
      <c r="J949">
        <f t="shared" ca="1" si="14"/>
        <v>0</v>
      </c>
    </row>
    <row r="950" spans="8:10" x14ac:dyDescent="0.3">
      <c r="H950" t="e">
        <f>F950*E950*VLOOKUP(G950,'FX Rates'!A:B,2,FALSE)</f>
        <v>#N/A</v>
      </c>
      <c r="J950">
        <f t="shared" ca="1" si="14"/>
        <v>0</v>
      </c>
    </row>
    <row r="951" spans="8:10" x14ac:dyDescent="0.3">
      <c r="H951" t="e">
        <f>F951*E951*VLOOKUP(G951,'FX Rates'!A:B,2,FALSE)</f>
        <v>#N/A</v>
      </c>
      <c r="J951">
        <f t="shared" ca="1" si="14"/>
        <v>0</v>
      </c>
    </row>
    <row r="952" spans="8:10" x14ac:dyDescent="0.3">
      <c r="H952" t="e">
        <f>F952*E952*VLOOKUP(G952,'FX Rates'!A:B,2,FALSE)</f>
        <v>#N/A</v>
      </c>
      <c r="J952">
        <f t="shared" ca="1" si="14"/>
        <v>0</v>
      </c>
    </row>
    <row r="953" spans="8:10" x14ac:dyDescent="0.3">
      <c r="H953" t="e">
        <f>F953*E953*VLOOKUP(G953,'FX Rates'!A:B,2,FALSE)</f>
        <v>#N/A</v>
      </c>
      <c r="J953">
        <f t="shared" ca="1" si="14"/>
        <v>0</v>
      </c>
    </row>
    <row r="954" spans="8:10" x14ac:dyDescent="0.3">
      <c r="H954" t="e">
        <f>F954*E954*VLOOKUP(G954,'FX Rates'!A:B,2,FALSE)</f>
        <v>#N/A</v>
      </c>
      <c r="J954">
        <f t="shared" ca="1" si="14"/>
        <v>0</v>
      </c>
    </row>
    <row r="955" spans="8:10" x14ac:dyDescent="0.3">
      <c r="H955" t="e">
        <f>F955*E955*VLOOKUP(G955,'FX Rates'!A:B,2,FALSE)</f>
        <v>#N/A</v>
      </c>
      <c r="J955">
        <f t="shared" ca="1" si="14"/>
        <v>0</v>
      </c>
    </row>
    <row r="956" spans="8:10" x14ac:dyDescent="0.3">
      <c r="H956" t="e">
        <f>F956*E956*VLOOKUP(G956,'FX Rates'!A:B,2,FALSE)</f>
        <v>#N/A</v>
      </c>
      <c r="J956">
        <f t="shared" ca="1" si="14"/>
        <v>0</v>
      </c>
    </row>
    <row r="957" spans="8:10" x14ac:dyDescent="0.3">
      <c r="H957" t="e">
        <f>F957*E957*VLOOKUP(G957,'FX Rates'!A:B,2,FALSE)</f>
        <v>#N/A</v>
      </c>
      <c r="J957">
        <f t="shared" ca="1" si="14"/>
        <v>0</v>
      </c>
    </row>
    <row r="958" spans="8:10" x14ac:dyDescent="0.3">
      <c r="H958" t="e">
        <f>F958*E958*VLOOKUP(G958,'FX Rates'!A:B,2,FALSE)</f>
        <v>#N/A</v>
      </c>
      <c r="J958">
        <f t="shared" ca="1" si="14"/>
        <v>0</v>
      </c>
    </row>
    <row r="959" spans="8:10" x14ac:dyDescent="0.3">
      <c r="H959" t="e">
        <f>F959*E959*VLOOKUP(G959,'FX Rates'!A:B,2,FALSE)</f>
        <v>#N/A</v>
      </c>
      <c r="J959">
        <f t="shared" ca="1" si="14"/>
        <v>0</v>
      </c>
    </row>
    <row r="960" spans="8:10" x14ac:dyDescent="0.3">
      <c r="H960" t="e">
        <f>F960*E960*VLOOKUP(G960,'FX Rates'!A:B,2,FALSE)</f>
        <v>#N/A</v>
      </c>
      <c r="J960">
        <f t="shared" ca="1" si="14"/>
        <v>0</v>
      </c>
    </row>
    <row r="961" spans="8:10" x14ac:dyDescent="0.3">
      <c r="H961" t="e">
        <f>F961*E961*VLOOKUP(G961,'FX Rates'!A:B,2,FALSE)</f>
        <v>#N/A</v>
      </c>
      <c r="J961">
        <f t="shared" ca="1" si="14"/>
        <v>0</v>
      </c>
    </row>
    <row r="962" spans="8:10" x14ac:dyDescent="0.3">
      <c r="H962" t="e">
        <f>F962*E962*VLOOKUP(G962,'FX Rates'!A:B,2,FALSE)</f>
        <v>#N/A</v>
      </c>
      <c r="J962">
        <f t="shared" ref="J962:J1025" ca="1" si="15">IF(I962="",0,TODAY()-I962)</f>
        <v>0</v>
      </c>
    </row>
    <row r="963" spans="8:10" x14ac:dyDescent="0.3">
      <c r="H963" t="e">
        <f>F963*E963*VLOOKUP(G963,'FX Rates'!A:B,2,FALSE)</f>
        <v>#N/A</v>
      </c>
      <c r="J963">
        <f t="shared" ca="1" si="15"/>
        <v>0</v>
      </c>
    </row>
    <row r="964" spans="8:10" x14ac:dyDescent="0.3">
      <c r="H964" t="e">
        <f>F964*E964*VLOOKUP(G964,'FX Rates'!A:B,2,FALSE)</f>
        <v>#N/A</v>
      </c>
      <c r="J964">
        <f t="shared" ca="1" si="15"/>
        <v>0</v>
      </c>
    </row>
    <row r="965" spans="8:10" x14ac:dyDescent="0.3">
      <c r="H965" t="e">
        <f>F965*E965*VLOOKUP(G965,'FX Rates'!A:B,2,FALSE)</f>
        <v>#N/A</v>
      </c>
      <c r="J965">
        <f t="shared" ca="1" si="15"/>
        <v>0</v>
      </c>
    </row>
    <row r="966" spans="8:10" x14ac:dyDescent="0.3">
      <c r="H966" t="e">
        <f>F966*E966*VLOOKUP(G966,'FX Rates'!A:B,2,FALSE)</f>
        <v>#N/A</v>
      </c>
      <c r="J966">
        <f t="shared" ca="1" si="15"/>
        <v>0</v>
      </c>
    </row>
    <row r="967" spans="8:10" x14ac:dyDescent="0.3">
      <c r="H967" t="e">
        <f>F967*E967*VLOOKUP(G967,'FX Rates'!A:B,2,FALSE)</f>
        <v>#N/A</v>
      </c>
      <c r="J967">
        <f t="shared" ca="1" si="15"/>
        <v>0</v>
      </c>
    </row>
    <row r="968" spans="8:10" x14ac:dyDescent="0.3">
      <c r="H968" t="e">
        <f>F968*E968*VLOOKUP(G968,'FX Rates'!A:B,2,FALSE)</f>
        <v>#N/A</v>
      </c>
      <c r="J968">
        <f t="shared" ca="1" si="15"/>
        <v>0</v>
      </c>
    </row>
    <row r="969" spans="8:10" x14ac:dyDescent="0.3">
      <c r="H969" t="e">
        <f>F969*E969*VLOOKUP(G969,'FX Rates'!A:B,2,FALSE)</f>
        <v>#N/A</v>
      </c>
      <c r="J969">
        <f t="shared" ca="1" si="15"/>
        <v>0</v>
      </c>
    </row>
    <row r="970" spans="8:10" x14ac:dyDescent="0.3">
      <c r="H970" t="e">
        <f>F970*E970*VLOOKUP(G970,'FX Rates'!A:B,2,FALSE)</f>
        <v>#N/A</v>
      </c>
      <c r="J970">
        <f t="shared" ca="1" si="15"/>
        <v>0</v>
      </c>
    </row>
    <row r="971" spans="8:10" x14ac:dyDescent="0.3">
      <c r="H971" t="e">
        <f>F971*E971*VLOOKUP(G971,'FX Rates'!A:B,2,FALSE)</f>
        <v>#N/A</v>
      </c>
      <c r="J971">
        <f t="shared" ca="1" si="15"/>
        <v>0</v>
      </c>
    </row>
    <row r="972" spans="8:10" x14ac:dyDescent="0.3">
      <c r="H972" t="e">
        <f>F972*E972*VLOOKUP(G972,'FX Rates'!A:B,2,FALSE)</f>
        <v>#N/A</v>
      </c>
      <c r="J972">
        <f t="shared" ca="1" si="15"/>
        <v>0</v>
      </c>
    </row>
    <row r="973" spans="8:10" x14ac:dyDescent="0.3">
      <c r="H973" t="e">
        <f>F973*E973*VLOOKUP(G973,'FX Rates'!A:B,2,FALSE)</f>
        <v>#N/A</v>
      </c>
      <c r="J973">
        <f t="shared" ca="1" si="15"/>
        <v>0</v>
      </c>
    </row>
    <row r="974" spans="8:10" x14ac:dyDescent="0.3">
      <c r="H974" t="e">
        <f>F974*E974*VLOOKUP(G974,'FX Rates'!A:B,2,FALSE)</f>
        <v>#N/A</v>
      </c>
      <c r="J974">
        <f t="shared" ca="1" si="15"/>
        <v>0</v>
      </c>
    </row>
    <row r="975" spans="8:10" x14ac:dyDescent="0.3">
      <c r="H975" t="e">
        <f>F975*E975*VLOOKUP(G975,'FX Rates'!A:B,2,FALSE)</f>
        <v>#N/A</v>
      </c>
      <c r="J975">
        <f t="shared" ca="1" si="15"/>
        <v>0</v>
      </c>
    </row>
    <row r="976" spans="8:10" x14ac:dyDescent="0.3">
      <c r="H976" t="e">
        <f>F976*E976*VLOOKUP(G976,'FX Rates'!A:B,2,FALSE)</f>
        <v>#N/A</v>
      </c>
      <c r="J976">
        <f t="shared" ca="1" si="15"/>
        <v>0</v>
      </c>
    </row>
    <row r="977" spans="8:10" x14ac:dyDescent="0.3">
      <c r="H977" t="e">
        <f>F977*E977*VLOOKUP(G977,'FX Rates'!A:B,2,FALSE)</f>
        <v>#N/A</v>
      </c>
      <c r="J977">
        <f t="shared" ca="1" si="15"/>
        <v>0</v>
      </c>
    </row>
    <row r="978" spans="8:10" x14ac:dyDescent="0.3">
      <c r="H978" t="e">
        <f>F978*E978*VLOOKUP(G978,'FX Rates'!A:B,2,FALSE)</f>
        <v>#N/A</v>
      </c>
      <c r="J978">
        <f t="shared" ca="1" si="15"/>
        <v>0</v>
      </c>
    </row>
    <row r="979" spans="8:10" x14ac:dyDescent="0.3">
      <c r="H979" t="e">
        <f>F979*E979*VLOOKUP(G979,'FX Rates'!A:B,2,FALSE)</f>
        <v>#N/A</v>
      </c>
      <c r="J979">
        <f t="shared" ca="1" si="15"/>
        <v>0</v>
      </c>
    </row>
    <row r="980" spans="8:10" x14ac:dyDescent="0.3">
      <c r="H980" t="e">
        <f>F980*E980*VLOOKUP(G980,'FX Rates'!A:B,2,FALSE)</f>
        <v>#N/A</v>
      </c>
      <c r="J980">
        <f t="shared" ca="1" si="15"/>
        <v>0</v>
      </c>
    </row>
    <row r="981" spans="8:10" x14ac:dyDescent="0.3">
      <c r="H981" t="e">
        <f>F981*E981*VLOOKUP(G981,'FX Rates'!A:B,2,FALSE)</f>
        <v>#N/A</v>
      </c>
      <c r="J981">
        <f t="shared" ca="1" si="15"/>
        <v>0</v>
      </c>
    </row>
    <row r="982" spans="8:10" x14ac:dyDescent="0.3">
      <c r="H982" t="e">
        <f>F982*E982*VLOOKUP(G982,'FX Rates'!A:B,2,FALSE)</f>
        <v>#N/A</v>
      </c>
      <c r="J982">
        <f t="shared" ca="1" si="15"/>
        <v>0</v>
      </c>
    </row>
    <row r="983" spans="8:10" x14ac:dyDescent="0.3">
      <c r="H983" t="e">
        <f>F983*E983*VLOOKUP(G983,'FX Rates'!A:B,2,FALSE)</f>
        <v>#N/A</v>
      </c>
      <c r="J983">
        <f t="shared" ca="1" si="15"/>
        <v>0</v>
      </c>
    </row>
    <row r="984" spans="8:10" x14ac:dyDescent="0.3">
      <c r="H984" t="e">
        <f>F984*E984*VLOOKUP(G984,'FX Rates'!A:B,2,FALSE)</f>
        <v>#N/A</v>
      </c>
      <c r="J984">
        <f t="shared" ca="1" si="15"/>
        <v>0</v>
      </c>
    </row>
    <row r="985" spans="8:10" x14ac:dyDescent="0.3">
      <c r="H985" t="e">
        <f>F985*E985*VLOOKUP(G985,'FX Rates'!A:B,2,FALSE)</f>
        <v>#N/A</v>
      </c>
      <c r="J985">
        <f t="shared" ca="1" si="15"/>
        <v>0</v>
      </c>
    </row>
    <row r="986" spans="8:10" x14ac:dyDescent="0.3">
      <c r="H986" t="e">
        <f>F986*E986*VLOOKUP(G986,'FX Rates'!A:B,2,FALSE)</f>
        <v>#N/A</v>
      </c>
      <c r="J986">
        <f t="shared" ca="1" si="15"/>
        <v>0</v>
      </c>
    </row>
    <row r="987" spans="8:10" x14ac:dyDescent="0.3">
      <c r="H987" t="e">
        <f>F987*E987*VLOOKUP(G987,'FX Rates'!A:B,2,FALSE)</f>
        <v>#N/A</v>
      </c>
      <c r="J987">
        <f t="shared" ca="1" si="15"/>
        <v>0</v>
      </c>
    </row>
    <row r="988" spans="8:10" x14ac:dyDescent="0.3">
      <c r="H988" t="e">
        <f>F988*E988*VLOOKUP(G988,'FX Rates'!A:B,2,FALSE)</f>
        <v>#N/A</v>
      </c>
      <c r="J988">
        <f t="shared" ca="1" si="15"/>
        <v>0</v>
      </c>
    </row>
    <row r="989" spans="8:10" x14ac:dyDescent="0.3">
      <c r="H989" t="e">
        <f>F989*E989*VLOOKUP(G989,'FX Rates'!A:B,2,FALSE)</f>
        <v>#N/A</v>
      </c>
      <c r="J989">
        <f t="shared" ca="1" si="15"/>
        <v>0</v>
      </c>
    </row>
    <row r="990" spans="8:10" x14ac:dyDescent="0.3">
      <c r="H990" t="e">
        <f>F990*E990*VLOOKUP(G990,'FX Rates'!A:B,2,FALSE)</f>
        <v>#N/A</v>
      </c>
      <c r="J990">
        <f t="shared" ca="1" si="15"/>
        <v>0</v>
      </c>
    </row>
    <row r="991" spans="8:10" x14ac:dyDescent="0.3">
      <c r="H991" t="e">
        <f>F991*E991*VLOOKUP(G991,'FX Rates'!A:B,2,FALSE)</f>
        <v>#N/A</v>
      </c>
      <c r="J991">
        <f t="shared" ca="1" si="15"/>
        <v>0</v>
      </c>
    </row>
    <row r="992" spans="8:10" x14ac:dyDescent="0.3">
      <c r="H992" t="e">
        <f>F992*E992*VLOOKUP(G992,'FX Rates'!A:B,2,FALSE)</f>
        <v>#N/A</v>
      </c>
      <c r="J992">
        <f t="shared" ca="1" si="15"/>
        <v>0</v>
      </c>
    </row>
    <row r="993" spans="8:10" x14ac:dyDescent="0.3">
      <c r="H993" t="e">
        <f>F993*E993*VLOOKUP(G993,'FX Rates'!A:B,2,FALSE)</f>
        <v>#N/A</v>
      </c>
      <c r="J993">
        <f t="shared" ca="1" si="15"/>
        <v>0</v>
      </c>
    </row>
    <row r="994" spans="8:10" x14ac:dyDescent="0.3">
      <c r="H994" t="e">
        <f>F994*E994*VLOOKUP(G994,'FX Rates'!A:B,2,FALSE)</f>
        <v>#N/A</v>
      </c>
      <c r="J994">
        <f t="shared" ca="1" si="15"/>
        <v>0</v>
      </c>
    </row>
    <row r="995" spans="8:10" x14ac:dyDescent="0.3">
      <c r="H995" t="e">
        <f>F995*E995*VLOOKUP(G995,'FX Rates'!A:B,2,FALSE)</f>
        <v>#N/A</v>
      </c>
      <c r="J995">
        <f t="shared" ca="1" si="15"/>
        <v>0</v>
      </c>
    </row>
    <row r="996" spans="8:10" x14ac:dyDescent="0.3">
      <c r="H996" t="e">
        <f>F996*E996*VLOOKUP(G996,'FX Rates'!A:B,2,FALSE)</f>
        <v>#N/A</v>
      </c>
      <c r="J996">
        <f t="shared" ca="1" si="15"/>
        <v>0</v>
      </c>
    </row>
    <row r="997" spans="8:10" x14ac:dyDescent="0.3">
      <c r="H997" t="e">
        <f>F997*E997*VLOOKUP(G997,'FX Rates'!A:B,2,FALSE)</f>
        <v>#N/A</v>
      </c>
      <c r="J997">
        <f t="shared" ca="1" si="15"/>
        <v>0</v>
      </c>
    </row>
    <row r="998" spans="8:10" x14ac:dyDescent="0.3">
      <c r="H998" t="e">
        <f>F998*E998*VLOOKUP(G998,'FX Rates'!A:B,2,FALSE)</f>
        <v>#N/A</v>
      </c>
      <c r="J998">
        <f t="shared" ca="1" si="15"/>
        <v>0</v>
      </c>
    </row>
    <row r="999" spans="8:10" x14ac:dyDescent="0.3">
      <c r="H999" t="e">
        <f>F999*E999*VLOOKUP(G999,'FX Rates'!A:B,2,FALSE)</f>
        <v>#N/A</v>
      </c>
      <c r="J999">
        <f t="shared" ca="1" si="15"/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/>
  </sheetViews>
  <sheetFormatPr defaultRowHeight="14.4" x14ac:dyDescent="0.3"/>
  <cols>
    <col min="1" max="1" width="7.109375" bestFit="1" customWidth="1"/>
    <col min="2" max="2" width="9.109375" bestFit="1" customWidth="1"/>
    <col min="3" max="3" width="8.6640625" bestFit="1" customWidth="1"/>
    <col min="4" max="4" width="11.88671875" bestFit="1" customWidth="1"/>
    <col min="5" max="5" width="12" bestFit="1" customWidth="1"/>
  </cols>
  <sheetData>
    <row r="1" spans="1:5" x14ac:dyDescent="0.3">
      <c r="A1" s="1" t="s">
        <v>25</v>
      </c>
      <c r="B1" s="1" t="s">
        <v>20</v>
      </c>
      <c r="C1" s="1" t="s">
        <v>19</v>
      </c>
      <c r="D1" s="1" t="s">
        <v>26</v>
      </c>
      <c r="E1" s="1" t="s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9"/>
  <sheetViews>
    <sheetView workbookViewId="0"/>
  </sheetViews>
  <sheetFormatPr defaultRowHeight="14.4" x14ac:dyDescent="0.3"/>
  <cols>
    <col min="1" max="1" width="7.88671875" bestFit="1" customWidth="1"/>
    <col min="2" max="2" width="8.6640625" bestFit="1" customWidth="1"/>
    <col min="3" max="3" width="11.88671875" bestFit="1" customWidth="1"/>
    <col min="4" max="4" width="10.21875" bestFit="1" customWidth="1"/>
  </cols>
  <sheetData>
    <row r="1" spans="1:4" x14ac:dyDescent="0.3">
      <c r="A1" s="1" t="s">
        <v>17</v>
      </c>
      <c r="B1" s="1" t="s">
        <v>19</v>
      </c>
      <c r="C1" s="1" t="s">
        <v>26</v>
      </c>
      <c r="D1" s="1" t="s">
        <v>24</v>
      </c>
    </row>
    <row r="2" spans="1:4" x14ac:dyDescent="0.3">
      <c r="D2">
        <f t="shared" ref="D2:D65" ca="1" si="0">IF(B2="",0,TODAY()-B2)</f>
        <v>0</v>
      </c>
    </row>
    <row r="3" spans="1:4" x14ac:dyDescent="0.3">
      <c r="D3">
        <f t="shared" ca="1" si="0"/>
        <v>0</v>
      </c>
    </row>
    <row r="4" spans="1:4" x14ac:dyDescent="0.3">
      <c r="D4">
        <f t="shared" ca="1" si="0"/>
        <v>0</v>
      </c>
    </row>
    <row r="5" spans="1:4" x14ac:dyDescent="0.3">
      <c r="D5">
        <f t="shared" ca="1" si="0"/>
        <v>0</v>
      </c>
    </row>
    <row r="6" spans="1:4" x14ac:dyDescent="0.3">
      <c r="D6">
        <f t="shared" ca="1" si="0"/>
        <v>0</v>
      </c>
    </row>
    <row r="7" spans="1:4" x14ac:dyDescent="0.3">
      <c r="D7">
        <f t="shared" ca="1" si="0"/>
        <v>0</v>
      </c>
    </row>
    <row r="8" spans="1:4" x14ac:dyDescent="0.3">
      <c r="D8">
        <f t="shared" ca="1" si="0"/>
        <v>0</v>
      </c>
    </row>
    <row r="9" spans="1:4" x14ac:dyDescent="0.3">
      <c r="D9">
        <f t="shared" ca="1" si="0"/>
        <v>0</v>
      </c>
    </row>
    <row r="10" spans="1:4" x14ac:dyDescent="0.3">
      <c r="D10">
        <f t="shared" ca="1" si="0"/>
        <v>0</v>
      </c>
    </row>
    <row r="11" spans="1:4" x14ac:dyDescent="0.3">
      <c r="D11">
        <f t="shared" ca="1" si="0"/>
        <v>0</v>
      </c>
    </row>
    <row r="12" spans="1:4" x14ac:dyDescent="0.3">
      <c r="D12">
        <f t="shared" ca="1" si="0"/>
        <v>0</v>
      </c>
    </row>
    <row r="13" spans="1:4" x14ac:dyDescent="0.3">
      <c r="D13">
        <f t="shared" ca="1" si="0"/>
        <v>0</v>
      </c>
    </row>
    <row r="14" spans="1:4" x14ac:dyDescent="0.3">
      <c r="D14">
        <f t="shared" ca="1" si="0"/>
        <v>0</v>
      </c>
    </row>
    <row r="15" spans="1:4" x14ac:dyDescent="0.3">
      <c r="D15">
        <f t="shared" ca="1" si="0"/>
        <v>0</v>
      </c>
    </row>
    <row r="16" spans="1:4" x14ac:dyDescent="0.3">
      <c r="D16">
        <f t="shared" ca="1" si="0"/>
        <v>0</v>
      </c>
    </row>
    <row r="17" spans="4:4" x14ac:dyDescent="0.3">
      <c r="D17">
        <f t="shared" ca="1" si="0"/>
        <v>0</v>
      </c>
    </row>
    <row r="18" spans="4:4" x14ac:dyDescent="0.3">
      <c r="D18">
        <f t="shared" ca="1" si="0"/>
        <v>0</v>
      </c>
    </row>
    <row r="19" spans="4:4" x14ac:dyDescent="0.3">
      <c r="D19">
        <f t="shared" ca="1" si="0"/>
        <v>0</v>
      </c>
    </row>
    <row r="20" spans="4:4" x14ac:dyDescent="0.3">
      <c r="D20">
        <f t="shared" ca="1" si="0"/>
        <v>0</v>
      </c>
    </row>
    <row r="21" spans="4:4" x14ac:dyDescent="0.3">
      <c r="D21">
        <f t="shared" ca="1" si="0"/>
        <v>0</v>
      </c>
    </row>
    <row r="22" spans="4:4" x14ac:dyDescent="0.3">
      <c r="D22">
        <f t="shared" ca="1" si="0"/>
        <v>0</v>
      </c>
    </row>
    <row r="23" spans="4:4" x14ac:dyDescent="0.3">
      <c r="D23">
        <f t="shared" ca="1" si="0"/>
        <v>0</v>
      </c>
    </row>
    <row r="24" spans="4:4" x14ac:dyDescent="0.3">
      <c r="D24">
        <f t="shared" ca="1" si="0"/>
        <v>0</v>
      </c>
    </row>
    <row r="25" spans="4:4" x14ac:dyDescent="0.3">
      <c r="D25">
        <f t="shared" ca="1" si="0"/>
        <v>0</v>
      </c>
    </row>
    <row r="26" spans="4:4" x14ac:dyDescent="0.3">
      <c r="D26">
        <f t="shared" ca="1" si="0"/>
        <v>0</v>
      </c>
    </row>
    <row r="27" spans="4:4" x14ac:dyDescent="0.3">
      <c r="D27">
        <f t="shared" ca="1" si="0"/>
        <v>0</v>
      </c>
    </row>
    <row r="28" spans="4:4" x14ac:dyDescent="0.3">
      <c r="D28">
        <f t="shared" ca="1" si="0"/>
        <v>0</v>
      </c>
    </row>
    <row r="29" spans="4:4" x14ac:dyDescent="0.3">
      <c r="D29">
        <f t="shared" ca="1" si="0"/>
        <v>0</v>
      </c>
    </row>
    <row r="30" spans="4:4" x14ac:dyDescent="0.3">
      <c r="D30">
        <f t="shared" ca="1" si="0"/>
        <v>0</v>
      </c>
    </row>
    <row r="31" spans="4:4" x14ac:dyDescent="0.3">
      <c r="D31">
        <f t="shared" ca="1" si="0"/>
        <v>0</v>
      </c>
    </row>
    <row r="32" spans="4:4" x14ac:dyDescent="0.3">
      <c r="D32">
        <f t="shared" ca="1" si="0"/>
        <v>0</v>
      </c>
    </row>
    <row r="33" spans="4:4" x14ac:dyDescent="0.3">
      <c r="D33">
        <f t="shared" ca="1" si="0"/>
        <v>0</v>
      </c>
    </row>
    <row r="34" spans="4:4" x14ac:dyDescent="0.3">
      <c r="D34">
        <f t="shared" ca="1" si="0"/>
        <v>0</v>
      </c>
    </row>
    <row r="35" spans="4:4" x14ac:dyDescent="0.3">
      <c r="D35">
        <f t="shared" ca="1" si="0"/>
        <v>0</v>
      </c>
    </row>
    <row r="36" spans="4:4" x14ac:dyDescent="0.3">
      <c r="D36">
        <f t="shared" ca="1" si="0"/>
        <v>0</v>
      </c>
    </row>
    <row r="37" spans="4:4" x14ac:dyDescent="0.3">
      <c r="D37">
        <f t="shared" ca="1" si="0"/>
        <v>0</v>
      </c>
    </row>
    <row r="38" spans="4:4" x14ac:dyDescent="0.3">
      <c r="D38">
        <f t="shared" ca="1" si="0"/>
        <v>0</v>
      </c>
    </row>
    <row r="39" spans="4:4" x14ac:dyDescent="0.3">
      <c r="D39">
        <f t="shared" ca="1" si="0"/>
        <v>0</v>
      </c>
    </row>
    <row r="40" spans="4:4" x14ac:dyDescent="0.3">
      <c r="D40">
        <f t="shared" ca="1" si="0"/>
        <v>0</v>
      </c>
    </row>
    <row r="41" spans="4:4" x14ac:dyDescent="0.3">
      <c r="D41">
        <f t="shared" ca="1" si="0"/>
        <v>0</v>
      </c>
    </row>
    <row r="42" spans="4:4" x14ac:dyDescent="0.3">
      <c r="D42">
        <f t="shared" ca="1" si="0"/>
        <v>0</v>
      </c>
    </row>
    <row r="43" spans="4:4" x14ac:dyDescent="0.3">
      <c r="D43">
        <f t="shared" ca="1" si="0"/>
        <v>0</v>
      </c>
    </row>
    <row r="44" spans="4:4" x14ac:dyDescent="0.3">
      <c r="D44">
        <f t="shared" ca="1" si="0"/>
        <v>0</v>
      </c>
    </row>
    <row r="45" spans="4:4" x14ac:dyDescent="0.3">
      <c r="D45">
        <f t="shared" ca="1" si="0"/>
        <v>0</v>
      </c>
    </row>
    <row r="46" spans="4:4" x14ac:dyDescent="0.3">
      <c r="D46">
        <f t="shared" ca="1" si="0"/>
        <v>0</v>
      </c>
    </row>
    <row r="47" spans="4:4" x14ac:dyDescent="0.3">
      <c r="D47">
        <f t="shared" ca="1" si="0"/>
        <v>0</v>
      </c>
    </row>
    <row r="48" spans="4:4" x14ac:dyDescent="0.3">
      <c r="D48">
        <f t="shared" ca="1" si="0"/>
        <v>0</v>
      </c>
    </row>
    <row r="49" spans="4:4" x14ac:dyDescent="0.3">
      <c r="D49">
        <f t="shared" ca="1" si="0"/>
        <v>0</v>
      </c>
    </row>
    <row r="50" spans="4:4" x14ac:dyDescent="0.3">
      <c r="D50">
        <f t="shared" ca="1" si="0"/>
        <v>0</v>
      </c>
    </row>
    <row r="51" spans="4:4" x14ac:dyDescent="0.3">
      <c r="D51">
        <f t="shared" ca="1" si="0"/>
        <v>0</v>
      </c>
    </row>
    <row r="52" spans="4:4" x14ac:dyDescent="0.3">
      <c r="D52">
        <f t="shared" ca="1" si="0"/>
        <v>0</v>
      </c>
    </row>
    <row r="53" spans="4:4" x14ac:dyDescent="0.3">
      <c r="D53">
        <f t="shared" ca="1" si="0"/>
        <v>0</v>
      </c>
    </row>
    <row r="54" spans="4:4" x14ac:dyDescent="0.3">
      <c r="D54">
        <f t="shared" ca="1" si="0"/>
        <v>0</v>
      </c>
    </row>
    <row r="55" spans="4:4" x14ac:dyDescent="0.3">
      <c r="D55">
        <f t="shared" ca="1" si="0"/>
        <v>0</v>
      </c>
    </row>
    <row r="56" spans="4:4" x14ac:dyDescent="0.3">
      <c r="D56">
        <f t="shared" ca="1" si="0"/>
        <v>0</v>
      </c>
    </row>
    <row r="57" spans="4:4" x14ac:dyDescent="0.3">
      <c r="D57">
        <f t="shared" ca="1" si="0"/>
        <v>0</v>
      </c>
    </row>
    <row r="58" spans="4:4" x14ac:dyDescent="0.3">
      <c r="D58">
        <f t="shared" ca="1" si="0"/>
        <v>0</v>
      </c>
    </row>
    <row r="59" spans="4:4" x14ac:dyDescent="0.3">
      <c r="D59">
        <f t="shared" ca="1" si="0"/>
        <v>0</v>
      </c>
    </row>
    <row r="60" spans="4:4" x14ac:dyDescent="0.3">
      <c r="D60">
        <f t="shared" ca="1" si="0"/>
        <v>0</v>
      </c>
    </row>
    <row r="61" spans="4:4" x14ac:dyDescent="0.3">
      <c r="D61">
        <f t="shared" ca="1" si="0"/>
        <v>0</v>
      </c>
    </row>
    <row r="62" spans="4:4" x14ac:dyDescent="0.3">
      <c r="D62">
        <f t="shared" ca="1" si="0"/>
        <v>0</v>
      </c>
    </row>
    <row r="63" spans="4:4" x14ac:dyDescent="0.3">
      <c r="D63">
        <f t="shared" ca="1" si="0"/>
        <v>0</v>
      </c>
    </row>
    <row r="64" spans="4:4" x14ac:dyDescent="0.3">
      <c r="D64">
        <f t="shared" ca="1" si="0"/>
        <v>0</v>
      </c>
    </row>
    <row r="65" spans="4:4" x14ac:dyDescent="0.3">
      <c r="D65">
        <f t="shared" ca="1" si="0"/>
        <v>0</v>
      </c>
    </row>
    <row r="66" spans="4:4" x14ac:dyDescent="0.3">
      <c r="D66">
        <f t="shared" ref="D66:D129" ca="1" si="1">IF(B66="",0,TODAY()-B66)</f>
        <v>0</v>
      </c>
    </row>
    <row r="67" spans="4:4" x14ac:dyDescent="0.3">
      <c r="D67">
        <f t="shared" ca="1" si="1"/>
        <v>0</v>
      </c>
    </row>
    <row r="68" spans="4:4" x14ac:dyDescent="0.3">
      <c r="D68">
        <f t="shared" ca="1" si="1"/>
        <v>0</v>
      </c>
    </row>
    <row r="69" spans="4:4" x14ac:dyDescent="0.3">
      <c r="D69">
        <f t="shared" ca="1" si="1"/>
        <v>0</v>
      </c>
    </row>
    <row r="70" spans="4:4" x14ac:dyDescent="0.3">
      <c r="D70">
        <f t="shared" ca="1" si="1"/>
        <v>0</v>
      </c>
    </row>
    <row r="71" spans="4:4" x14ac:dyDescent="0.3">
      <c r="D71">
        <f t="shared" ca="1" si="1"/>
        <v>0</v>
      </c>
    </row>
    <row r="72" spans="4:4" x14ac:dyDescent="0.3">
      <c r="D72">
        <f t="shared" ca="1" si="1"/>
        <v>0</v>
      </c>
    </row>
    <row r="73" spans="4:4" x14ac:dyDescent="0.3">
      <c r="D73">
        <f t="shared" ca="1" si="1"/>
        <v>0</v>
      </c>
    </row>
    <row r="74" spans="4:4" x14ac:dyDescent="0.3">
      <c r="D74">
        <f t="shared" ca="1" si="1"/>
        <v>0</v>
      </c>
    </row>
    <row r="75" spans="4:4" x14ac:dyDescent="0.3">
      <c r="D75">
        <f t="shared" ca="1" si="1"/>
        <v>0</v>
      </c>
    </row>
    <row r="76" spans="4:4" x14ac:dyDescent="0.3">
      <c r="D76">
        <f t="shared" ca="1" si="1"/>
        <v>0</v>
      </c>
    </row>
    <row r="77" spans="4:4" x14ac:dyDescent="0.3">
      <c r="D77">
        <f t="shared" ca="1" si="1"/>
        <v>0</v>
      </c>
    </row>
    <row r="78" spans="4:4" x14ac:dyDescent="0.3">
      <c r="D78">
        <f t="shared" ca="1" si="1"/>
        <v>0</v>
      </c>
    </row>
    <row r="79" spans="4:4" x14ac:dyDescent="0.3">
      <c r="D79">
        <f t="shared" ca="1" si="1"/>
        <v>0</v>
      </c>
    </row>
    <row r="80" spans="4:4" x14ac:dyDescent="0.3">
      <c r="D80">
        <f t="shared" ca="1" si="1"/>
        <v>0</v>
      </c>
    </row>
    <row r="81" spans="4:4" x14ac:dyDescent="0.3">
      <c r="D81">
        <f t="shared" ca="1" si="1"/>
        <v>0</v>
      </c>
    </row>
    <row r="82" spans="4:4" x14ac:dyDescent="0.3">
      <c r="D82">
        <f t="shared" ca="1" si="1"/>
        <v>0</v>
      </c>
    </row>
    <row r="83" spans="4:4" x14ac:dyDescent="0.3">
      <c r="D83">
        <f t="shared" ca="1" si="1"/>
        <v>0</v>
      </c>
    </row>
    <row r="84" spans="4:4" x14ac:dyDescent="0.3">
      <c r="D84">
        <f t="shared" ca="1" si="1"/>
        <v>0</v>
      </c>
    </row>
    <row r="85" spans="4:4" x14ac:dyDescent="0.3">
      <c r="D85">
        <f t="shared" ca="1" si="1"/>
        <v>0</v>
      </c>
    </row>
    <row r="86" spans="4:4" x14ac:dyDescent="0.3">
      <c r="D86">
        <f t="shared" ca="1" si="1"/>
        <v>0</v>
      </c>
    </row>
    <row r="87" spans="4:4" x14ac:dyDescent="0.3">
      <c r="D87">
        <f t="shared" ca="1" si="1"/>
        <v>0</v>
      </c>
    </row>
    <row r="88" spans="4:4" x14ac:dyDescent="0.3">
      <c r="D88">
        <f t="shared" ca="1" si="1"/>
        <v>0</v>
      </c>
    </row>
    <row r="89" spans="4:4" x14ac:dyDescent="0.3">
      <c r="D89">
        <f t="shared" ca="1" si="1"/>
        <v>0</v>
      </c>
    </row>
    <row r="90" spans="4:4" x14ac:dyDescent="0.3">
      <c r="D90">
        <f t="shared" ca="1" si="1"/>
        <v>0</v>
      </c>
    </row>
    <row r="91" spans="4:4" x14ac:dyDescent="0.3">
      <c r="D91">
        <f t="shared" ca="1" si="1"/>
        <v>0</v>
      </c>
    </row>
    <row r="92" spans="4:4" x14ac:dyDescent="0.3">
      <c r="D92">
        <f t="shared" ca="1" si="1"/>
        <v>0</v>
      </c>
    </row>
    <row r="93" spans="4:4" x14ac:dyDescent="0.3">
      <c r="D93">
        <f t="shared" ca="1" si="1"/>
        <v>0</v>
      </c>
    </row>
    <row r="94" spans="4:4" x14ac:dyDescent="0.3">
      <c r="D94">
        <f t="shared" ca="1" si="1"/>
        <v>0</v>
      </c>
    </row>
    <row r="95" spans="4:4" x14ac:dyDescent="0.3">
      <c r="D95">
        <f t="shared" ca="1" si="1"/>
        <v>0</v>
      </c>
    </row>
    <row r="96" spans="4:4" x14ac:dyDescent="0.3">
      <c r="D96">
        <f t="shared" ca="1" si="1"/>
        <v>0</v>
      </c>
    </row>
    <row r="97" spans="4:4" x14ac:dyDescent="0.3">
      <c r="D97">
        <f t="shared" ca="1" si="1"/>
        <v>0</v>
      </c>
    </row>
    <row r="98" spans="4:4" x14ac:dyDescent="0.3">
      <c r="D98">
        <f t="shared" ca="1" si="1"/>
        <v>0</v>
      </c>
    </row>
    <row r="99" spans="4:4" x14ac:dyDescent="0.3">
      <c r="D99">
        <f t="shared" ca="1" si="1"/>
        <v>0</v>
      </c>
    </row>
    <row r="100" spans="4:4" x14ac:dyDescent="0.3">
      <c r="D100">
        <f t="shared" ca="1" si="1"/>
        <v>0</v>
      </c>
    </row>
    <row r="101" spans="4:4" x14ac:dyDescent="0.3">
      <c r="D101">
        <f t="shared" ca="1" si="1"/>
        <v>0</v>
      </c>
    </row>
    <row r="102" spans="4:4" x14ac:dyDescent="0.3">
      <c r="D102">
        <f t="shared" ca="1" si="1"/>
        <v>0</v>
      </c>
    </row>
    <row r="103" spans="4:4" x14ac:dyDescent="0.3">
      <c r="D103">
        <f t="shared" ca="1" si="1"/>
        <v>0</v>
      </c>
    </row>
    <row r="104" spans="4:4" x14ac:dyDescent="0.3">
      <c r="D104">
        <f t="shared" ca="1" si="1"/>
        <v>0</v>
      </c>
    </row>
    <row r="105" spans="4:4" x14ac:dyDescent="0.3">
      <c r="D105">
        <f t="shared" ca="1" si="1"/>
        <v>0</v>
      </c>
    </row>
    <row r="106" spans="4:4" x14ac:dyDescent="0.3">
      <c r="D106">
        <f t="shared" ca="1" si="1"/>
        <v>0</v>
      </c>
    </row>
    <row r="107" spans="4:4" x14ac:dyDescent="0.3">
      <c r="D107">
        <f t="shared" ca="1" si="1"/>
        <v>0</v>
      </c>
    </row>
    <row r="108" spans="4:4" x14ac:dyDescent="0.3">
      <c r="D108">
        <f t="shared" ca="1" si="1"/>
        <v>0</v>
      </c>
    </row>
    <row r="109" spans="4:4" x14ac:dyDescent="0.3">
      <c r="D109">
        <f t="shared" ca="1" si="1"/>
        <v>0</v>
      </c>
    </row>
    <row r="110" spans="4:4" x14ac:dyDescent="0.3">
      <c r="D110">
        <f t="shared" ca="1" si="1"/>
        <v>0</v>
      </c>
    </row>
    <row r="111" spans="4:4" x14ac:dyDescent="0.3">
      <c r="D111">
        <f t="shared" ca="1" si="1"/>
        <v>0</v>
      </c>
    </row>
    <row r="112" spans="4:4" x14ac:dyDescent="0.3">
      <c r="D112">
        <f t="shared" ca="1" si="1"/>
        <v>0</v>
      </c>
    </row>
    <row r="113" spans="4:4" x14ac:dyDescent="0.3">
      <c r="D113">
        <f t="shared" ca="1" si="1"/>
        <v>0</v>
      </c>
    </row>
    <row r="114" spans="4:4" x14ac:dyDescent="0.3">
      <c r="D114">
        <f t="shared" ca="1" si="1"/>
        <v>0</v>
      </c>
    </row>
    <row r="115" spans="4:4" x14ac:dyDescent="0.3">
      <c r="D115">
        <f t="shared" ca="1" si="1"/>
        <v>0</v>
      </c>
    </row>
    <row r="116" spans="4:4" x14ac:dyDescent="0.3">
      <c r="D116">
        <f t="shared" ca="1" si="1"/>
        <v>0</v>
      </c>
    </row>
    <row r="117" spans="4:4" x14ac:dyDescent="0.3">
      <c r="D117">
        <f t="shared" ca="1" si="1"/>
        <v>0</v>
      </c>
    </row>
    <row r="118" spans="4:4" x14ac:dyDescent="0.3">
      <c r="D118">
        <f t="shared" ca="1" si="1"/>
        <v>0</v>
      </c>
    </row>
    <row r="119" spans="4:4" x14ac:dyDescent="0.3">
      <c r="D119">
        <f t="shared" ca="1" si="1"/>
        <v>0</v>
      </c>
    </row>
    <row r="120" spans="4:4" x14ac:dyDescent="0.3">
      <c r="D120">
        <f t="shared" ca="1" si="1"/>
        <v>0</v>
      </c>
    </row>
    <row r="121" spans="4:4" x14ac:dyDescent="0.3">
      <c r="D121">
        <f t="shared" ca="1" si="1"/>
        <v>0</v>
      </c>
    </row>
    <row r="122" spans="4:4" x14ac:dyDescent="0.3">
      <c r="D122">
        <f t="shared" ca="1" si="1"/>
        <v>0</v>
      </c>
    </row>
    <row r="123" spans="4:4" x14ac:dyDescent="0.3">
      <c r="D123">
        <f t="shared" ca="1" si="1"/>
        <v>0</v>
      </c>
    </row>
    <row r="124" spans="4:4" x14ac:dyDescent="0.3">
      <c r="D124">
        <f t="shared" ca="1" si="1"/>
        <v>0</v>
      </c>
    </row>
    <row r="125" spans="4:4" x14ac:dyDescent="0.3">
      <c r="D125">
        <f t="shared" ca="1" si="1"/>
        <v>0</v>
      </c>
    </row>
    <row r="126" spans="4:4" x14ac:dyDescent="0.3">
      <c r="D126">
        <f t="shared" ca="1" si="1"/>
        <v>0</v>
      </c>
    </row>
    <row r="127" spans="4:4" x14ac:dyDescent="0.3">
      <c r="D127">
        <f t="shared" ca="1" si="1"/>
        <v>0</v>
      </c>
    </row>
    <row r="128" spans="4:4" x14ac:dyDescent="0.3">
      <c r="D128">
        <f t="shared" ca="1" si="1"/>
        <v>0</v>
      </c>
    </row>
    <row r="129" spans="4:4" x14ac:dyDescent="0.3">
      <c r="D129">
        <f t="shared" ca="1" si="1"/>
        <v>0</v>
      </c>
    </row>
    <row r="130" spans="4:4" x14ac:dyDescent="0.3">
      <c r="D130">
        <f t="shared" ref="D130:D193" ca="1" si="2">IF(B130="",0,TODAY()-B130)</f>
        <v>0</v>
      </c>
    </row>
    <row r="131" spans="4:4" x14ac:dyDescent="0.3">
      <c r="D131">
        <f t="shared" ca="1" si="2"/>
        <v>0</v>
      </c>
    </row>
    <row r="132" spans="4:4" x14ac:dyDescent="0.3">
      <c r="D132">
        <f t="shared" ca="1" si="2"/>
        <v>0</v>
      </c>
    </row>
    <row r="133" spans="4:4" x14ac:dyDescent="0.3">
      <c r="D133">
        <f t="shared" ca="1" si="2"/>
        <v>0</v>
      </c>
    </row>
    <row r="134" spans="4:4" x14ac:dyDescent="0.3">
      <c r="D134">
        <f t="shared" ca="1" si="2"/>
        <v>0</v>
      </c>
    </row>
    <row r="135" spans="4:4" x14ac:dyDescent="0.3">
      <c r="D135">
        <f t="shared" ca="1" si="2"/>
        <v>0</v>
      </c>
    </row>
    <row r="136" spans="4:4" x14ac:dyDescent="0.3">
      <c r="D136">
        <f t="shared" ca="1" si="2"/>
        <v>0</v>
      </c>
    </row>
    <row r="137" spans="4:4" x14ac:dyDescent="0.3">
      <c r="D137">
        <f t="shared" ca="1" si="2"/>
        <v>0</v>
      </c>
    </row>
    <row r="138" spans="4:4" x14ac:dyDescent="0.3">
      <c r="D138">
        <f t="shared" ca="1" si="2"/>
        <v>0</v>
      </c>
    </row>
    <row r="139" spans="4:4" x14ac:dyDescent="0.3">
      <c r="D139">
        <f t="shared" ca="1" si="2"/>
        <v>0</v>
      </c>
    </row>
    <row r="140" spans="4:4" x14ac:dyDescent="0.3">
      <c r="D140">
        <f t="shared" ca="1" si="2"/>
        <v>0</v>
      </c>
    </row>
    <row r="141" spans="4:4" x14ac:dyDescent="0.3">
      <c r="D141">
        <f t="shared" ca="1" si="2"/>
        <v>0</v>
      </c>
    </row>
    <row r="142" spans="4:4" x14ac:dyDescent="0.3">
      <c r="D142">
        <f t="shared" ca="1" si="2"/>
        <v>0</v>
      </c>
    </row>
    <row r="143" spans="4:4" x14ac:dyDescent="0.3">
      <c r="D143">
        <f t="shared" ca="1" si="2"/>
        <v>0</v>
      </c>
    </row>
    <row r="144" spans="4:4" x14ac:dyDescent="0.3">
      <c r="D144">
        <f t="shared" ca="1" si="2"/>
        <v>0</v>
      </c>
    </row>
    <row r="145" spans="4:4" x14ac:dyDescent="0.3">
      <c r="D145">
        <f t="shared" ca="1" si="2"/>
        <v>0</v>
      </c>
    </row>
    <row r="146" spans="4:4" x14ac:dyDescent="0.3">
      <c r="D146">
        <f t="shared" ca="1" si="2"/>
        <v>0</v>
      </c>
    </row>
    <row r="147" spans="4:4" x14ac:dyDescent="0.3">
      <c r="D147">
        <f t="shared" ca="1" si="2"/>
        <v>0</v>
      </c>
    </row>
    <row r="148" spans="4:4" x14ac:dyDescent="0.3">
      <c r="D148">
        <f t="shared" ca="1" si="2"/>
        <v>0</v>
      </c>
    </row>
    <row r="149" spans="4:4" x14ac:dyDescent="0.3">
      <c r="D149">
        <f t="shared" ca="1" si="2"/>
        <v>0</v>
      </c>
    </row>
    <row r="150" spans="4:4" x14ac:dyDescent="0.3">
      <c r="D150">
        <f t="shared" ca="1" si="2"/>
        <v>0</v>
      </c>
    </row>
    <row r="151" spans="4:4" x14ac:dyDescent="0.3">
      <c r="D151">
        <f t="shared" ca="1" si="2"/>
        <v>0</v>
      </c>
    </row>
    <row r="152" spans="4:4" x14ac:dyDescent="0.3">
      <c r="D152">
        <f t="shared" ca="1" si="2"/>
        <v>0</v>
      </c>
    </row>
    <row r="153" spans="4:4" x14ac:dyDescent="0.3">
      <c r="D153">
        <f t="shared" ca="1" si="2"/>
        <v>0</v>
      </c>
    </row>
    <row r="154" spans="4:4" x14ac:dyDescent="0.3">
      <c r="D154">
        <f t="shared" ca="1" si="2"/>
        <v>0</v>
      </c>
    </row>
    <row r="155" spans="4:4" x14ac:dyDescent="0.3">
      <c r="D155">
        <f t="shared" ca="1" si="2"/>
        <v>0</v>
      </c>
    </row>
    <row r="156" spans="4:4" x14ac:dyDescent="0.3">
      <c r="D156">
        <f t="shared" ca="1" si="2"/>
        <v>0</v>
      </c>
    </row>
    <row r="157" spans="4:4" x14ac:dyDescent="0.3">
      <c r="D157">
        <f t="shared" ca="1" si="2"/>
        <v>0</v>
      </c>
    </row>
    <row r="158" spans="4:4" x14ac:dyDescent="0.3">
      <c r="D158">
        <f t="shared" ca="1" si="2"/>
        <v>0</v>
      </c>
    </row>
    <row r="159" spans="4:4" x14ac:dyDescent="0.3">
      <c r="D159">
        <f t="shared" ca="1" si="2"/>
        <v>0</v>
      </c>
    </row>
    <row r="160" spans="4:4" x14ac:dyDescent="0.3">
      <c r="D160">
        <f t="shared" ca="1" si="2"/>
        <v>0</v>
      </c>
    </row>
    <row r="161" spans="4:4" x14ac:dyDescent="0.3">
      <c r="D161">
        <f t="shared" ca="1" si="2"/>
        <v>0</v>
      </c>
    </row>
    <row r="162" spans="4:4" x14ac:dyDescent="0.3">
      <c r="D162">
        <f t="shared" ca="1" si="2"/>
        <v>0</v>
      </c>
    </row>
    <row r="163" spans="4:4" x14ac:dyDescent="0.3">
      <c r="D163">
        <f t="shared" ca="1" si="2"/>
        <v>0</v>
      </c>
    </row>
    <row r="164" spans="4:4" x14ac:dyDescent="0.3">
      <c r="D164">
        <f t="shared" ca="1" si="2"/>
        <v>0</v>
      </c>
    </row>
    <row r="165" spans="4:4" x14ac:dyDescent="0.3">
      <c r="D165">
        <f t="shared" ca="1" si="2"/>
        <v>0</v>
      </c>
    </row>
    <row r="166" spans="4:4" x14ac:dyDescent="0.3">
      <c r="D166">
        <f t="shared" ca="1" si="2"/>
        <v>0</v>
      </c>
    </row>
    <row r="167" spans="4:4" x14ac:dyDescent="0.3">
      <c r="D167">
        <f t="shared" ca="1" si="2"/>
        <v>0</v>
      </c>
    </row>
    <row r="168" spans="4:4" x14ac:dyDescent="0.3">
      <c r="D168">
        <f t="shared" ca="1" si="2"/>
        <v>0</v>
      </c>
    </row>
    <row r="169" spans="4:4" x14ac:dyDescent="0.3">
      <c r="D169">
        <f t="shared" ca="1" si="2"/>
        <v>0</v>
      </c>
    </row>
    <row r="170" spans="4:4" x14ac:dyDescent="0.3">
      <c r="D170">
        <f t="shared" ca="1" si="2"/>
        <v>0</v>
      </c>
    </row>
    <row r="171" spans="4:4" x14ac:dyDescent="0.3">
      <c r="D171">
        <f t="shared" ca="1" si="2"/>
        <v>0</v>
      </c>
    </row>
    <row r="172" spans="4:4" x14ac:dyDescent="0.3">
      <c r="D172">
        <f t="shared" ca="1" si="2"/>
        <v>0</v>
      </c>
    </row>
    <row r="173" spans="4:4" x14ac:dyDescent="0.3">
      <c r="D173">
        <f t="shared" ca="1" si="2"/>
        <v>0</v>
      </c>
    </row>
    <row r="174" spans="4:4" x14ac:dyDescent="0.3">
      <c r="D174">
        <f t="shared" ca="1" si="2"/>
        <v>0</v>
      </c>
    </row>
    <row r="175" spans="4:4" x14ac:dyDescent="0.3">
      <c r="D175">
        <f t="shared" ca="1" si="2"/>
        <v>0</v>
      </c>
    </row>
    <row r="176" spans="4:4" x14ac:dyDescent="0.3">
      <c r="D176">
        <f t="shared" ca="1" si="2"/>
        <v>0</v>
      </c>
    </row>
    <row r="177" spans="4:4" x14ac:dyDescent="0.3">
      <c r="D177">
        <f t="shared" ca="1" si="2"/>
        <v>0</v>
      </c>
    </row>
    <row r="178" spans="4:4" x14ac:dyDescent="0.3">
      <c r="D178">
        <f t="shared" ca="1" si="2"/>
        <v>0</v>
      </c>
    </row>
    <row r="179" spans="4:4" x14ac:dyDescent="0.3">
      <c r="D179">
        <f t="shared" ca="1" si="2"/>
        <v>0</v>
      </c>
    </row>
    <row r="180" spans="4:4" x14ac:dyDescent="0.3">
      <c r="D180">
        <f t="shared" ca="1" si="2"/>
        <v>0</v>
      </c>
    </row>
    <row r="181" spans="4:4" x14ac:dyDescent="0.3">
      <c r="D181">
        <f t="shared" ca="1" si="2"/>
        <v>0</v>
      </c>
    </row>
    <row r="182" spans="4:4" x14ac:dyDescent="0.3">
      <c r="D182">
        <f t="shared" ca="1" si="2"/>
        <v>0</v>
      </c>
    </row>
    <row r="183" spans="4:4" x14ac:dyDescent="0.3">
      <c r="D183">
        <f t="shared" ca="1" si="2"/>
        <v>0</v>
      </c>
    </row>
    <row r="184" spans="4:4" x14ac:dyDescent="0.3">
      <c r="D184">
        <f t="shared" ca="1" si="2"/>
        <v>0</v>
      </c>
    </row>
    <row r="185" spans="4:4" x14ac:dyDescent="0.3">
      <c r="D185">
        <f t="shared" ca="1" si="2"/>
        <v>0</v>
      </c>
    </row>
    <row r="186" spans="4:4" x14ac:dyDescent="0.3">
      <c r="D186">
        <f t="shared" ca="1" si="2"/>
        <v>0</v>
      </c>
    </row>
    <row r="187" spans="4:4" x14ac:dyDescent="0.3">
      <c r="D187">
        <f t="shared" ca="1" si="2"/>
        <v>0</v>
      </c>
    </row>
    <row r="188" spans="4:4" x14ac:dyDescent="0.3">
      <c r="D188">
        <f t="shared" ca="1" si="2"/>
        <v>0</v>
      </c>
    </row>
    <row r="189" spans="4:4" x14ac:dyDescent="0.3">
      <c r="D189">
        <f t="shared" ca="1" si="2"/>
        <v>0</v>
      </c>
    </row>
    <row r="190" spans="4:4" x14ac:dyDescent="0.3">
      <c r="D190">
        <f t="shared" ca="1" si="2"/>
        <v>0</v>
      </c>
    </row>
    <row r="191" spans="4:4" x14ac:dyDescent="0.3">
      <c r="D191">
        <f t="shared" ca="1" si="2"/>
        <v>0</v>
      </c>
    </row>
    <row r="192" spans="4:4" x14ac:dyDescent="0.3">
      <c r="D192">
        <f t="shared" ca="1" si="2"/>
        <v>0</v>
      </c>
    </row>
    <row r="193" spans="4:4" x14ac:dyDescent="0.3">
      <c r="D193">
        <f t="shared" ca="1" si="2"/>
        <v>0</v>
      </c>
    </row>
    <row r="194" spans="4:4" x14ac:dyDescent="0.3">
      <c r="D194">
        <f t="shared" ref="D194:D257" ca="1" si="3">IF(B194="",0,TODAY()-B194)</f>
        <v>0</v>
      </c>
    </row>
    <row r="195" spans="4:4" x14ac:dyDescent="0.3">
      <c r="D195">
        <f t="shared" ca="1" si="3"/>
        <v>0</v>
      </c>
    </row>
    <row r="196" spans="4:4" x14ac:dyDescent="0.3">
      <c r="D196">
        <f t="shared" ca="1" si="3"/>
        <v>0</v>
      </c>
    </row>
    <row r="197" spans="4:4" x14ac:dyDescent="0.3">
      <c r="D197">
        <f t="shared" ca="1" si="3"/>
        <v>0</v>
      </c>
    </row>
    <row r="198" spans="4:4" x14ac:dyDescent="0.3">
      <c r="D198">
        <f t="shared" ca="1" si="3"/>
        <v>0</v>
      </c>
    </row>
    <row r="199" spans="4:4" x14ac:dyDescent="0.3">
      <c r="D199">
        <f t="shared" ca="1" si="3"/>
        <v>0</v>
      </c>
    </row>
    <row r="200" spans="4:4" x14ac:dyDescent="0.3">
      <c r="D200">
        <f t="shared" ca="1" si="3"/>
        <v>0</v>
      </c>
    </row>
    <row r="201" spans="4:4" x14ac:dyDescent="0.3">
      <c r="D201">
        <f t="shared" ca="1" si="3"/>
        <v>0</v>
      </c>
    </row>
    <row r="202" spans="4:4" x14ac:dyDescent="0.3">
      <c r="D202">
        <f t="shared" ca="1" si="3"/>
        <v>0</v>
      </c>
    </row>
    <row r="203" spans="4:4" x14ac:dyDescent="0.3">
      <c r="D203">
        <f t="shared" ca="1" si="3"/>
        <v>0</v>
      </c>
    </row>
    <row r="204" spans="4:4" x14ac:dyDescent="0.3">
      <c r="D204">
        <f t="shared" ca="1" si="3"/>
        <v>0</v>
      </c>
    </row>
    <row r="205" spans="4:4" x14ac:dyDescent="0.3">
      <c r="D205">
        <f t="shared" ca="1" si="3"/>
        <v>0</v>
      </c>
    </row>
    <row r="206" spans="4:4" x14ac:dyDescent="0.3">
      <c r="D206">
        <f t="shared" ca="1" si="3"/>
        <v>0</v>
      </c>
    </row>
    <row r="207" spans="4:4" x14ac:dyDescent="0.3">
      <c r="D207">
        <f t="shared" ca="1" si="3"/>
        <v>0</v>
      </c>
    </row>
    <row r="208" spans="4:4" x14ac:dyDescent="0.3">
      <c r="D208">
        <f t="shared" ca="1" si="3"/>
        <v>0</v>
      </c>
    </row>
    <row r="209" spans="4:4" x14ac:dyDescent="0.3">
      <c r="D209">
        <f t="shared" ca="1" si="3"/>
        <v>0</v>
      </c>
    </row>
    <row r="210" spans="4:4" x14ac:dyDescent="0.3">
      <c r="D210">
        <f t="shared" ca="1" si="3"/>
        <v>0</v>
      </c>
    </row>
    <row r="211" spans="4:4" x14ac:dyDescent="0.3">
      <c r="D211">
        <f t="shared" ca="1" si="3"/>
        <v>0</v>
      </c>
    </row>
    <row r="212" spans="4:4" x14ac:dyDescent="0.3">
      <c r="D212">
        <f t="shared" ca="1" si="3"/>
        <v>0</v>
      </c>
    </row>
    <row r="213" spans="4:4" x14ac:dyDescent="0.3">
      <c r="D213">
        <f t="shared" ca="1" si="3"/>
        <v>0</v>
      </c>
    </row>
    <row r="214" spans="4:4" x14ac:dyDescent="0.3">
      <c r="D214">
        <f t="shared" ca="1" si="3"/>
        <v>0</v>
      </c>
    </row>
    <row r="215" spans="4:4" x14ac:dyDescent="0.3">
      <c r="D215">
        <f t="shared" ca="1" si="3"/>
        <v>0</v>
      </c>
    </row>
    <row r="216" spans="4:4" x14ac:dyDescent="0.3">
      <c r="D216">
        <f t="shared" ca="1" si="3"/>
        <v>0</v>
      </c>
    </row>
    <row r="217" spans="4:4" x14ac:dyDescent="0.3">
      <c r="D217">
        <f t="shared" ca="1" si="3"/>
        <v>0</v>
      </c>
    </row>
    <row r="218" spans="4:4" x14ac:dyDescent="0.3">
      <c r="D218">
        <f t="shared" ca="1" si="3"/>
        <v>0</v>
      </c>
    </row>
    <row r="219" spans="4:4" x14ac:dyDescent="0.3">
      <c r="D219">
        <f t="shared" ca="1" si="3"/>
        <v>0</v>
      </c>
    </row>
    <row r="220" spans="4:4" x14ac:dyDescent="0.3">
      <c r="D220">
        <f t="shared" ca="1" si="3"/>
        <v>0</v>
      </c>
    </row>
    <row r="221" spans="4:4" x14ac:dyDescent="0.3">
      <c r="D221">
        <f t="shared" ca="1" si="3"/>
        <v>0</v>
      </c>
    </row>
    <row r="222" spans="4:4" x14ac:dyDescent="0.3">
      <c r="D222">
        <f t="shared" ca="1" si="3"/>
        <v>0</v>
      </c>
    </row>
    <row r="223" spans="4:4" x14ac:dyDescent="0.3">
      <c r="D223">
        <f t="shared" ca="1" si="3"/>
        <v>0</v>
      </c>
    </row>
    <row r="224" spans="4:4" x14ac:dyDescent="0.3">
      <c r="D224">
        <f t="shared" ca="1" si="3"/>
        <v>0</v>
      </c>
    </row>
    <row r="225" spans="4:4" x14ac:dyDescent="0.3">
      <c r="D225">
        <f t="shared" ca="1" si="3"/>
        <v>0</v>
      </c>
    </row>
    <row r="226" spans="4:4" x14ac:dyDescent="0.3">
      <c r="D226">
        <f t="shared" ca="1" si="3"/>
        <v>0</v>
      </c>
    </row>
    <row r="227" spans="4:4" x14ac:dyDescent="0.3">
      <c r="D227">
        <f t="shared" ca="1" si="3"/>
        <v>0</v>
      </c>
    </row>
    <row r="228" spans="4:4" x14ac:dyDescent="0.3">
      <c r="D228">
        <f t="shared" ca="1" si="3"/>
        <v>0</v>
      </c>
    </row>
    <row r="229" spans="4:4" x14ac:dyDescent="0.3">
      <c r="D229">
        <f t="shared" ca="1" si="3"/>
        <v>0</v>
      </c>
    </row>
    <row r="230" spans="4:4" x14ac:dyDescent="0.3">
      <c r="D230">
        <f t="shared" ca="1" si="3"/>
        <v>0</v>
      </c>
    </row>
    <row r="231" spans="4:4" x14ac:dyDescent="0.3">
      <c r="D231">
        <f t="shared" ca="1" si="3"/>
        <v>0</v>
      </c>
    </row>
    <row r="232" spans="4:4" x14ac:dyDescent="0.3">
      <c r="D232">
        <f t="shared" ca="1" si="3"/>
        <v>0</v>
      </c>
    </row>
    <row r="233" spans="4:4" x14ac:dyDescent="0.3">
      <c r="D233">
        <f t="shared" ca="1" si="3"/>
        <v>0</v>
      </c>
    </row>
    <row r="234" spans="4:4" x14ac:dyDescent="0.3">
      <c r="D234">
        <f t="shared" ca="1" si="3"/>
        <v>0</v>
      </c>
    </row>
    <row r="235" spans="4:4" x14ac:dyDescent="0.3">
      <c r="D235">
        <f t="shared" ca="1" si="3"/>
        <v>0</v>
      </c>
    </row>
    <row r="236" spans="4:4" x14ac:dyDescent="0.3">
      <c r="D236">
        <f t="shared" ca="1" si="3"/>
        <v>0</v>
      </c>
    </row>
    <row r="237" spans="4:4" x14ac:dyDescent="0.3">
      <c r="D237">
        <f t="shared" ca="1" si="3"/>
        <v>0</v>
      </c>
    </row>
    <row r="238" spans="4:4" x14ac:dyDescent="0.3">
      <c r="D238">
        <f t="shared" ca="1" si="3"/>
        <v>0</v>
      </c>
    </row>
    <row r="239" spans="4:4" x14ac:dyDescent="0.3">
      <c r="D239">
        <f t="shared" ca="1" si="3"/>
        <v>0</v>
      </c>
    </row>
    <row r="240" spans="4:4" x14ac:dyDescent="0.3">
      <c r="D240">
        <f t="shared" ca="1" si="3"/>
        <v>0</v>
      </c>
    </row>
    <row r="241" spans="4:4" x14ac:dyDescent="0.3">
      <c r="D241">
        <f t="shared" ca="1" si="3"/>
        <v>0</v>
      </c>
    </row>
    <row r="242" spans="4:4" x14ac:dyDescent="0.3">
      <c r="D242">
        <f t="shared" ca="1" si="3"/>
        <v>0</v>
      </c>
    </row>
    <row r="243" spans="4:4" x14ac:dyDescent="0.3">
      <c r="D243">
        <f t="shared" ca="1" si="3"/>
        <v>0</v>
      </c>
    </row>
    <row r="244" spans="4:4" x14ac:dyDescent="0.3">
      <c r="D244">
        <f t="shared" ca="1" si="3"/>
        <v>0</v>
      </c>
    </row>
    <row r="245" spans="4:4" x14ac:dyDescent="0.3">
      <c r="D245">
        <f t="shared" ca="1" si="3"/>
        <v>0</v>
      </c>
    </row>
    <row r="246" spans="4:4" x14ac:dyDescent="0.3">
      <c r="D246">
        <f t="shared" ca="1" si="3"/>
        <v>0</v>
      </c>
    </row>
    <row r="247" spans="4:4" x14ac:dyDescent="0.3">
      <c r="D247">
        <f t="shared" ca="1" si="3"/>
        <v>0</v>
      </c>
    </row>
    <row r="248" spans="4:4" x14ac:dyDescent="0.3">
      <c r="D248">
        <f t="shared" ca="1" si="3"/>
        <v>0</v>
      </c>
    </row>
    <row r="249" spans="4:4" x14ac:dyDescent="0.3">
      <c r="D249">
        <f t="shared" ca="1" si="3"/>
        <v>0</v>
      </c>
    </row>
    <row r="250" spans="4:4" x14ac:dyDescent="0.3">
      <c r="D250">
        <f t="shared" ca="1" si="3"/>
        <v>0</v>
      </c>
    </row>
    <row r="251" spans="4:4" x14ac:dyDescent="0.3">
      <c r="D251">
        <f t="shared" ca="1" si="3"/>
        <v>0</v>
      </c>
    </row>
    <row r="252" spans="4:4" x14ac:dyDescent="0.3">
      <c r="D252">
        <f t="shared" ca="1" si="3"/>
        <v>0</v>
      </c>
    </row>
    <row r="253" spans="4:4" x14ac:dyDescent="0.3">
      <c r="D253">
        <f t="shared" ca="1" si="3"/>
        <v>0</v>
      </c>
    </row>
    <row r="254" spans="4:4" x14ac:dyDescent="0.3">
      <c r="D254">
        <f t="shared" ca="1" si="3"/>
        <v>0</v>
      </c>
    </row>
    <row r="255" spans="4:4" x14ac:dyDescent="0.3">
      <c r="D255">
        <f t="shared" ca="1" si="3"/>
        <v>0</v>
      </c>
    </row>
    <row r="256" spans="4:4" x14ac:dyDescent="0.3">
      <c r="D256">
        <f t="shared" ca="1" si="3"/>
        <v>0</v>
      </c>
    </row>
    <row r="257" spans="4:4" x14ac:dyDescent="0.3">
      <c r="D257">
        <f t="shared" ca="1" si="3"/>
        <v>0</v>
      </c>
    </row>
    <row r="258" spans="4:4" x14ac:dyDescent="0.3">
      <c r="D258">
        <f t="shared" ref="D258:D321" ca="1" si="4">IF(B258="",0,TODAY()-B258)</f>
        <v>0</v>
      </c>
    </row>
    <row r="259" spans="4:4" x14ac:dyDescent="0.3">
      <c r="D259">
        <f t="shared" ca="1" si="4"/>
        <v>0</v>
      </c>
    </row>
    <row r="260" spans="4:4" x14ac:dyDescent="0.3">
      <c r="D260">
        <f t="shared" ca="1" si="4"/>
        <v>0</v>
      </c>
    </row>
    <row r="261" spans="4:4" x14ac:dyDescent="0.3">
      <c r="D261">
        <f t="shared" ca="1" si="4"/>
        <v>0</v>
      </c>
    </row>
    <row r="262" spans="4:4" x14ac:dyDescent="0.3">
      <c r="D262">
        <f t="shared" ca="1" si="4"/>
        <v>0</v>
      </c>
    </row>
    <row r="263" spans="4:4" x14ac:dyDescent="0.3">
      <c r="D263">
        <f t="shared" ca="1" si="4"/>
        <v>0</v>
      </c>
    </row>
    <row r="264" spans="4:4" x14ac:dyDescent="0.3">
      <c r="D264">
        <f t="shared" ca="1" si="4"/>
        <v>0</v>
      </c>
    </row>
    <row r="265" spans="4:4" x14ac:dyDescent="0.3">
      <c r="D265">
        <f t="shared" ca="1" si="4"/>
        <v>0</v>
      </c>
    </row>
    <row r="266" spans="4:4" x14ac:dyDescent="0.3">
      <c r="D266">
        <f t="shared" ca="1" si="4"/>
        <v>0</v>
      </c>
    </row>
    <row r="267" spans="4:4" x14ac:dyDescent="0.3">
      <c r="D267">
        <f t="shared" ca="1" si="4"/>
        <v>0</v>
      </c>
    </row>
    <row r="268" spans="4:4" x14ac:dyDescent="0.3">
      <c r="D268">
        <f t="shared" ca="1" si="4"/>
        <v>0</v>
      </c>
    </row>
    <row r="269" spans="4:4" x14ac:dyDescent="0.3">
      <c r="D269">
        <f t="shared" ca="1" si="4"/>
        <v>0</v>
      </c>
    </row>
    <row r="270" spans="4:4" x14ac:dyDescent="0.3">
      <c r="D270">
        <f t="shared" ca="1" si="4"/>
        <v>0</v>
      </c>
    </row>
    <row r="271" spans="4:4" x14ac:dyDescent="0.3">
      <c r="D271">
        <f t="shared" ca="1" si="4"/>
        <v>0</v>
      </c>
    </row>
    <row r="272" spans="4:4" x14ac:dyDescent="0.3">
      <c r="D272">
        <f t="shared" ca="1" si="4"/>
        <v>0</v>
      </c>
    </row>
    <row r="273" spans="4:4" x14ac:dyDescent="0.3">
      <c r="D273">
        <f t="shared" ca="1" si="4"/>
        <v>0</v>
      </c>
    </row>
    <row r="274" spans="4:4" x14ac:dyDescent="0.3">
      <c r="D274">
        <f t="shared" ca="1" si="4"/>
        <v>0</v>
      </c>
    </row>
    <row r="275" spans="4:4" x14ac:dyDescent="0.3">
      <c r="D275">
        <f t="shared" ca="1" si="4"/>
        <v>0</v>
      </c>
    </row>
    <row r="276" spans="4:4" x14ac:dyDescent="0.3">
      <c r="D276">
        <f t="shared" ca="1" si="4"/>
        <v>0</v>
      </c>
    </row>
    <row r="277" spans="4:4" x14ac:dyDescent="0.3">
      <c r="D277">
        <f t="shared" ca="1" si="4"/>
        <v>0</v>
      </c>
    </row>
    <row r="278" spans="4:4" x14ac:dyDescent="0.3">
      <c r="D278">
        <f t="shared" ca="1" si="4"/>
        <v>0</v>
      </c>
    </row>
    <row r="279" spans="4:4" x14ac:dyDescent="0.3">
      <c r="D279">
        <f t="shared" ca="1" si="4"/>
        <v>0</v>
      </c>
    </row>
    <row r="280" spans="4:4" x14ac:dyDescent="0.3">
      <c r="D280">
        <f t="shared" ca="1" si="4"/>
        <v>0</v>
      </c>
    </row>
    <row r="281" spans="4:4" x14ac:dyDescent="0.3">
      <c r="D281">
        <f t="shared" ca="1" si="4"/>
        <v>0</v>
      </c>
    </row>
    <row r="282" spans="4:4" x14ac:dyDescent="0.3">
      <c r="D282">
        <f t="shared" ca="1" si="4"/>
        <v>0</v>
      </c>
    </row>
    <row r="283" spans="4:4" x14ac:dyDescent="0.3">
      <c r="D283">
        <f t="shared" ca="1" si="4"/>
        <v>0</v>
      </c>
    </row>
    <row r="284" spans="4:4" x14ac:dyDescent="0.3">
      <c r="D284">
        <f t="shared" ca="1" si="4"/>
        <v>0</v>
      </c>
    </row>
    <row r="285" spans="4:4" x14ac:dyDescent="0.3">
      <c r="D285">
        <f t="shared" ca="1" si="4"/>
        <v>0</v>
      </c>
    </row>
    <row r="286" spans="4:4" x14ac:dyDescent="0.3">
      <c r="D286">
        <f t="shared" ca="1" si="4"/>
        <v>0</v>
      </c>
    </row>
    <row r="287" spans="4:4" x14ac:dyDescent="0.3">
      <c r="D287">
        <f t="shared" ca="1" si="4"/>
        <v>0</v>
      </c>
    </row>
    <row r="288" spans="4:4" x14ac:dyDescent="0.3">
      <c r="D288">
        <f t="shared" ca="1" si="4"/>
        <v>0</v>
      </c>
    </row>
    <row r="289" spans="4:4" x14ac:dyDescent="0.3">
      <c r="D289">
        <f t="shared" ca="1" si="4"/>
        <v>0</v>
      </c>
    </row>
    <row r="290" spans="4:4" x14ac:dyDescent="0.3">
      <c r="D290">
        <f t="shared" ca="1" si="4"/>
        <v>0</v>
      </c>
    </row>
    <row r="291" spans="4:4" x14ac:dyDescent="0.3">
      <c r="D291">
        <f t="shared" ca="1" si="4"/>
        <v>0</v>
      </c>
    </row>
    <row r="292" spans="4:4" x14ac:dyDescent="0.3">
      <c r="D292">
        <f t="shared" ca="1" si="4"/>
        <v>0</v>
      </c>
    </row>
    <row r="293" spans="4:4" x14ac:dyDescent="0.3">
      <c r="D293">
        <f t="shared" ca="1" si="4"/>
        <v>0</v>
      </c>
    </row>
    <row r="294" spans="4:4" x14ac:dyDescent="0.3">
      <c r="D294">
        <f t="shared" ca="1" si="4"/>
        <v>0</v>
      </c>
    </row>
    <row r="295" spans="4:4" x14ac:dyDescent="0.3">
      <c r="D295">
        <f t="shared" ca="1" si="4"/>
        <v>0</v>
      </c>
    </row>
    <row r="296" spans="4:4" x14ac:dyDescent="0.3">
      <c r="D296">
        <f t="shared" ca="1" si="4"/>
        <v>0</v>
      </c>
    </row>
    <row r="297" spans="4:4" x14ac:dyDescent="0.3">
      <c r="D297">
        <f t="shared" ca="1" si="4"/>
        <v>0</v>
      </c>
    </row>
    <row r="298" spans="4:4" x14ac:dyDescent="0.3">
      <c r="D298">
        <f t="shared" ca="1" si="4"/>
        <v>0</v>
      </c>
    </row>
    <row r="299" spans="4:4" x14ac:dyDescent="0.3">
      <c r="D299">
        <f t="shared" ca="1" si="4"/>
        <v>0</v>
      </c>
    </row>
    <row r="300" spans="4:4" x14ac:dyDescent="0.3">
      <c r="D300">
        <f t="shared" ca="1" si="4"/>
        <v>0</v>
      </c>
    </row>
    <row r="301" spans="4:4" x14ac:dyDescent="0.3">
      <c r="D301">
        <f t="shared" ca="1" si="4"/>
        <v>0</v>
      </c>
    </row>
    <row r="302" spans="4:4" x14ac:dyDescent="0.3">
      <c r="D302">
        <f t="shared" ca="1" si="4"/>
        <v>0</v>
      </c>
    </row>
    <row r="303" spans="4:4" x14ac:dyDescent="0.3">
      <c r="D303">
        <f t="shared" ca="1" si="4"/>
        <v>0</v>
      </c>
    </row>
    <row r="304" spans="4:4" x14ac:dyDescent="0.3">
      <c r="D304">
        <f t="shared" ca="1" si="4"/>
        <v>0</v>
      </c>
    </row>
    <row r="305" spans="4:4" x14ac:dyDescent="0.3">
      <c r="D305">
        <f t="shared" ca="1" si="4"/>
        <v>0</v>
      </c>
    </row>
    <row r="306" spans="4:4" x14ac:dyDescent="0.3">
      <c r="D306">
        <f t="shared" ca="1" si="4"/>
        <v>0</v>
      </c>
    </row>
    <row r="307" spans="4:4" x14ac:dyDescent="0.3">
      <c r="D307">
        <f t="shared" ca="1" si="4"/>
        <v>0</v>
      </c>
    </row>
    <row r="308" spans="4:4" x14ac:dyDescent="0.3">
      <c r="D308">
        <f t="shared" ca="1" si="4"/>
        <v>0</v>
      </c>
    </row>
    <row r="309" spans="4:4" x14ac:dyDescent="0.3">
      <c r="D309">
        <f t="shared" ca="1" si="4"/>
        <v>0</v>
      </c>
    </row>
    <row r="310" spans="4:4" x14ac:dyDescent="0.3">
      <c r="D310">
        <f t="shared" ca="1" si="4"/>
        <v>0</v>
      </c>
    </row>
    <row r="311" spans="4:4" x14ac:dyDescent="0.3">
      <c r="D311">
        <f t="shared" ca="1" si="4"/>
        <v>0</v>
      </c>
    </row>
    <row r="312" spans="4:4" x14ac:dyDescent="0.3">
      <c r="D312">
        <f t="shared" ca="1" si="4"/>
        <v>0</v>
      </c>
    </row>
    <row r="313" spans="4:4" x14ac:dyDescent="0.3">
      <c r="D313">
        <f t="shared" ca="1" si="4"/>
        <v>0</v>
      </c>
    </row>
    <row r="314" spans="4:4" x14ac:dyDescent="0.3">
      <c r="D314">
        <f t="shared" ca="1" si="4"/>
        <v>0</v>
      </c>
    </row>
    <row r="315" spans="4:4" x14ac:dyDescent="0.3">
      <c r="D315">
        <f t="shared" ca="1" si="4"/>
        <v>0</v>
      </c>
    </row>
    <row r="316" spans="4:4" x14ac:dyDescent="0.3">
      <c r="D316">
        <f t="shared" ca="1" si="4"/>
        <v>0</v>
      </c>
    </row>
    <row r="317" spans="4:4" x14ac:dyDescent="0.3">
      <c r="D317">
        <f t="shared" ca="1" si="4"/>
        <v>0</v>
      </c>
    </row>
    <row r="318" spans="4:4" x14ac:dyDescent="0.3">
      <c r="D318">
        <f t="shared" ca="1" si="4"/>
        <v>0</v>
      </c>
    </row>
    <row r="319" spans="4:4" x14ac:dyDescent="0.3">
      <c r="D319">
        <f t="shared" ca="1" si="4"/>
        <v>0</v>
      </c>
    </row>
    <row r="320" spans="4:4" x14ac:dyDescent="0.3">
      <c r="D320">
        <f t="shared" ca="1" si="4"/>
        <v>0</v>
      </c>
    </row>
    <row r="321" spans="4:4" x14ac:dyDescent="0.3">
      <c r="D321">
        <f t="shared" ca="1" si="4"/>
        <v>0</v>
      </c>
    </row>
    <row r="322" spans="4:4" x14ac:dyDescent="0.3">
      <c r="D322">
        <f t="shared" ref="D322:D385" ca="1" si="5">IF(B322="",0,TODAY()-B322)</f>
        <v>0</v>
      </c>
    </row>
    <row r="323" spans="4:4" x14ac:dyDescent="0.3">
      <c r="D323">
        <f t="shared" ca="1" si="5"/>
        <v>0</v>
      </c>
    </row>
    <row r="324" spans="4:4" x14ac:dyDescent="0.3">
      <c r="D324">
        <f t="shared" ca="1" si="5"/>
        <v>0</v>
      </c>
    </row>
    <row r="325" spans="4:4" x14ac:dyDescent="0.3">
      <c r="D325">
        <f t="shared" ca="1" si="5"/>
        <v>0</v>
      </c>
    </row>
    <row r="326" spans="4:4" x14ac:dyDescent="0.3">
      <c r="D326">
        <f t="shared" ca="1" si="5"/>
        <v>0</v>
      </c>
    </row>
    <row r="327" spans="4:4" x14ac:dyDescent="0.3">
      <c r="D327">
        <f t="shared" ca="1" si="5"/>
        <v>0</v>
      </c>
    </row>
    <row r="328" spans="4:4" x14ac:dyDescent="0.3">
      <c r="D328">
        <f t="shared" ca="1" si="5"/>
        <v>0</v>
      </c>
    </row>
    <row r="329" spans="4:4" x14ac:dyDescent="0.3">
      <c r="D329">
        <f t="shared" ca="1" si="5"/>
        <v>0</v>
      </c>
    </row>
    <row r="330" spans="4:4" x14ac:dyDescent="0.3">
      <c r="D330">
        <f t="shared" ca="1" si="5"/>
        <v>0</v>
      </c>
    </row>
    <row r="331" spans="4:4" x14ac:dyDescent="0.3">
      <c r="D331">
        <f t="shared" ca="1" si="5"/>
        <v>0</v>
      </c>
    </row>
    <row r="332" spans="4:4" x14ac:dyDescent="0.3">
      <c r="D332">
        <f t="shared" ca="1" si="5"/>
        <v>0</v>
      </c>
    </row>
    <row r="333" spans="4:4" x14ac:dyDescent="0.3">
      <c r="D333">
        <f t="shared" ca="1" si="5"/>
        <v>0</v>
      </c>
    </row>
    <row r="334" spans="4:4" x14ac:dyDescent="0.3">
      <c r="D334">
        <f t="shared" ca="1" si="5"/>
        <v>0</v>
      </c>
    </row>
    <row r="335" spans="4:4" x14ac:dyDescent="0.3">
      <c r="D335">
        <f t="shared" ca="1" si="5"/>
        <v>0</v>
      </c>
    </row>
    <row r="336" spans="4:4" x14ac:dyDescent="0.3">
      <c r="D336">
        <f t="shared" ca="1" si="5"/>
        <v>0</v>
      </c>
    </row>
    <row r="337" spans="4:4" x14ac:dyDescent="0.3">
      <c r="D337">
        <f t="shared" ca="1" si="5"/>
        <v>0</v>
      </c>
    </row>
    <row r="338" spans="4:4" x14ac:dyDescent="0.3">
      <c r="D338">
        <f t="shared" ca="1" si="5"/>
        <v>0</v>
      </c>
    </row>
    <row r="339" spans="4:4" x14ac:dyDescent="0.3">
      <c r="D339">
        <f t="shared" ca="1" si="5"/>
        <v>0</v>
      </c>
    </row>
    <row r="340" spans="4:4" x14ac:dyDescent="0.3">
      <c r="D340">
        <f t="shared" ca="1" si="5"/>
        <v>0</v>
      </c>
    </row>
    <row r="341" spans="4:4" x14ac:dyDescent="0.3">
      <c r="D341">
        <f t="shared" ca="1" si="5"/>
        <v>0</v>
      </c>
    </row>
    <row r="342" spans="4:4" x14ac:dyDescent="0.3">
      <c r="D342">
        <f t="shared" ca="1" si="5"/>
        <v>0</v>
      </c>
    </row>
    <row r="343" spans="4:4" x14ac:dyDescent="0.3">
      <c r="D343">
        <f t="shared" ca="1" si="5"/>
        <v>0</v>
      </c>
    </row>
    <row r="344" spans="4:4" x14ac:dyDescent="0.3">
      <c r="D344">
        <f t="shared" ca="1" si="5"/>
        <v>0</v>
      </c>
    </row>
    <row r="345" spans="4:4" x14ac:dyDescent="0.3">
      <c r="D345">
        <f t="shared" ca="1" si="5"/>
        <v>0</v>
      </c>
    </row>
    <row r="346" spans="4:4" x14ac:dyDescent="0.3">
      <c r="D346">
        <f t="shared" ca="1" si="5"/>
        <v>0</v>
      </c>
    </row>
    <row r="347" spans="4:4" x14ac:dyDescent="0.3">
      <c r="D347">
        <f t="shared" ca="1" si="5"/>
        <v>0</v>
      </c>
    </row>
    <row r="348" spans="4:4" x14ac:dyDescent="0.3">
      <c r="D348">
        <f t="shared" ca="1" si="5"/>
        <v>0</v>
      </c>
    </row>
    <row r="349" spans="4:4" x14ac:dyDescent="0.3">
      <c r="D349">
        <f t="shared" ca="1" si="5"/>
        <v>0</v>
      </c>
    </row>
    <row r="350" spans="4:4" x14ac:dyDescent="0.3">
      <c r="D350">
        <f t="shared" ca="1" si="5"/>
        <v>0</v>
      </c>
    </row>
    <row r="351" spans="4:4" x14ac:dyDescent="0.3">
      <c r="D351">
        <f t="shared" ca="1" si="5"/>
        <v>0</v>
      </c>
    </row>
    <row r="352" spans="4:4" x14ac:dyDescent="0.3">
      <c r="D352">
        <f t="shared" ca="1" si="5"/>
        <v>0</v>
      </c>
    </row>
    <row r="353" spans="4:4" x14ac:dyDescent="0.3">
      <c r="D353">
        <f t="shared" ca="1" si="5"/>
        <v>0</v>
      </c>
    </row>
    <row r="354" spans="4:4" x14ac:dyDescent="0.3">
      <c r="D354">
        <f t="shared" ca="1" si="5"/>
        <v>0</v>
      </c>
    </row>
    <row r="355" spans="4:4" x14ac:dyDescent="0.3">
      <c r="D355">
        <f t="shared" ca="1" si="5"/>
        <v>0</v>
      </c>
    </row>
    <row r="356" spans="4:4" x14ac:dyDescent="0.3">
      <c r="D356">
        <f t="shared" ca="1" si="5"/>
        <v>0</v>
      </c>
    </row>
    <row r="357" spans="4:4" x14ac:dyDescent="0.3">
      <c r="D357">
        <f t="shared" ca="1" si="5"/>
        <v>0</v>
      </c>
    </row>
    <row r="358" spans="4:4" x14ac:dyDescent="0.3">
      <c r="D358">
        <f t="shared" ca="1" si="5"/>
        <v>0</v>
      </c>
    </row>
    <row r="359" spans="4:4" x14ac:dyDescent="0.3">
      <c r="D359">
        <f t="shared" ca="1" si="5"/>
        <v>0</v>
      </c>
    </row>
    <row r="360" spans="4:4" x14ac:dyDescent="0.3">
      <c r="D360">
        <f t="shared" ca="1" si="5"/>
        <v>0</v>
      </c>
    </row>
    <row r="361" spans="4:4" x14ac:dyDescent="0.3">
      <c r="D361">
        <f t="shared" ca="1" si="5"/>
        <v>0</v>
      </c>
    </row>
    <row r="362" spans="4:4" x14ac:dyDescent="0.3">
      <c r="D362">
        <f t="shared" ca="1" si="5"/>
        <v>0</v>
      </c>
    </row>
    <row r="363" spans="4:4" x14ac:dyDescent="0.3">
      <c r="D363">
        <f t="shared" ca="1" si="5"/>
        <v>0</v>
      </c>
    </row>
    <row r="364" spans="4:4" x14ac:dyDescent="0.3">
      <c r="D364">
        <f t="shared" ca="1" si="5"/>
        <v>0</v>
      </c>
    </row>
    <row r="365" spans="4:4" x14ac:dyDescent="0.3">
      <c r="D365">
        <f t="shared" ca="1" si="5"/>
        <v>0</v>
      </c>
    </row>
    <row r="366" spans="4:4" x14ac:dyDescent="0.3">
      <c r="D366">
        <f t="shared" ca="1" si="5"/>
        <v>0</v>
      </c>
    </row>
    <row r="367" spans="4:4" x14ac:dyDescent="0.3">
      <c r="D367">
        <f t="shared" ca="1" si="5"/>
        <v>0</v>
      </c>
    </row>
    <row r="368" spans="4:4" x14ac:dyDescent="0.3">
      <c r="D368">
        <f t="shared" ca="1" si="5"/>
        <v>0</v>
      </c>
    </row>
    <row r="369" spans="4:4" x14ac:dyDescent="0.3">
      <c r="D369">
        <f t="shared" ca="1" si="5"/>
        <v>0</v>
      </c>
    </row>
    <row r="370" spans="4:4" x14ac:dyDescent="0.3">
      <c r="D370">
        <f t="shared" ca="1" si="5"/>
        <v>0</v>
      </c>
    </row>
    <row r="371" spans="4:4" x14ac:dyDescent="0.3">
      <c r="D371">
        <f t="shared" ca="1" si="5"/>
        <v>0</v>
      </c>
    </row>
    <row r="372" spans="4:4" x14ac:dyDescent="0.3">
      <c r="D372">
        <f t="shared" ca="1" si="5"/>
        <v>0</v>
      </c>
    </row>
    <row r="373" spans="4:4" x14ac:dyDescent="0.3">
      <c r="D373">
        <f t="shared" ca="1" si="5"/>
        <v>0</v>
      </c>
    </row>
    <row r="374" spans="4:4" x14ac:dyDescent="0.3">
      <c r="D374">
        <f t="shared" ca="1" si="5"/>
        <v>0</v>
      </c>
    </row>
    <row r="375" spans="4:4" x14ac:dyDescent="0.3">
      <c r="D375">
        <f t="shared" ca="1" si="5"/>
        <v>0</v>
      </c>
    </row>
    <row r="376" spans="4:4" x14ac:dyDescent="0.3">
      <c r="D376">
        <f t="shared" ca="1" si="5"/>
        <v>0</v>
      </c>
    </row>
    <row r="377" spans="4:4" x14ac:dyDescent="0.3">
      <c r="D377">
        <f t="shared" ca="1" si="5"/>
        <v>0</v>
      </c>
    </row>
    <row r="378" spans="4:4" x14ac:dyDescent="0.3">
      <c r="D378">
        <f t="shared" ca="1" si="5"/>
        <v>0</v>
      </c>
    </row>
    <row r="379" spans="4:4" x14ac:dyDescent="0.3">
      <c r="D379">
        <f t="shared" ca="1" si="5"/>
        <v>0</v>
      </c>
    </row>
    <row r="380" spans="4:4" x14ac:dyDescent="0.3">
      <c r="D380">
        <f t="shared" ca="1" si="5"/>
        <v>0</v>
      </c>
    </row>
    <row r="381" spans="4:4" x14ac:dyDescent="0.3">
      <c r="D381">
        <f t="shared" ca="1" si="5"/>
        <v>0</v>
      </c>
    </row>
    <row r="382" spans="4:4" x14ac:dyDescent="0.3">
      <c r="D382">
        <f t="shared" ca="1" si="5"/>
        <v>0</v>
      </c>
    </row>
    <row r="383" spans="4:4" x14ac:dyDescent="0.3">
      <c r="D383">
        <f t="shared" ca="1" si="5"/>
        <v>0</v>
      </c>
    </row>
    <row r="384" spans="4:4" x14ac:dyDescent="0.3">
      <c r="D384">
        <f t="shared" ca="1" si="5"/>
        <v>0</v>
      </c>
    </row>
    <row r="385" spans="4:4" x14ac:dyDescent="0.3">
      <c r="D385">
        <f t="shared" ca="1" si="5"/>
        <v>0</v>
      </c>
    </row>
    <row r="386" spans="4:4" x14ac:dyDescent="0.3">
      <c r="D386">
        <f t="shared" ref="D386:D449" ca="1" si="6">IF(B386="",0,TODAY()-B386)</f>
        <v>0</v>
      </c>
    </row>
    <row r="387" spans="4:4" x14ac:dyDescent="0.3">
      <c r="D387">
        <f t="shared" ca="1" si="6"/>
        <v>0</v>
      </c>
    </row>
    <row r="388" spans="4:4" x14ac:dyDescent="0.3">
      <c r="D388">
        <f t="shared" ca="1" si="6"/>
        <v>0</v>
      </c>
    </row>
    <row r="389" spans="4:4" x14ac:dyDescent="0.3">
      <c r="D389">
        <f t="shared" ca="1" si="6"/>
        <v>0</v>
      </c>
    </row>
    <row r="390" spans="4:4" x14ac:dyDescent="0.3">
      <c r="D390">
        <f t="shared" ca="1" si="6"/>
        <v>0</v>
      </c>
    </row>
    <row r="391" spans="4:4" x14ac:dyDescent="0.3">
      <c r="D391">
        <f t="shared" ca="1" si="6"/>
        <v>0</v>
      </c>
    </row>
    <row r="392" spans="4:4" x14ac:dyDescent="0.3">
      <c r="D392">
        <f t="shared" ca="1" si="6"/>
        <v>0</v>
      </c>
    </row>
    <row r="393" spans="4:4" x14ac:dyDescent="0.3">
      <c r="D393">
        <f t="shared" ca="1" si="6"/>
        <v>0</v>
      </c>
    </row>
    <row r="394" spans="4:4" x14ac:dyDescent="0.3">
      <c r="D394">
        <f t="shared" ca="1" si="6"/>
        <v>0</v>
      </c>
    </row>
    <row r="395" spans="4:4" x14ac:dyDescent="0.3">
      <c r="D395">
        <f t="shared" ca="1" si="6"/>
        <v>0</v>
      </c>
    </row>
    <row r="396" spans="4:4" x14ac:dyDescent="0.3">
      <c r="D396">
        <f t="shared" ca="1" si="6"/>
        <v>0</v>
      </c>
    </row>
    <row r="397" spans="4:4" x14ac:dyDescent="0.3">
      <c r="D397">
        <f t="shared" ca="1" si="6"/>
        <v>0</v>
      </c>
    </row>
    <row r="398" spans="4:4" x14ac:dyDescent="0.3">
      <c r="D398">
        <f t="shared" ca="1" si="6"/>
        <v>0</v>
      </c>
    </row>
    <row r="399" spans="4:4" x14ac:dyDescent="0.3">
      <c r="D399">
        <f t="shared" ca="1" si="6"/>
        <v>0</v>
      </c>
    </row>
    <row r="400" spans="4:4" x14ac:dyDescent="0.3">
      <c r="D400">
        <f t="shared" ca="1" si="6"/>
        <v>0</v>
      </c>
    </row>
    <row r="401" spans="4:4" x14ac:dyDescent="0.3">
      <c r="D401">
        <f t="shared" ca="1" si="6"/>
        <v>0</v>
      </c>
    </row>
    <row r="402" spans="4:4" x14ac:dyDescent="0.3">
      <c r="D402">
        <f t="shared" ca="1" si="6"/>
        <v>0</v>
      </c>
    </row>
    <row r="403" spans="4:4" x14ac:dyDescent="0.3">
      <c r="D403">
        <f t="shared" ca="1" si="6"/>
        <v>0</v>
      </c>
    </row>
    <row r="404" spans="4:4" x14ac:dyDescent="0.3">
      <c r="D404">
        <f t="shared" ca="1" si="6"/>
        <v>0</v>
      </c>
    </row>
    <row r="405" spans="4:4" x14ac:dyDescent="0.3">
      <c r="D405">
        <f t="shared" ca="1" si="6"/>
        <v>0</v>
      </c>
    </row>
    <row r="406" spans="4:4" x14ac:dyDescent="0.3">
      <c r="D406">
        <f t="shared" ca="1" si="6"/>
        <v>0</v>
      </c>
    </row>
    <row r="407" spans="4:4" x14ac:dyDescent="0.3">
      <c r="D407">
        <f t="shared" ca="1" si="6"/>
        <v>0</v>
      </c>
    </row>
    <row r="408" spans="4:4" x14ac:dyDescent="0.3">
      <c r="D408">
        <f t="shared" ca="1" si="6"/>
        <v>0</v>
      </c>
    </row>
    <row r="409" spans="4:4" x14ac:dyDescent="0.3">
      <c r="D409">
        <f t="shared" ca="1" si="6"/>
        <v>0</v>
      </c>
    </row>
    <row r="410" spans="4:4" x14ac:dyDescent="0.3">
      <c r="D410">
        <f t="shared" ca="1" si="6"/>
        <v>0</v>
      </c>
    </row>
    <row r="411" spans="4:4" x14ac:dyDescent="0.3">
      <c r="D411">
        <f t="shared" ca="1" si="6"/>
        <v>0</v>
      </c>
    </row>
    <row r="412" spans="4:4" x14ac:dyDescent="0.3">
      <c r="D412">
        <f t="shared" ca="1" si="6"/>
        <v>0</v>
      </c>
    </row>
    <row r="413" spans="4:4" x14ac:dyDescent="0.3">
      <c r="D413">
        <f t="shared" ca="1" si="6"/>
        <v>0</v>
      </c>
    </row>
    <row r="414" spans="4:4" x14ac:dyDescent="0.3">
      <c r="D414">
        <f t="shared" ca="1" si="6"/>
        <v>0</v>
      </c>
    </row>
    <row r="415" spans="4:4" x14ac:dyDescent="0.3">
      <c r="D415">
        <f t="shared" ca="1" si="6"/>
        <v>0</v>
      </c>
    </row>
    <row r="416" spans="4:4" x14ac:dyDescent="0.3">
      <c r="D416">
        <f t="shared" ca="1" si="6"/>
        <v>0</v>
      </c>
    </row>
    <row r="417" spans="4:4" x14ac:dyDescent="0.3">
      <c r="D417">
        <f t="shared" ca="1" si="6"/>
        <v>0</v>
      </c>
    </row>
    <row r="418" spans="4:4" x14ac:dyDescent="0.3">
      <c r="D418">
        <f t="shared" ca="1" si="6"/>
        <v>0</v>
      </c>
    </row>
    <row r="419" spans="4:4" x14ac:dyDescent="0.3">
      <c r="D419">
        <f t="shared" ca="1" si="6"/>
        <v>0</v>
      </c>
    </row>
    <row r="420" spans="4:4" x14ac:dyDescent="0.3">
      <c r="D420">
        <f t="shared" ca="1" si="6"/>
        <v>0</v>
      </c>
    </row>
    <row r="421" spans="4:4" x14ac:dyDescent="0.3">
      <c r="D421">
        <f t="shared" ca="1" si="6"/>
        <v>0</v>
      </c>
    </row>
    <row r="422" spans="4:4" x14ac:dyDescent="0.3">
      <c r="D422">
        <f t="shared" ca="1" si="6"/>
        <v>0</v>
      </c>
    </row>
    <row r="423" spans="4:4" x14ac:dyDescent="0.3">
      <c r="D423">
        <f t="shared" ca="1" si="6"/>
        <v>0</v>
      </c>
    </row>
    <row r="424" spans="4:4" x14ac:dyDescent="0.3">
      <c r="D424">
        <f t="shared" ca="1" si="6"/>
        <v>0</v>
      </c>
    </row>
    <row r="425" spans="4:4" x14ac:dyDescent="0.3">
      <c r="D425">
        <f t="shared" ca="1" si="6"/>
        <v>0</v>
      </c>
    </row>
    <row r="426" spans="4:4" x14ac:dyDescent="0.3">
      <c r="D426">
        <f t="shared" ca="1" si="6"/>
        <v>0</v>
      </c>
    </row>
    <row r="427" spans="4:4" x14ac:dyDescent="0.3">
      <c r="D427">
        <f t="shared" ca="1" si="6"/>
        <v>0</v>
      </c>
    </row>
    <row r="428" spans="4:4" x14ac:dyDescent="0.3">
      <c r="D428">
        <f t="shared" ca="1" si="6"/>
        <v>0</v>
      </c>
    </row>
    <row r="429" spans="4:4" x14ac:dyDescent="0.3">
      <c r="D429">
        <f t="shared" ca="1" si="6"/>
        <v>0</v>
      </c>
    </row>
    <row r="430" spans="4:4" x14ac:dyDescent="0.3">
      <c r="D430">
        <f t="shared" ca="1" si="6"/>
        <v>0</v>
      </c>
    </row>
    <row r="431" spans="4:4" x14ac:dyDescent="0.3">
      <c r="D431">
        <f t="shared" ca="1" si="6"/>
        <v>0</v>
      </c>
    </row>
    <row r="432" spans="4:4" x14ac:dyDescent="0.3">
      <c r="D432">
        <f t="shared" ca="1" si="6"/>
        <v>0</v>
      </c>
    </row>
    <row r="433" spans="4:4" x14ac:dyDescent="0.3">
      <c r="D433">
        <f t="shared" ca="1" si="6"/>
        <v>0</v>
      </c>
    </row>
    <row r="434" spans="4:4" x14ac:dyDescent="0.3">
      <c r="D434">
        <f t="shared" ca="1" si="6"/>
        <v>0</v>
      </c>
    </row>
    <row r="435" spans="4:4" x14ac:dyDescent="0.3">
      <c r="D435">
        <f t="shared" ca="1" si="6"/>
        <v>0</v>
      </c>
    </row>
    <row r="436" spans="4:4" x14ac:dyDescent="0.3">
      <c r="D436">
        <f t="shared" ca="1" si="6"/>
        <v>0</v>
      </c>
    </row>
    <row r="437" spans="4:4" x14ac:dyDescent="0.3">
      <c r="D437">
        <f t="shared" ca="1" si="6"/>
        <v>0</v>
      </c>
    </row>
    <row r="438" spans="4:4" x14ac:dyDescent="0.3">
      <c r="D438">
        <f t="shared" ca="1" si="6"/>
        <v>0</v>
      </c>
    </row>
    <row r="439" spans="4:4" x14ac:dyDescent="0.3">
      <c r="D439">
        <f t="shared" ca="1" si="6"/>
        <v>0</v>
      </c>
    </row>
    <row r="440" spans="4:4" x14ac:dyDescent="0.3">
      <c r="D440">
        <f t="shared" ca="1" si="6"/>
        <v>0</v>
      </c>
    </row>
    <row r="441" spans="4:4" x14ac:dyDescent="0.3">
      <c r="D441">
        <f t="shared" ca="1" si="6"/>
        <v>0</v>
      </c>
    </row>
    <row r="442" spans="4:4" x14ac:dyDescent="0.3">
      <c r="D442">
        <f t="shared" ca="1" si="6"/>
        <v>0</v>
      </c>
    </row>
    <row r="443" spans="4:4" x14ac:dyDescent="0.3">
      <c r="D443">
        <f t="shared" ca="1" si="6"/>
        <v>0</v>
      </c>
    </row>
    <row r="444" spans="4:4" x14ac:dyDescent="0.3">
      <c r="D444">
        <f t="shared" ca="1" si="6"/>
        <v>0</v>
      </c>
    </row>
    <row r="445" spans="4:4" x14ac:dyDescent="0.3">
      <c r="D445">
        <f t="shared" ca="1" si="6"/>
        <v>0</v>
      </c>
    </row>
    <row r="446" spans="4:4" x14ac:dyDescent="0.3">
      <c r="D446">
        <f t="shared" ca="1" si="6"/>
        <v>0</v>
      </c>
    </row>
    <row r="447" spans="4:4" x14ac:dyDescent="0.3">
      <c r="D447">
        <f t="shared" ca="1" si="6"/>
        <v>0</v>
      </c>
    </row>
    <row r="448" spans="4:4" x14ac:dyDescent="0.3">
      <c r="D448">
        <f t="shared" ca="1" si="6"/>
        <v>0</v>
      </c>
    </row>
    <row r="449" spans="4:4" x14ac:dyDescent="0.3">
      <c r="D449">
        <f t="shared" ca="1" si="6"/>
        <v>0</v>
      </c>
    </row>
    <row r="450" spans="4:4" x14ac:dyDescent="0.3">
      <c r="D450">
        <f t="shared" ref="D450:D499" ca="1" si="7">IF(B450="",0,TODAY()-B450)</f>
        <v>0</v>
      </c>
    </row>
    <row r="451" spans="4:4" x14ac:dyDescent="0.3">
      <c r="D451">
        <f t="shared" ca="1" si="7"/>
        <v>0</v>
      </c>
    </row>
    <row r="452" spans="4:4" x14ac:dyDescent="0.3">
      <c r="D452">
        <f t="shared" ca="1" si="7"/>
        <v>0</v>
      </c>
    </row>
    <row r="453" spans="4:4" x14ac:dyDescent="0.3">
      <c r="D453">
        <f t="shared" ca="1" si="7"/>
        <v>0</v>
      </c>
    </row>
    <row r="454" spans="4:4" x14ac:dyDescent="0.3">
      <c r="D454">
        <f t="shared" ca="1" si="7"/>
        <v>0</v>
      </c>
    </row>
    <row r="455" spans="4:4" x14ac:dyDescent="0.3">
      <c r="D455">
        <f t="shared" ca="1" si="7"/>
        <v>0</v>
      </c>
    </row>
    <row r="456" spans="4:4" x14ac:dyDescent="0.3">
      <c r="D456">
        <f t="shared" ca="1" si="7"/>
        <v>0</v>
      </c>
    </row>
    <row r="457" spans="4:4" x14ac:dyDescent="0.3">
      <c r="D457">
        <f t="shared" ca="1" si="7"/>
        <v>0</v>
      </c>
    </row>
    <row r="458" spans="4:4" x14ac:dyDescent="0.3">
      <c r="D458">
        <f t="shared" ca="1" si="7"/>
        <v>0</v>
      </c>
    </row>
    <row r="459" spans="4:4" x14ac:dyDescent="0.3">
      <c r="D459">
        <f t="shared" ca="1" si="7"/>
        <v>0</v>
      </c>
    </row>
    <row r="460" spans="4:4" x14ac:dyDescent="0.3">
      <c r="D460">
        <f t="shared" ca="1" si="7"/>
        <v>0</v>
      </c>
    </row>
    <row r="461" spans="4:4" x14ac:dyDescent="0.3">
      <c r="D461">
        <f t="shared" ca="1" si="7"/>
        <v>0</v>
      </c>
    </row>
    <row r="462" spans="4:4" x14ac:dyDescent="0.3">
      <c r="D462">
        <f t="shared" ca="1" si="7"/>
        <v>0</v>
      </c>
    </row>
    <row r="463" spans="4:4" x14ac:dyDescent="0.3">
      <c r="D463">
        <f t="shared" ca="1" si="7"/>
        <v>0</v>
      </c>
    </row>
    <row r="464" spans="4:4" x14ac:dyDescent="0.3">
      <c r="D464">
        <f t="shared" ca="1" si="7"/>
        <v>0</v>
      </c>
    </row>
    <row r="465" spans="4:4" x14ac:dyDescent="0.3">
      <c r="D465">
        <f t="shared" ca="1" si="7"/>
        <v>0</v>
      </c>
    </row>
    <row r="466" spans="4:4" x14ac:dyDescent="0.3">
      <c r="D466">
        <f t="shared" ca="1" si="7"/>
        <v>0</v>
      </c>
    </row>
    <row r="467" spans="4:4" x14ac:dyDescent="0.3">
      <c r="D467">
        <f t="shared" ca="1" si="7"/>
        <v>0</v>
      </c>
    </row>
    <row r="468" spans="4:4" x14ac:dyDescent="0.3">
      <c r="D468">
        <f t="shared" ca="1" si="7"/>
        <v>0</v>
      </c>
    </row>
    <row r="469" spans="4:4" x14ac:dyDescent="0.3">
      <c r="D469">
        <f t="shared" ca="1" si="7"/>
        <v>0</v>
      </c>
    </row>
    <row r="470" spans="4:4" x14ac:dyDescent="0.3">
      <c r="D470">
        <f t="shared" ca="1" si="7"/>
        <v>0</v>
      </c>
    </row>
    <row r="471" spans="4:4" x14ac:dyDescent="0.3">
      <c r="D471">
        <f t="shared" ca="1" si="7"/>
        <v>0</v>
      </c>
    </row>
    <row r="472" spans="4:4" x14ac:dyDescent="0.3">
      <c r="D472">
        <f t="shared" ca="1" si="7"/>
        <v>0</v>
      </c>
    </row>
    <row r="473" spans="4:4" x14ac:dyDescent="0.3">
      <c r="D473">
        <f t="shared" ca="1" si="7"/>
        <v>0</v>
      </c>
    </row>
    <row r="474" spans="4:4" x14ac:dyDescent="0.3">
      <c r="D474">
        <f t="shared" ca="1" si="7"/>
        <v>0</v>
      </c>
    </row>
    <row r="475" spans="4:4" x14ac:dyDescent="0.3">
      <c r="D475">
        <f t="shared" ca="1" si="7"/>
        <v>0</v>
      </c>
    </row>
    <row r="476" spans="4:4" x14ac:dyDescent="0.3">
      <c r="D476">
        <f t="shared" ca="1" si="7"/>
        <v>0</v>
      </c>
    </row>
    <row r="477" spans="4:4" x14ac:dyDescent="0.3">
      <c r="D477">
        <f t="shared" ca="1" si="7"/>
        <v>0</v>
      </c>
    </row>
    <row r="478" spans="4:4" x14ac:dyDescent="0.3">
      <c r="D478">
        <f t="shared" ca="1" si="7"/>
        <v>0</v>
      </c>
    </row>
    <row r="479" spans="4:4" x14ac:dyDescent="0.3">
      <c r="D479">
        <f t="shared" ca="1" si="7"/>
        <v>0</v>
      </c>
    </row>
    <row r="480" spans="4:4" x14ac:dyDescent="0.3">
      <c r="D480">
        <f t="shared" ca="1" si="7"/>
        <v>0</v>
      </c>
    </row>
    <row r="481" spans="4:4" x14ac:dyDescent="0.3">
      <c r="D481">
        <f t="shared" ca="1" si="7"/>
        <v>0</v>
      </c>
    </row>
    <row r="482" spans="4:4" x14ac:dyDescent="0.3">
      <c r="D482">
        <f t="shared" ca="1" si="7"/>
        <v>0</v>
      </c>
    </row>
    <row r="483" spans="4:4" x14ac:dyDescent="0.3">
      <c r="D483">
        <f t="shared" ca="1" si="7"/>
        <v>0</v>
      </c>
    </row>
    <row r="484" spans="4:4" x14ac:dyDescent="0.3">
      <c r="D484">
        <f t="shared" ca="1" si="7"/>
        <v>0</v>
      </c>
    </row>
    <row r="485" spans="4:4" x14ac:dyDescent="0.3">
      <c r="D485">
        <f t="shared" ca="1" si="7"/>
        <v>0</v>
      </c>
    </row>
    <row r="486" spans="4:4" x14ac:dyDescent="0.3">
      <c r="D486">
        <f t="shared" ca="1" si="7"/>
        <v>0</v>
      </c>
    </row>
    <row r="487" spans="4:4" x14ac:dyDescent="0.3">
      <c r="D487">
        <f t="shared" ca="1" si="7"/>
        <v>0</v>
      </c>
    </row>
    <row r="488" spans="4:4" x14ac:dyDescent="0.3">
      <c r="D488">
        <f t="shared" ca="1" si="7"/>
        <v>0</v>
      </c>
    </row>
    <row r="489" spans="4:4" x14ac:dyDescent="0.3">
      <c r="D489">
        <f t="shared" ca="1" si="7"/>
        <v>0</v>
      </c>
    </row>
    <row r="490" spans="4:4" x14ac:dyDescent="0.3">
      <c r="D490">
        <f t="shared" ca="1" si="7"/>
        <v>0</v>
      </c>
    </row>
    <row r="491" spans="4:4" x14ac:dyDescent="0.3">
      <c r="D491">
        <f t="shared" ca="1" si="7"/>
        <v>0</v>
      </c>
    </row>
    <row r="492" spans="4:4" x14ac:dyDescent="0.3">
      <c r="D492">
        <f t="shared" ca="1" si="7"/>
        <v>0</v>
      </c>
    </row>
    <row r="493" spans="4:4" x14ac:dyDescent="0.3">
      <c r="D493">
        <f t="shared" ca="1" si="7"/>
        <v>0</v>
      </c>
    </row>
    <row r="494" spans="4:4" x14ac:dyDescent="0.3">
      <c r="D494">
        <f t="shared" ca="1" si="7"/>
        <v>0</v>
      </c>
    </row>
    <row r="495" spans="4:4" x14ac:dyDescent="0.3">
      <c r="D495">
        <f t="shared" ca="1" si="7"/>
        <v>0</v>
      </c>
    </row>
    <row r="496" spans="4:4" x14ac:dyDescent="0.3">
      <c r="D496">
        <f t="shared" ca="1" si="7"/>
        <v>0</v>
      </c>
    </row>
    <row r="497" spans="4:4" x14ac:dyDescent="0.3">
      <c r="D497">
        <f t="shared" ca="1" si="7"/>
        <v>0</v>
      </c>
    </row>
    <row r="498" spans="4:4" x14ac:dyDescent="0.3">
      <c r="D498">
        <f t="shared" ca="1" si="7"/>
        <v>0</v>
      </c>
    </row>
    <row r="499" spans="4:4" x14ac:dyDescent="0.3">
      <c r="D499">
        <f t="shared" ca="1" si="7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defaultRowHeight="14.4" x14ac:dyDescent="0.3"/>
  <cols>
    <col min="1" max="1" width="4.88671875" bestFit="1" customWidth="1"/>
    <col min="2" max="2" width="9.109375" bestFit="1" customWidth="1"/>
    <col min="3" max="3" width="7.88671875" bestFit="1" customWidth="1"/>
    <col min="4" max="4" width="10.33203125" bestFit="1" customWidth="1"/>
  </cols>
  <sheetData>
    <row r="1" spans="1:4" x14ac:dyDescent="0.3">
      <c r="A1" s="1" t="s">
        <v>16</v>
      </c>
      <c r="B1" s="1" t="s">
        <v>20</v>
      </c>
      <c r="C1" s="1" t="s">
        <v>28</v>
      </c>
      <c r="D1" s="1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RowHeight="14.4" x14ac:dyDescent="0.3"/>
  <cols>
    <col min="1" max="1" width="4.88671875" bestFit="1" customWidth="1"/>
    <col min="2" max="3" width="7.88671875" bestFit="1" customWidth="1"/>
    <col min="4" max="4" width="10.33203125" bestFit="1" customWidth="1"/>
  </cols>
  <sheetData>
    <row r="1" spans="1:4" x14ac:dyDescent="0.3">
      <c r="A1" s="1" t="s">
        <v>16</v>
      </c>
      <c r="B1" s="1" t="s">
        <v>17</v>
      </c>
      <c r="C1" s="1" t="s">
        <v>28</v>
      </c>
      <c r="D1" s="1" t="s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selection activeCell="H8" sqref="H8"/>
    </sheetView>
  </sheetViews>
  <sheetFormatPr defaultRowHeight="14.4" x14ac:dyDescent="0.3"/>
  <cols>
    <col min="1" max="1" width="10.33203125" bestFit="1" customWidth="1"/>
  </cols>
  <sheetData>
    <row r="1" spans="1:4" ht="21" x14ac:dyDescent="0.4">
      <c r="A1" s="2" t="s">
        <v>30</v>
      </c>
      <c r="B1" s="2"/>
      <c r="C1" s="2"/>
      <c r="D1" s="2"/>
    </row>
    <row r="3" spans="1:4" x14ac:dyDescent="0.3">
      <c r="A3" t="s">
        <v>31</v>
      </c>
      <c r="B3" s="3"/>
      <c r="C3" s="3"/>
      <c r="D3" s="3"/>
    </row>
    <row r="4" spans="1:4" x14ac:dyDescent="0.3">
      <c r="A4" t="s">
        <v>32</v>
      </c>
      <c r="B4" s="3"/>
      <c r="C4" s="3"/>
      <c r="D4" s="3"/>
    </row>
    <row r="5" spans="1:4" x14ac:dyDescent="0.3">
      <c r="A5" t="s">
        <v>33</v>
      </c>
      <c r="B5" s="3"/>
      <c r="C5" s="3"/>
      <c r="D5" s="3"/>
    </row>
    <row r="7" spans="1:4" x14ac:dyDescent="0.3">
      <c r="A7" s="1" t="s">
        <v>11</v>
      </c>
      <c r="B7" s="1" t="s">
        <v>12</v>
      </c>
      <c r="C7" s="1" t="s">
        <v>22</v>
      </c>
      <c r="D7" s="1" t="s">
        <v>34</v>
      </c>
    </row>
    <row r="10" spans="1:4" x14ac:dyDescent="0.3">
      <c r="C10" t="s">
        <v>35</v>
      </c>
      <c r="D10" t="str">
        <f ca="1">SUM(D8:D20)</f>
        <v/>
      </c>
    </row>
  </sheetData>
  <mergeCells count="4">
    <mergeCell ref="A1:D1"/>
    <mergeCell ref="B3:D3"/>
    <mergeCell ref="B4:D4"/>
    <mergeCell ref="B5:D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tabSelected="1" workbookViewId="0">
      <selection activeCell="D9" sqref="D9"/>
    </sheetView>
  </sheetViews>
  <sheetFormatPr defaultRowHeight="14.4" x14ac:dyDescent="0.3"/>
  <cols>
    <col min="1" max="1" width="17.88671875" bestFit="1" customWidth="1"/>
    <col min="2" max="2" width="5.21875" bestFit="1" customWidth="1"/>
  </cols>
  <sheetData>
    <row r="1" spans="1:2" ht="18" x14ac:dyDescent="0.35">
      <c r="A1" s="4" t="s">
        <v>36</v>
      </c>
      <c r="B1" s="4"/>
    </row>
    <row r="3" spans="1:2" x14ac:dyDescent="0.3">
      <c r="A3" t="s">
        <v>37</v>
      </c>
      <c r="B3" t="e">
        <f>SUM('Sales Entry'!H:H)</f>
        <v>#N/A</v>
      </c>
    </row>
    <row r="4" spans="1:2" x14ac:dyDescent="0.3">
      <c r="A4" t="s">
        <v>38</v>
      </c>
      <c r="B4" t="e">
        <f>SUM('Purchase Entry'!G:G)</f>
        <v>#N/A</v>
      </c>
    </row>
    <row r="5" spans="1:2" x14ac:dyDescent="0.3">
      <c r="A5" t="s">
        <v>39</v>
      </c>
      <c r="B5">
        <f>SUM(Customers!D:D)</f>
        <v>0</v>
      </c>
    </row>
    <row r="6" spans="1:2" x14ac:dyDescent="0.3">
      <c r="A6" t="s">
        <v>40</v>
      </c>
      <c r="B6" t="e">
        <f>SUM('Purchase Entry'!G:G)-SUM('Payments Made'!C:C)</f>
        <v>#N/A</v>
      </c>
    </row>
    <row r="7" spans="1:2" x14ac:dyDescent="0.3">
      <c r="A7" t="s">
        <v>41</v>
      </c>
      <c r="B7" t="e">
        <f>B3-B4</f>
        <v>#N/A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Suppliers</vt:lpstr>
      <vt:lpstr>FX Rates</vt:lpstr>
      <vt:lpstr>Inventory Master</vt:lpstr>
      <vt:lpstr>Purchase Entry</vt:lpstr>
      <vt:lpstr>Sales Entry</vt:lpstr>
      <vt:lpstr>Receivable Aging</vt:lpstr>
      <vt:lpstr>Payable Aging</vt:lpstr>
      <vt:lpstr>Payments Received</vt:lpstr>
      <vt:lpstr>Payments Made</vt:lpstr>
      <vt:lpstr>Invoice Template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Pratipal Kumar Singh</cp:lastModifiedBy>
  <dcterms:created xsi:type="dcterms:W3CDTF">2026-02-28T05:42:28Z</dcterms:created>
  <dcterms:modified xsi:type="dcterms:W3CDTF">2026-02-28T05:46:28Z</dcterms:modified>
</cp:coreProperties>
</file>