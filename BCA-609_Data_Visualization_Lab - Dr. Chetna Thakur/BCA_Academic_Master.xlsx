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"/>
    </mc:Choice>
  </mc:AlternateContent>
  <xr:revisionPtr revIDLastSave="0" documentId="13_ncr:1_{27751986-A94D-4319-8EA0-BA8608C7A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A_Master_Data" sheetId="1" r:id="rId1"/>
    <sheet name="SGPA_Summary" sheetId="2" r:id="rId2"/>
    <sheet name="Trends_Dashboard" sheetId="3" r:id="rId3"/>
    <sheet name="Sheet3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<sst xmlns="http://schemas.openxmlformats.org/spreadsheetml/2006/main" count="232" uniqueCount="111">
  <si>
    <t>Semester</t>
  </si>
  <si>
    <t>Sub Code</t>
  </si>
  <si>
    <t>Subject Name</t>
  </si>
  <si>
    <t>Credit</t>
  </si>
  <si>
    <t>Grade</t>
  </si>
  <si>
    <t>Grade Points</t>
  </si>
  <si>
    <t>SGPA</t>
  </si>
  <si>
    <t>Result Status</t>
  </si>
  <si>
    <t>BCA-101</t>
  </si>
  <si>
    <t>Programming in C</t>
  </si>
  <si>
    <t>B+</t>
  </si>
  <si>
    <t>Declared</t>
  </si>
  <si>
    <t>BCA-102</t>
  </si>
  <si>
    <t>Computer Fundamentals &amp; MS Office</t>
  </si>
  <si>
    <t>A</t>
  </si>
  <si>
    <t>BCA-103</t>
  </si>
  <si>
    <t>Digital Electronics</t>
  </si>
  <si>
    <t>BCA-104</t>
  </si>
  <si>
    <t>Introduction to Information Technology</t>
  </si>
  <si>
    <t>B</t>
  </si>
  <si>
    <t>BHUM-011</t>
  </si>
  <si>
    <t>English</t>
  </si>
  <si>
    <t>HSMC-051</t>
  </si>
  <si>
    <t>Universal Human Values</t>
  </si>
  <si>
    <t>BCA-105</t>
  </si>
  <si>
    <t>C Lab</t>
  </si>
  <si>
    <t>A+</t>
  </si>
  <si>
    <t>BCA-106</t>
  </si>
  <si>
    <t>MS Office Lab</t>
  </si>
  <si>
    <t>BCA-201</t>
  </si>
  <si>
    <t>OOP Using C++</t>
  </si>
  <si>
    <t>BCA-202</t>
  </si>
  <si>
    <t>Data Structure</t>
  </si>
  <si>
    <t>BCA-203</t>
  </si>
  <si>
    <t>System Analysis &amp; Design</t>
  </si>
  <si>
    <t>BHUM-013</t>
  </si>
  <si>
    <t>Hindi</t>
  </si>
  <si>
    <t>ENE-101</t>
  </si>
  <si>
    <t>Environmental Education</t>
  </si>
  <si>
    <t>BCA-204</t>
  </si>
  <si>
    <t>C++ Lab</t>
  </si>
  <si>
    <t>BCA-205</t>
  </si>
  <si>
    <t>Data Structure Lab</t>
  </si>
  <si>
    <t>BCA-206</t>
  </si>
  <si>
    <t>Seminar-I</t>
  </si>
  <si>
    <t>O</t>
  </si>
  <si>
    <t>SPO-001</t>
  </si>
  <si>
    <t>Sports</t>
  </si>
  <si>
    <t>BCA-301</t>
  </si>
  <si>
    <t>Database Management System</t>
  </si>
  <si>
    <t>BCA-302</t>
  </si>
  <si>
    <t>Web Designing Fundamentals</t>
  </si>
  <si>
    <t>BCA-303</t>
  </si>
  <si>
    <t>Computer System Architecture</t>
  </si>
  <si>
    <t>BCA-304</t>
  </si>
  <si>
    <t>Operating Systems</t>
  </si>
  <si>
    <t>BCA-305</t>
  </si>
  <si>
    <t>Data Communication &amp; Networking</t>
  </si>
  <si>
    <t>BCA-306</t>
  </si>
  <si>
    <t>DBMS Lab</t>
  </si>
  <si>
    <t>BCA-307</t>
  </si>
  <si>
    <t>Web Designing Lab</t>
  </si>
  <si>
    <t>BCA-308</t>
  </si>
  <si>
    <t>Project-I</t>
  </si>
  <si>
    <t>NSS/NCC</t>
  </si>
  <si>
    <t>NSS / NCC</t>
  </si>
  <si>
    <t>BCA-401</t>
  </si>
  <si>
    <t>Java Programming</t>
  </si>
  <si>
    <t>BCA-402</t>
  </si>
  <si>
    <t>Python Programming</t>
  </si>
  <si>
    <t>BCA-403</t>
  </si>
  <si>
    <t>Mathematical Foundation</t>
  </si>
  <si>
    <t>C</t>
  </si>
  <si>
    <t>BCA-404</t>
  </si>
  <si>
    <t>Software Engineering</t>
  </si>
  <si>
    <t>BCA-405</t>
  </si>
  <si>
    <t>Java Programming Lab</t>
  </si>
  <si>
    <t>BCA-406</t>
  </si>
  <si>
    <t>Python Programming Lab</t>
  </si>
  <si>
    <t>BHUM-022</t>
  </si>
  <si>
    <t>English Communication Lab</t>
  </si>
  <si>
    <t>BCIV-180</t>
  </si>
  <si>
    <t>Disaster Management</t>
  </si>
  <si>
    <t>MAN-001</t>
  </si>
  <si>
    <t>Indian Constitution</t>
  </si>
  <si>
    <t>BCA-503</t>
  </si>
  <si>
    <t>Statistical Methods</t>
  </si>
  <si>
    <t>Awaited</t>
  </si>
  <si>
    <t>BCA-506</t>
  </si>
  <si>
    <t>Project-II</t>
  </si>
  <si>
    <t>BCA-507</t>
  </si>
  <si>
    <t>Training Viva-Voce</t>
  </si>
  <si>
    <t>BCA-510</t>
  </si>
  <si>
    <t>Big Data Analysis</t>
  </si>
  <si>
    <t>BCA-511</t>
  </si>
  <si>
    <t>Big Data Analysis Lab</t>
  </si>
  <si>
    <t>BCA-512</t>
  </si>
  <si>
    <t>Data Science</t>
  </si>
  <si>
    <t>BCA-513</t>
  </si>
  <si>
    <t>Data Science Lab</t>
  </si>
  <si>
    <t>BCA-514</t>
  </si>
  <si>
    <t>Internet of Things</t>
  </si>
  <si>
    <t>BCA-519</t>
  </si>
  <si>
    <t>Data Warehousing &amp; Data Mining</t>
  </si>
  <si>
    <t>Cognitive Skills Training – I</t>
  </si>
  <si>
    <t>BHUM-003</t>
  </si>
  <si>
    <t>Entrepreneurship Development &amp; Management</t>
  </si>
  <si>
    <t>BCT-I</t>
  </si>
  <si>
    <t>Row Labels</t>
  </si>
  <si>
    <t>Grand Total</t>
  </si>
  <si>
    <t>Average of Grade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</si>
</sst>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Semester-wise SGPA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SGPA_Summary!$A$1</c:f>
              <c:strCache>
                <c:ptCount val="1"/>
                <c:pt idx="0">
                  <c:v>Semester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SGPA_Summary!$A$2:$A$6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4-4BA8-A4BE-8507326CCC19}"/>
            </c:ext>
          </c:extLst>
        </c:ser>
        <c:ser>
          <c:idx val="1"/>
          <c:order val="1"/>
          <c:tx>
            <c:strRef>
              <c:f>SGPA_Summary!$B$1</c:f>
              <c:strCache>
                <c:ptCount val="1"/>
                <c:pt idx="0">
                  <c:v>SGPA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SGPA_Summary!$B$2:$B$6</c:f>
              <c:numCache>
                <c:formatCode>General</c:formatCode>
                <c:ptCount val="5"/>
                <c:pt idx="0">
                  <c:v>7</c:v>
                </c:pt>
                <c:pt idx="1">
                  <c:v>8.0500000000000007</c:v>
                </c:pt>
                <c:pt idx="2">
                  <c:v>9.0500000000000007</c:v>
                </c:pt>
                <c:pt idx="3">
                  <c:v>7.36</c:v>
                </c:pt>
                <c:pt idx="4">
                  <c:v>7.8650000000000002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4-4BA8-A4BE-8507326C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717039"/>
        <c:axId val="1735717519"/>
      </c:lineChart>
      <c:catAx>
        <c:axId val="173571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717519"/>
        <c:crosses val="autoZero"/>
        <c:auto val="1"/>
        <c:lblAlgn val="ctr"/>
        <c:lblOffset val="100"/>
        <c:noMultiLvlLbl val="0"/>
      </c:catAx>
      <c:valAx>
        <c:axId val="17357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71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[BCA_Academic_Master.xlsx]Trends_Dashboard!PivotTable1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Trends_Dashboard!$B$18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Trends_Dashboard!$A$19:$A$65</c:f>
              <c:strCache>
                <c:ptCount val="46"/>
                <c:pt idx="0">
                  <c:v>Big Data Analysis</c:v>
                </c:pt>
                <c:pt idx="1">
                  <c:v>Big Data Analysis Lab</c:v>
                </c:pt>
                <c:pt idx="2">
                  <c:v>C Lab</c:v>
                </c:pt>
                <c:pt idx="3">
                  <c:v>C++ Lab</c:v>
                </c:pt>
                <c:pt idx="4">
                  <c:v>Cognitive Skills Training – I</c:v>
                </c:pt>
                <c:pt idx="5">
                  <c:v>Computer Fundamentals &amp; MS Office</c:v>
                </c:pt>
                <c:pt idx="6">
                  <c:v>Computer System Architecture</c:v>
                </c:pt>
                <c:pt idx="7">
                  <c:v>Data Communication &amp; Networking</c:v>
                </c:pt>
                <c:pt idx="8">
                  <c:v>Data Science</c:v>
                </c:pt>
                <c:pt idx="9">
                  <c:v>Data Science Lab</c:v>
                </c:pt>
                <c:pt idx="10">
                  <c:v>Data Structure</c:v>
                </c:pt>
                <c:pt idx="11">
                  <c:v>Data Structure Lab</c:v>
                </c:pt>
                <c:pt idx="12">
                  <c:v>Data Warehousing &amp; Data Mining</c:v>
                </c:pt>
                <c:pt idx="13">
                  <c:v>Database Management System</c:v>
                </c:pt>
                <c:pt idx="14">
                  <c:v>DBMS Lab</c:v>
                </c:pt>
                <c:pt idx="15">
                  <c:v>Digital Electronics</c:v>
                </c:pt>
                <c:pt idx="16">
                  <c:v>Disaster Management</c:v>
                </c:pt>
                <c:pt idx="17">
                  <c:v>English</c:v>
                </c:pt>
                <c:pt idx="18">
                  <c:v>English Communication Lab</c:v>
                </c:pt>
                <c:pt idx="19">
                  <c:v>Entrepreneurship Development &amp; Management</c:v>
                </c:pt>
                <c:pt idx="20">
                  <c:v>Environmental Education</c:v>
                </c:pt>
                <c:pt idx="21">
                  <c:v>Hindi</c:v>
                </c:pt>
                <c:pt idx="22">
                  <c:v>Indian Constitution</c:v>
                </c:pt>
                <c:pt idx="23">
                  <c:v>Internet of Things</c:v>
                </c:pt>
                <c:pt idx="24">
                  <c:v>Introduction to Information Technology</c:v>
                </c:pt>
                <c:pt idx="25">
                  <c:v>Java Programming</c:v>
                </c:pt>
                <c:pt idx="26">
                  <c:v>Java Programming Lab</c:v>
                </c:pt>
                <c:pt idx="27">
                  <c:v>Mathematical Foundation</c:v>
                </c:pt>
                <c:pt idx="28">
                  <c:v>MS Office Lab</c:v>
                </c:pt>
                <c:pt idx="29">
                  <c:v>NSS / NCC</c:v>
                </c:pt>
                <c:pt idx="30">
                  <c:v>OOP Using C++</c:v>
                </c:pt>
                <c:pt idx="31">
                  <c:v>Operating Systems</c:v>
                </c:pt>
                <c:pt idx="32">
                  <c:v>Programming in C</c:v>
                </c:pt>
                <c:pt idx="33">
                  <c:v>Project-I</c:v>
                </c:pt>
                <c:pt idx="34">
                  <c:v>Project-II</c:v>
                </c:pt>
                <c:pt idx="35">
                  <c:v>Python Programming</c:v>
                </c:pt>
                <c:pt idx="36">
                  <c:v>Python Programming Lab</c:v>
                </c:pt>
                <c:pt idx="37">
                  <c:v>Seminar-I</c:v>
                </c:pt>
                <c:pt idx="38">
                  <c:v>Software Engineering</c:v>
                </c:pt>
                <c:pt idx="39">
                  <c:v>Sports</c:v>
                </c:pt>
                <c:pt idx="40">
                  <c:v>Statistical Methods</c:v>
                </c:pt>
                <c:pt idx="41">
                  <c:v>System Analysis &amp; Design</c:v>
                </c:pt>
                <c:pt idx="42">
                  <c:v>Training Viva-Voce</c:v>
                </c:pt>
                <c:pt idx="43">
                  <c:v>Universal Human Values</c:v>
                </c:pt>
                <c:pt idx="44">
                  <c:v>Web Designing Fundamentals</c:v>
                </c:pt>
                <c:pt idx="45">
                  <c:v>Web Designing Lab</c:v>
                </c:pt>
              </c:strCache>
            </c:strRef>
          </c:cat>
          <c:val>
            <c:numRef>
              <c:f>Trends_Dashboard!$B$19:$B$65</c:f>
              <c:numCache>
                <c:formatCode>General</c:formatCode>
                <c:ptCount val="46"/>
                <c:pt idx="2">
                  <c:v>9</c:v>
                </c:pt>
                <c:pt idx="3">
                  <c:v>9</c:v>
                </c:pt>
                <c:pt idx="5">
                  <c:v>24</c:v>
                </c:pt>
                <c:pt idx="6">
                  <c:v>36</c:v>
                </c:pt>
                <c:pt idx="7">
                  <c:v>36</c:v>
                </c:pt>
                <c:pt idx="10">
                  <c:v>32</c:v>
                </c:pt>
                <c:pt idx="11">
                  <c:v>9</c:v>
                </c:pt>
                <c:pt idx="13">
                  <c:v>27</c:v>
                </c:pt>
                <c:pt idx="14">
                  <c:v>10</c:v>
                </c:pt>
                <c:pt idx="15">
                  <c:v>28</c:v>
                </c:pt>
                <c:pt idx="16">
                  <c:v>24</c:v>
                </c:pt>
                <c:pt idx="17">
                  <c:v>21</c:v>
                </c:pt>
                <c:pt idx="18">
                  <c:v>9</c:v>
                </c:pt>
                <c:pt idx="20">
                  <c:v>21</c:v>
                </c:pt>
                <c:pt idx="21">
                  <c:v>27</c:v>
                </c:pt>
                <c:pt idx="22">
                  <c:v>15</c:v>
                </c:pt>
                <c:pt idx="24">
                  <c:v>24</c:v>
                </c:pt>
                <c:pt idx="25">
                  <c:v>27</c:v>
                </c:pt>
                <c:pt idx="26">
                  <c:v>9</c:v>
                </c:pt>
                <c:pt idx="27">
                  <c:v>20</c:v>
                </c:pt>
                <c:pt idx="28">
                  <c:v>9</c:v>
                </c:pt>
                <c:pt idx="29">
                  <c:v>10</c:v>
                </c:pt>
                <c:pt idx="30">
                  <c:v>24</c:v>
                </c:pt>
                <c:pt idx="31">
                  <c:v>36</c:v>
                </c:pt>
                <c:pt idx="32">
                  <c:v>21</c:v>
                </c:pt>
                <c:pt idx="33">
                  <c:v>10</c:v>
                </c:pt>
                <c:pt idx="35">
                  <c:v>27</c:v>
                </c:pt>
                <c:pt idx="36">
                  <c:v>10</c:v>
                </c:pt>
                <c:pt idx="37">
                  <c:v>10</c:v>
                </c:pt>
                <c:pt idx="38">
                  <c:v>21</c:v>
                </c:pt>
                <c:pt idx="39">
                  <c:v>9</c:v>
                </c:pt>
                <c:pt idx="41">
                  <c:v>36</c:v>
                </c:pt>
                <c:pt idx="43">
                  <c:v>18</c:v>
                </c:pt>
                <c:pt idx="44">
                  <c:v>24</c:v>
                </c:pt>
                <c:pt idx="4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E-43C2-99EA-8E2A74F98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5725199"/>
        <c:axId val="1735725679"/>
      </c:barChart>
      <c:catAx>
        <c:axId val="17357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725679"/>
        <c:crosses val="autoZero"/>
        <c:auto val="1"/>
        <c:lblAlgn val="ctr"/>
        <c:lblOffset val="100"/>
        <c:noMultiLvlLbl val="0"/>
      </c:catAx>
      <c:valAx>
        <c:axId val="17357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72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59619-D10D-4DA3-BFAE-B20A9CB84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38846</xdr:colOff>
      <xdr:row>16</xdr:row>
      <xdr:rowOff>173093</xdr:rowOff>
    </xdr:from>
    <xdr:to>
      <xdr:col>15</xdr:col>
      <xdr:colOff>0</xdr:colOff>
      <xdr:row>64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7F88A-3085-3A3A-F5F2-8CA0723B9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421342</xdr:colOff>
      <xdr:row>0</xdr:row>
      <xdr:rowOff>35859</xdr:rowOff>
    </xdr:from>
    <xdr:to>
      <xdr:col>14</xdr:col>
      <xdr:colOff>600636</xdr:colOff>
      <xdr:row>15</xdr:row>
      <xdr:rowOff>161364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24A786-6DB7-B24C-693D-D54DB61C605F}"/>
            </a:ext>
          </a:extLst>
        </xdr:cNvPr>
        <xdr:cNvSpPr/>
      </xdr:nvSpPr>
      <xdr:spPr>
        <a:xfrm>
          <a:off x="7691718" y="35859"/>
          <a:ext cx="4446494" cy="28149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Best SGPA: 9.05(Sem3)</a:t>
          </a:r>
        </a:p>
        <a:p>
          <a:pPr algn="ctr"/>
          <a:r>
            <a:rPr lang="en-IN" sz="2800" b="1"/>
            <a:t>Lowest SGPA: 7.00 (Sem 1)</a:t>
          </a:r>
        </a:p>
        <a:p>
          <a:pPr algn="ctr"/>
          <a:r>
            <a:rPr lang="en-IN" sz="2800" b="1"/>
            <a:t>Predicted Sem 5 SGPA: ~7.86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pal Kumar Singh" refreshedDate="46036.425825115744" createdVersion="8" refreshedVersion="8" minRefreshableVersion="3" recordCount="46" xr:uid="{EE6F5B67-F092-4AD9-AD01-F167E01649C1}">
  <cacheSource type="worksheet">
    <worksheetSource ref="A1:H47" sheet="BCA_Master_Data"/>
  </cacheSource>
  <cacheFields count="8">
    <cacheField name="Semester" numFmtId="0">
      <sharedItems containsSemiMixedTypes="0" containsString="0" containsNumber="1" containsInteger="1" minValue="1" maxValue="5"/>
    </cacheField>
    <cacheField name="Sub Code" numFmtId="0">
      <sharedItems/>
    </cacheField>
    <cacheField name="Subject Name" numFmtId="0">
      <sharedItems count="46">
        <s v="Programming in C"/>
        <s v="Computer Fundamentals &amp; MS Office"/>
        <s v="Digital Electronics"/>
        <s v="Introduction to Information Technology"/>
        <s v="English"/>
        <s v="Universal Human Values"/>
        <s v="C Lab"/>
        <s v="MS Office Lab"/>
        <s v="OOP Using C++"/>
        <s v="Data Structure"/>
        <s v="System Analysis &amp; Design"/>
        <s v="Hindi"/>
        <s v="Environmental Education"/>
        <s v="C++ Lab"/>
        <s v="Data Structure Lab"/>
        <s v="Seminar-I"/>
        <s v="Sports"/>
        <s v="Database Management System"/>
        <s v="Web Designing Fundamentals"/>
        <s v="Computer System Architecture"/>
        <s v="Operating Systems"/>
        <s v="Data Communication &amp; Networking"/>
        <s v="DBMS Lab"/>
        <s v="Web Designing Lab"/>
        <s v="Project-I"/>
        <s v="NSS / NCC"/>
        <s v="Java Programming"/>
        <s v="Python Programming"/>
        <s v="Mathematical Foundation"/>
        <s v="Software Engineering"/>
        <s v="Java Programming Lab"/>
        <s v="Python Programming Lab"/>
        <s v="English Communication Lab"/>
        <s v="Disaster Management"/>
        <s v="Indian Constitution"/>
        <s v="Statistical Methods"/>
        <s v="Project-II"/>
        <s v="Training Viva-Voce"/>
        <s v="Big Data Analysis"/>
        <s v="Big Data Analysis Lab"/>
        <s v="Data Science"/>
        <s v="Data Science Lab"/>
        <s v="Internet of Things"/>
        <s v="Data Warehousing &amp; Data Mining"/>
        <s v="Cognitive Skills Training – I"/>
        <s v="Entrepreneurship Development &amp; Management"/>
      </sharedItems>
    </cacheField>
    <cacheField name="Credit" numFmtId="0">
      <sharedItems containsString="0" containsBlank="1" containsNumber="1" containsInteger="1" minValue="1" maxValue="4"/>
    </cacheField>
    <cacheField name="Grade" numFmtId="0">
      <sharedItems containsBlank="1"/>
    </cacheField>
    <cacheField name="Grade Points" numFmtId="0">
      <sharedItems containsString="0" containsBlank="1" containsNumber="1" containsInteger="1" minValue="9" maxValue="36"/>
    </cacheField>
    <cacheField name="SGPA" numFmtId="0">
      <sharedItems containsString="0" containsBlank="1" containsNumber="1" minValue="7" maxValue="9.0500000000000007"/>
    </cacheField>
    <cacheField name="Resul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BCA-101"/>
    <x v="0"/>
    <n v="3"/>
    <s v="B+"/>
    <n v="21"/>
    <n v="7"/>
    <s v="Declared"/>
  </r>
  <r>
    <n v="1"/>
    <s v="BCA-102"/>
    <x v="1"/>
    <n v="3"/>
    <s v="A"/>
    <n v="24"/>
    <n v="7"/>
    <s v="Declared"/>
  </r>
  <r>
    <n v="1"/>
    <s v="BCA-103"/>
    <x v="2"/>
    <n v="4"/>
    <s v="B+"/>
    <n v="28"/>
    <n v="7"/>
    <s v="Declared"/>
  </r>
  <r>
    <n v="1"/>
    <s v="BCA-104"/>
    <x v="3"/>
    <n v="4"/>
    <s v="B"/>
    <n v="24"/>
    <n v="7"/>
    <s v="Declared"/>
  </r>
  <r>
    <n v="1"/>
    <s v="BHUM-011"/>
    <x v="4"/>
    <n v="3"/>
    <s v="B+"/>
    <n v="21"/>
    <n v="7"/>
    <s v="Declared"/>
  </r>
  <r>
    <n v="1"/>
    <s v="HSMC-051"/>
    <x v="5"/>
    <n v="3"/>
    <s v="B"/>
    <n v="18"/>
    <n v="7"/>
    <s v="Declared"/>
  </r>
  <r>
    <n v="1"/>
    <s v="BCA-105"/>
    <x v="6"/>
    <n v="1"/>
    <s v="A+"/>
    <n v="9"/>
    <n v="7"/>
    <s v="Declared"/>
  </r>
  <r>
    <n v="1"/>
    <s v="BCA-106"/>
    <x v="7"/>
    <n v="1"/>
    <s v="A+"/>
    <n v="9"/>
    <n v="7"/>
    <s v="Declared"/>
  </r>
  <r>
    <n v="2"/>
    <s v="BCA-201"/>
    <x v="8"/>
    <n v="4"/>
    <s v="B"/>
    <n v="24"/>
    <n v="8.0500000000000007"/>
    <s v="Declared"/>
  </r>
  <r>
    <n v="2"/>
    <s v="BCA-202"/>
    <x v="9"/>
    <n v="4"/>
    <s v="A"/>
    <n v="32"/>
    <n v="8.0500000000000007"/>
    <s v="Declared"/>
  </r>
  <r>
    <n v="2"/>
    <s v="BCA-203"/>
    <x v="10"/>
    <n v="4"/>
    <s v="A+"/>
    <n v="36"/>
    <n v="8.0500000000000007"/>
    <s v="Declared"/>
  </r>
  <r>
    <n v="2"/>
    <s v="BHUM-013"/>
    <x v="11"/>
    <n v="3"/>
    <s v="A+"/>
    <n v="27"/>
    <n v="8.0500000000000007"/>
    <s v="Declared"/>
  </r>
  <r>
    <n v="2"/>
    <s v="ENE-101"/>
    <x v="12"/>
    <n v="3"/>
    <s v="B+"/>
    <n v="21"/>
    <n v="8.0500000000000007"/>
    <s v="Declared"/>
  </r>
  <r>
    <n v="2"/>
    <s v="BCA-204"/>
    <x v="13"/>
    <n v="1"/>
    <s v="A+"/>
    <n v="9"/>
    <n v="8.0500000000000007"/>
    <s v="Declared"/>
  </r>
  <r>
    <n v="2"/>
    <s v="BCA-205"/>
    <x v="14"/>
    <n v="1"/>
    <s v="A+"/>
    <n v="9"/>
    <n v="8.0500000000000007"/>
    <s v="Declared"/>
  </r>
  <r>
    <n v="2"/>
    <s v="BCA-206"/>
    <x v="15"/>
    <n v="1"/>
    <s v="O"/>
    <n v="10"/>
    <n v="8.0500000000000007"/>
    <s v="Declared"/>
  </r>
  <r>
    <n v="2"/>
    <s v="SPO-001"/>
    <x v="16"/>
    <n v="1"/>
    <s v="A+"/>
    <n v="9"/>
    <n v="8.0500000000000007"/>
    <s v="Declared"/>
  </r>
  <r>
    <n v="3"/>
    <s v="BCA-301"/>
    <x v="17"/>
    <n v="3"/>
    <s v="A+"/>
    <n v="27"/>
    <n v="9.0500000000000007"/>
    <s v="Declared"/>
  </r>
  <r>
    <n v="3"/>
    <s v="BCA-302"/>
    <x v="18"/>
    <n v="3"/>
    <s v="A"/>
    <n v="24"/>
    <n v="9.0500000000000007"/>
    <s v="Declared"/>
  </r>
  <r>
    <n v="3"/>
    <s v="BCA-303"/>
    <x v="19"/>
    <n v="4"/>
    <s v="A+"/>
    <n v="36"/>
    <n v="9.0500000000000007"/>
    <s v="Declared"/>
  </r>
  <r>
    <n v="3"/>
    <s v="BCA-304"/>
    <x v="20"/>
    <n v="4"/>
    <s v="A+"/>
    <n v="36"/>
    <n v="9.0500000000000007"/>
    <s v="Declared"/>
  </r>
  <r>
    <n v="3"/>
    <s v="BCA-305"/>
    <x v="21"/>
    <n v="4"/>
    <s v="A+"/>
    <n v="36"/>
    <n v="9.0500000000000007"/>
    <s v="Declared"/>
  </r>
  <r>
    <n v="3"/>
    <s v="BCA-306"/>
    <x v="22"/>
    <n v="1"/>
    <s v="O"/>
    <n v="10"/>
    <n v="9.0500000000000007"/>
    <s v="Declared"/>
  </r>
  <r>
    <n v="3"/>
    <s v="BCA-307"/>
    <x v="23"/>
    <n v="1"/>
    <s v="O"/>
    <n v="10"/>
    <n v="9.0500000000000007"/>
    <s v="Declared"/>
  </r>
  <r>
    <n v="3"/>
    <s v="BCA-308"/>
    <x v="24"/>
    <n v="1"/>
    <s v="O"/>
    <n v="10"/>
    <n v="9.0500000000000007"/>
    <s v="Declared"/>
  </r>
  <r>
    <n v="3"/>
    <s v="NSS/NCC"/>
    <x v="25"/>
    <n v="1"/>
    <s v="O"/>
    <n v="10"/>
    <n v="9.0500000000000007"/>
    <s v="Declared"/>
  </r>
  <r>
    <n v="4"/>
    <s v="BCA-401"/>
    <x v="26"/>
    <n v="3"/>
    <s v="A+"/>
    <n v="27"/>
    <n v="7.36"/>
    <s v="Declared"/>
  </r>
  <r>
    <n v="4"/>
    <s v="BCA-402"/>
    <x v="27"/>
    <n v="3"/>
    <s v="A+"/>
    <n v="27"/>
    <n v="7.36"/>
    <s v="Declared"/>
  </r>
  <r>
    <n v="4"/>
    <s v="BCA-403"/>
    <x v="28"/>
    <n v="4"/>
    <s v="C"/>
    <n v="20"/>
    <n v="7.36"/>
    <s v="Declared"/>
  </r>
  <r>
    <n v="4"/>
    <s v="BCA-404"/>
    <x v="29"/>
    <n v="3"/>
    <s v="B+"/>
    <n v="21"/>
    <n v="7.36"/>
    <s v="Declared"/>
  </r>
  <r>
    <n v="4"/>
    <s v="BCA-405"/>
    <x v="30"/>
    <n v="1"/>
    <s v="A+"/>
    <n v="9"/>
    <n v="7.36"/>
    <s v="Declared"/>
  </r>
  <r>
    <n v="4"/>
    <s v="BCA-406"/>
    <x v="31"/>
    <n v="1"/>
    <s v="O"/>
    <n v="10"/>
    <n v="7.36"/>
    <s v="Declared"/>
  </r>
  <r>
    <n v="4"/>
    <s v="BHUM-022"/>
    <x v="32"/>
    <n v="1"/>
    <s v="A+"/>
    <n v="9"/>
    <n v="7.36"/>
    <s v="Declared"/>
  </r>
  <r>
    <n v="4"/>
    <s v="BCIV-180"/>
    <x v="33"/>
    <n v="3"/>
    <s v="A"/>
    <n v="24"/>
    <n v="7.36"/>
    <s v="Declared"/>
  </r>
  <r>
    <n v="4"/>
    <s v="MAN-001"/>
    <x v="34"/>
    <n v="3"/>
    <s v="C"/>
    <n v="15"/>
    <n v="7.36"/>
    <s v="Declared"/>
  </r>
  <r>
    <n v="5"/>
    <s v="BCA-503"/>
    <x v="35"/>
    <m/>
    <m/>
    <m/>
    <m/>
    <s v="Awaited"/>
  </r>
  <r>
    <n v="5"/>
    <s v="BCA-506"/>
    <x v="36"/>
    <m/>
    <m/>
    <m/>
    <m/>
    <s v="Awaited"/>
  </r>
  <r>
    <n v="5"/>
    <s v="BCA-507"/>
    <x v="37"/>
    <m/>
    <m/>
    <m/>
    <m/>
    <s v="Awaited"/>
  </r>
  <r>
    <n v="5"/>
    <s v="BCA-510"/>
    <x v="38"/>
    <m/>
    <m/>
    <m/>
    <m/>
    <s v="Awaited"/>
  </r>
  <r>
    <n v="5"/>
    <s v="BCA-511"/>
    <x v="39"/>
    <m/>
    <m/>
    <m/>
    <m/>
    <s v="Awaited"/>
  </r>
  <r>
    <n v="5"/>
    <s v="BCA-512"/>
    <x v="40"/>
    <m/>
    <m/>
    <m/>
    <m/>
    <s v="Awaited"/>
  </r>
  <r>
    <n v="5"/>
    <s v="BCA-513"/>
    <x v="41"/>
    <m/>
    <m/>
    <m/>
    <m/>
    <s v="Awaited"/>
  </r>
  <r>
    <n v="5"/>
    <s v="BCA-514"/>
    <x v="42"/>
    <m/>
    <m/>
    <m/>
    <m/>
    <s v="Awaited"/>
  </r>
  <r>
    <n v="5"/>
    <s v="BCA-519"/>
    <x v="43"/>
    <m/>
    <m/>
    <m/>
    <m/>
    <s v="Awaited"/>
  </r>
  <r>
    <n v="5"/>
    <s v="BCT-I"/>
    <x v="44"/>
    <m/>
    <m/>
    <m/>
    <m/>
    <s v="Awaited"/>
  </r>
  <r>
    <n v="5"/>
    <s v="BHUM-003"/>
    <x v="45"/>
    <m/>
    <m/>
    <m/>
    <m/>
    <s v="Awai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65623-1A9C-4CF9-8C87-CD5BC578C62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65" firstHeaderRow="1" firstDataRow="1" firstDataCol="1"/>
  <pivotFields count="8">
    <pivotField showAll="0"/>
    <pivotField showAll="0"/>
    <pivotField axis="axisRow" showAll="0">
      <items count="47">
        <item x="38"/>
        <item x="39"/>
        <item x="6"/>
        <item x="13"/>
        <item x="44"/>
        <item x="1"/>
        <item x="19"/>
        <item x="21"/>
        <item x="40"/>
        <item x="41"/>
        <item x="9"/>
        <item x="14"/>
        <item x="43"/>
        <item x="17"/>
        <item x="22"/>
        <item x="2"/>
        <item x="33"/>
        <item x="4"/>
        <item x="32"/>
        <item x="45"/>
        <item x="12"/>
        <item x="11"/>
        <item x="34"/>
        <item x="42"/>
        <item x="3"/>
        <item x="26"/>
        <item x="30"/>
        <item x="28"/>
        <item x="7"/>
        <item x="25"/>
        <item x="8"/>
        <item x="20"/>
        <item x="0"/>
        <item x="24"/>
        <item x="36"/>
        <item x="27"/>
        <item x="31"/>
        <item x="15"/>
        <item x="29"/>
        <item x="16"/>
        <item x="35"/>
        <item x="10"/>
        <item x="37"/>
        <item x="5"/>
        <item x="18"/>
        <item x="2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Average of Grade Points" fld="5" subtotal="average" baseField="2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31" workbookViewId="0">
      <selection activeCell="K16" sqref="K16"/>
    </sheetView>
  </sheetViews>
  <sheetFormatPr defaultRowHeight="14.4" x14ac:dyDescent="0.3"/>
  <cols>
    <col min="1" max="1" width="8.77734375" bestFit="1" customWidth="1"/>
    <col min="2" max="2" width="10" bestFit="1" customWidth="1"/>
    <col min="3" max="3" width="40" bestFit="1" customWidth="1"/>
    <col min="4" max="5" width="6" bestFit="1" customWidth="1"/>
    <col min="6" max="6" width="11.6640625" bestFit="1" customWidth="1"/>
    <col min="7" max="7" width="5.5546875" bestFit="1" customWidth="1"/>
    <col min="8" max="8" width="11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>
        <v>3</v>
      </c>
      <c r="E2" s="2" t="s">
        <v>10</v>
      </c>
      <c r="F2" s="2">
        <v>21</v>
      </c>
      <c r="G2" s="2">
        <v>7</v>
      </c>
      <c r="H2" s="2" t="s">
        <v>11</v>
      </c>
    </row>
    <row r="3" spans="1:8" x14ac:dyDescent="0.3">
      <c r="A3" s="2">
        <v>1</v>
      </c>
      <c r="B3" s="2" t="s">
        <v>12</v>
      </c>
      <c r="C3" s="2" t="s">
        <v>13</v>
      </c>
      <c r="D3" s="2">
        <v>3</v>
      </c>
      <c r="E3" s="2" t="s">
        <v>14</v>
      </c>
      <c r="F3" s="2">
        <v>24</v>
      </c>
      <c r="G3" s="2">
        <v>7</v>
      </c>
      <c r="H3" s="2" t="s">
        <v>11</v>
      </c>
    </row>
    <row r="4" spans="1:8" x14ac:dyDescent="0.3">
      <c r="A4" s="2">
        <v>1</v>
      </c>
      <c r="B4" s="2" t="s">
        <v>15</v>
      </c>
      <c r="C4" s="2" t="s">
        <v>16</v>
      </c>
      <c r="D4" s="2">
        <v>4</v>
      </c>
      <c r="E4" s="2" t="s">
        <v>10</v>
      </c>
      <c r="F4" s="2">
        <v>28</v>
      </c>
      <c r="G4" s="2">
        <v>7</v>
      </c>
      <c r="H4" s="2" t="s">
        <v>11</v>
      </c>
    </row>
    <row r="5" spans="1:8" x14ac:dyDescent="0.3">
      <c r="A5" s="2">
        <v>1</v>
      </c>
      <c r="B5" s="2" t="s">
        <v>17</v>
      </c>
      <c r="C5" s="2" t="s">
        <v>18</v>
      </c>
      <c r="D5" s="2">
        <v>4</v>
      </c>
      <c r="E5" s="2" t="s">
        <v>19</v>
      </c>
      <c r="F5" s="2">
        <v>24</v>
      </c>
      <c r="G5" s="2">
        <v>7</v>
      </c>
      <c r="H5" s="2" t="s">
        <v>11</v>
      </c>
    </row>
    <row r="6" spans="1:8" x14ac:dyDescent="0.3">
      <c r="A6" s="2">
        <v>1</v>
      </c>
      <c r="B6" s="2" t="s">
        <v>20</v>
      </c>
      <c r="C6" s="2" t="s">
        <v>21</v>
      </c>
      <c r="D6" s="2">
        <v>3</v>
      </c>
      <c r="E6" s="2" t="s">
        <v>10</v>
      </c>
      <c r="F6" s="2">
        <v>21</v>
      </c>
      <c r="G6" s="2">
        <v>7</v>
      </c>
      <c r="H6" s="2" t="s">
        <v>11</v>
      </c>
    </row>
    <row r="7" spans="1:8" x14ac:dyDescent="0.3">
      <c r="A7" s="2">
        <v>1</v>
      </c>
      <c r="B7" s="2" t="s">
        <v>22</v>
      </c>
      <c r="C7" s="2" t="s">
        <v>23</v>
      </c>
      <c r="D7" s="2">
        <v>3</v>
      </c>
      <c r="E7" s="2" t="s">
        <v>19</v>
      </c>
      <c r="F7" s="2">
        <v>18</v>
      </c>
      <c r="G7" s="2">
        <v>7</v>
      </c>
      <c r="H7" s="2" t="s">
        <v>11</v>
      </c>
    </row>
    <row r="8" spans="1:8" x14ac:dyDescent="0.3">
      <c r="A8" s="2">
        <v>1</v>
      </c>
      <c r="B8" s="2" t="s">
        <v>24</v>
      </c>
      <c r="C8" s="2" t="s">
        <v>25</v>
      </c>
      <c r="D8" s="2">
        <v>1</v>
      </c>
      <c r="E8" s="2" t="s">
        <v>26</v>
      </c>
      <c r="F8" s="2">
        <v>9</v>
      </c>
      <c r="G8" s="2">
        <v>7</v>
      </c>
      <c r="H8" s="2" t="s">
        <v>11</v>
      </c>
    </row>
    <row r="9" spans="1:8" x14ac:dyDescent="0.3">
      <c r="A9" s="2">
        <v>1</v>
      </c>
      <c r="B9" s="2" t="s">
        <v>27</v>
      </c>
      <c r="C9" s="2" t="s">
        <v>28</v>
      </c>
      <c r="D9" s="2">
        <v>1</v>
      </c>
      <c r="E9" s="2" t="s">
        <v>26</v>
      </c>
      <c r="F9" s="2">
        <v>9</v>
      </c>
      <c r="G9" s="2">
        <v>7</v>
      </c>
      <c r="H9" s="2" t="s">
        <v>11</v>
      </c>
    </row>
    <row r="10" spans="1:8" x14ac:dyDescent="0.3">
      <c r="A10" s="2">
        <v>2</v>
      </c>
      <c r="B10" s="2" t="s">
        <v>29</v>
      </c>
      <c r="C10" s="2" t="s">
        <v>30</v>
      </c>
      <c r="D10" s="2">
        <v>4</v>
      </c>
      <c r="E10" s="2" t="s">
        <v>19</v>
      </c>
      <c r="F10" s="2">
        <v>24</v>
      </c>
      <c r="G10" s="2">
        <v>8.0500000000000007</v>
      </c>
      <c r="H10" s="2" t="s">
        <v>11</v>
      </c>
    </row>
    <row r="11" spans="1:8" x14ac:dyDescent="0.3">
      <c r="A11" s="2">
        <v>2</v>
      </c>
      <c r="B11" s="2" t="s">
        <v>31</v>
      </c>
      <c r="C11" s="2" t="s">
        <v>32</v>
      </c>
      <c r="D11" s="2">
        <v>4</v>
      </c>
      <c r="E11" s="2" t="s">
        <v>14</v>
      </c>
      <c r="F11" s="2">
        <v>32</v>
      </c>
      <c r="G11" s="2">
        <v>8.0500000000000007</v>
      </c>
      <c r="H11" s="2" t="s">
        <v>11</v>
      </c>
    </row>
    <row r="12" spans="1:8" x14ac:dyDescent="0.3">
      <c r="A12" s="2">
        <v>2</v>
      </c>
      <c r="B12" s="2" t="s">
        <v>33</v>
      </c>
      <c r="C12" s="2" t="s">
        <v>34</v>
      </c>
      <c r="D12" s="2">
        <v>4</v>
      </c>
      <c r="E12" s="2" t="s">
        <v>26</v>
      </c>
      <c r="F12" s="2">
        <v>36</v>
      </c>
      <c r="G12" s="2">
        <v>8.0500000000000007</v>
      </c>
      <c r="H12" s="2" t="s">
        <v>11</v>
      </c>
    </row>
    <row r="13" spans="1:8" x14ac:dyDescent="0.3">
      <c r="A13" s="2">
        <v>2</v>
      </c>
      <c r="B13" s="2" t="s">
        <v>35</v>
      </c>
      <c r="C13" s="2" t="s">
        <v>36</v>
      </c>
      <c r="D13" s="2">
        <v>3</v>
      </c>
      <c r="E13" s="2" t="s">
        <v>26</v>
      </c>
      <c r="F13" s="2">
        <v>27</v>
      </c>
      <c r="G13" s="2">
        <v>8.0500000000000007</v>
      </c>
      <c r="H13" s="2" t="s">
        <v>11</v>
      </c>
    </row>
    <row r="14" spans="1:8" x14ac:dyDescent="0.3">
      <c r="A14" s="2">
        <v>2</v>
      </c>
      <c r="B14" s="2" t="s">
        <v>37</v>
      </c>
      <c r="C14" s="2" t="s">
        <v>38</v>
      </c>
      <c r="D14" s="2">
        <v>3</v>
      </c>
      <c r="E14" s="2" t="s">
        <v>10</v>
      </c>
      <c r="F14" s="2">
        <v>21</v>
      </c>
      <c r="G14" s="2">
        <v>8.0500000000000007</v>
      </c>
      <c r="H14" s="2" t="s">
        <v>11</v>
      </c>
    </row>
    <row r="15" spans="1:8" x14ac:dyDescent="0.3">
      <c r="A15" s="2">
        <v>2</v>
      </c>
      <c r="B15" s="2" t="s">
        <v>39</v>
      </c>
      <c r="C15" s="2" t="s">
        <v>40</v>
      </c>
      <c r="D15" s="2">
        <v>1</v>
      </c>
      <c r="E15" s="2" t="s">
        <v>26</v>
      </c>
      <c r="F15" s="2">
        <v>9</v>
      </c>
      <c r="G15" s="2">
        <v>8.0500000000000007</v>
      </c>
      <c r="H15" s="2" t="s">
        <v>11</v>
      </c>
    </row>
    <row r="16" spans="1:8" x14ac:dyDescent="0.3">
      <c r="A16" s="2">
        <v>2</v>
      </c>
      <c r="B16" s="2" t="s">
        <v>41</v>
      </c>
      <c r="C16" s="2" t="s">
        <v>42</v>
      </c>
      <c r="D16" s="2">
        <v>1</v>
      </c>
      <c r="E16" s="2" t="s">
        <v>26</v>
      </c>
      <c r="F16" s="2">
        <v>9</v>
      </c>
      <c r="G16" s="2">
        <v>8.0500000000000007</v>
      </c>
      <c r="H16" s="2" t="s">
        <v>11</v>
      </c>
    </row>
    <row r="17" spans="1:8" x14ac:dyDescent="0.3">
      <c r="A17" s="2">
        <v>2</v>
      </c>
      <c r="B17" s="2" t="s">
        <v>43</v>
      </c>
      <c r="C17" s="2" t="s">
        <v>44</v>
      </c>
      <c r="D17" s="2">
        <v>1</v>
      </c>
      <c r="E17" s="2" t="s">
        <v>45</v>
      </c>
      <c r="F17" s="2">
        <v>10</v>
      </c>
      <c r="G17" s="2">
        <v>8.0500000000000007</v>
      </c>
      <c r="H17" s="2" t="s">
        <v>11</v>
      </c>
    </row>
    <row r="18" spans="1:8" x14ac:dyDescent="0.3">
      <c r="A18" s="2">
        <v>2</v>
      </c>
      <c r="B18" s="2" t="s">
        <v>46</v>
      </c>
      <c r="C18" s="2" t="s">
        <v>47</v>
      </c>
      <c r="D18" s="2">
        <v>1</v>
      </c>
      <c r="E18" s="2" t="s">
        <v>26</v>
      </c>
      <c r="F18" s="2">
        <v>9</v>
      </c>
      <c r="G18" s="2">
        <v>8.0500000000000007</v>
      </c>
      <c r="H18" s="2" t="s">
        <v>11</v>
      </c>
    </row>
    <row r="19" spans="1:8" x14ac:dyDescent="0.3">
      <c r="A19" s="2">
        <v>3</v>
      </c>
      <c r="B19" s="2" t="s">
        <v>48</v>
      </c>
      <c r="C19" s="2" t="s">
        <v>49</v>
      </c>
      <c r="D19" s="2">
        <v>3</v>
      </c>
      <c r="E19" s="2" t="s">
        <v>26</v>
      </c>
      <c r="F19" s="2">
        <v>27</v>
      </c>
      <c r="G19" s="2">
        <v>9.0500000000000007</v>
      </c>
      <c r="H19" s="2" t="s">
        <v>11</v>
      </c>
    </row>
    <row r="20" spans="1:8" x14ac:dyDescent="0.3">
      <c r="A20" s="2">
        <v>3</v>
      </c>
      <c r="B20" s="2" t="s">
        <v>50</v>
      </c>
      <c r="C20" s="2" t="s">
        <v>51</v>
      </c>
      <c r="D20" s="2">
        <v>3</v>
      </c>
      <c r="E20" s="2" t="s">
        <v>14</v>
      </c>
      <c r="F20" s="2">
        <v>24</v>
      </c>
      <c r="G20" s="2">
        <v>9.0500000000000007</v>
      </c>
      <c r="H20" s="2" t="s">
        <v>11</v>
      </c>
    </row>
    <row r="21" spans="1:8" x14ac:dyDescent="0.3">
      <c r="A21" s="2">
        <v>3</v>
      </c>
      <c r="B21" s="2" t="s">
        <v>52</v>
      </c>
      <c r="C21" s="2" t="s">
        <v>53</v>
      </c>
      <c r="D21" s="2">
        <v>4</v>
      </c>
      <c r="E21" s="2" t="s">
        <v>26</v>
      </c>
      <c r="F21" s="2">
        <v>36</v>
      </c>
      <c r="G21" s="2">
        <v>9.0500000000000007</v>
      </c>
      <c r="H21" s="2" t="s">
        <v>11</v>
      </c>
    </row>
    <row r="22" spans="1:8" x14ac:dyDescent="0.3">
      <c r="A22" s="2">
        <v>3</v>
      </c>
      <c r="B22" s="2" t="s">
        <v>54</v>
      </c>
      <c r="C22" s="2" t="s">
        <v>55</v>
      </c>
      <c r="D22" s="2">
        <v>4</v>
      </c>
      <c r="E22" s="2" t="s">
        <v>26</v>
      </c>
      <c r="F22" s="2">
        <v>36</v>
      </c>
      <c r="G22" s="2">
        <v>9.0500000000000007</v>
      </c>
      <c r="H22" s="2" t="s">
        <v>11</v>
      </c>
    </row>
    <row r="23" spans="1:8" x14ac:dyDescent="0.3">
      <c r="A23" s="2">
        <v>3</v>
      </c>
      <c r="B23" s="2" t="s">
        <v>56</v>
      </c>
      <c r="C23" s="2" t="s">
        <v>57</v>
      </c>
      <c r="D23" s="2">
        <v>4</v>
      </c>
      <c r="E23" s="2" t="s">
        <v>26</v>
      </c>
      <c r="F23" s="2">
        <v>36</v>
      </c>
      <c r="G23" s="2">
        <v>9.0500000000000007</v>
      </c>
      <c r="H23" s="2" t="s">
        <v>11</v>
      </c>
    </row>
    <row r="24" spans="1:8" x14ac:dyDescent="0.3">
      <c r="A24" s="2">
        <v>3</v>
      </c>
      <c r="B24" s="2" t="s">
        <v>58</v>
      </c>
      <c r="C24" s="2" t="s">
        <v>59</v>
      </c>
      <c r="D24" s="2">
        <v>1</v>
      </c>
      <c r="E24" s="2" t="s">
        <v>45</v>
      </c>
      <c r="F24" s="2">
        <v>10</v>
      </c>
      <c r="G24" s="2">
        <v>9.0500000000000007</v>
      </c>
      <c r="H24" s="2" t="s">
        <v>11</v>
      </c>
    </row>
    <row r="25" spans="1:8" x14ac:dyDescent="0.3">
      <c r="A25" s="2">
        <v>3</v>
      </c>
      <c r="B25" s="2" t="s">
        <v>60</v>
      </c>
      <c r="C25" s="2" t="s">
        <v>61</v>
      </c>
      <c r="D25" s="2">
        <v>1</v>
      </c>
      <c r="E25" s="2" t="s">
        <v>45</v>
      </c>
      <c r="F25" s="2">
        <v>10</v>
      </c>
      <c r="G25" s="2">
        <v>9.0500000000000007</v>
      </c>
      <c r="H25" s="2" t="s">
        <v>11</v>
      </c>
    </row>
    <row r="26" spans="1:8" x14ac:dyDescent="0.3">
      <c r="A26" s="2">
        <v>3</v>
      </c>
      <c r="B26" s="2" t="s">
        <v>62</v>
      </c>
      <c r="C26" s="2" t="s">
        <v>63</v>
      </c>
      <c r="D26" s="2">
        <v>1</v>
      </c>
      <c r="E26" s="2" t="s">
        <v>45</v>
      </c>
      <c r="F26" s="2">
        <v>10</v>
      </c>
      <c r="G26" s="2">
        <v>9.0500000000000007</v>
      </c>
      <c r="H26" s="2" t="s">
        <v>11</v>
      </c>
    </row>
    <row r="27" spans="1:8" x14ac:dyDescent="0.3">
      <c r="A27" s="2">
        <v>3</v>
      </c>
      <c r="B27" s="2" t="s">
        <v>64</v>
      </c>
      <c r="C27" s="2" t="s">
        <v>65</v>
      </c>
      <c r="D27" s="2">
        <v>1</v>
      </c>
      <c r="E27" s="2" t="s">
        <v>45</v>
      </c>
      <c r="F27" s="2">
        <v>10</v>
      </c>
      <c r="G27" s="2">
        <v>9.0500000000000007</v>
      </c>
      <c r="H27" s="2" t="s">
        <v>11</v>
      </c>
    </row>
    <row r="28" spans="1:8" x14ac:dyDescent="0.3">
      <c r="A28" s="2">
        <v>4</v>
      </c>
      <c r="B28" s="2" t="s">
        <v>66</v>
      </c>
      <c r="C28" s="2" t="s">
        <v>67</v>
      </c>
      <c r="D28" s="2">
        <v>3</v>
      </c>
      <c r="E28" s="2" t="s">
        <v>26</v>
      </c>
      <c r="F28" s="2">
        <v>27</v>
      </c>
      <c r="G28" s="2">
        <v>7.36</v>
      </c>
      <c r="H28" s="2" t="s">
        <v>11</v>
      </c>
    </row>
    <row r="29" spans="1:8" x14ac:dyDescent="0.3">
      <c r="A29" s="2">
        <v>4</v>
      </c>
      <c r="B29" s="2" t="s">
        <v>68</v>
      </c>
      <c r="C29" s="2" t="s">
        <v>69</v>
      </c>
      <c r="D29" s="2">
        <v>3</v>
      </c>
      <c r="E29" s="2" t="s">
        <v>26</v>
      </c>
      <c r="F29" s="2">
        <v>27</v>
      </c>
      <c r="G29" s="2">
        <v>7.36</v>
      </c>
      <c r="H29" s="2" t="s">
        <v>11</v>
      </c>
    </row>
    <row r="30" spans="1:8" x14ac:dyDescent="0.3">
      <c r="A30" s="2">
        <v>4</v>
      </c>
      <c r="B30" s="2" t="s">
        <v>70</v>
      </c>
      <c r="C30" s="2" t="s">
        <v>71</v>
      </c>
      <c r="D30" s="2">
        <v>4</v>
      </c>
      <c r="E30" s="2" t="s">
        <v>72</v>
      </c>
      <c r="F30" s="2">
        <v>20</v>
      </c>
      <c r="G30" s="2">
        <v>7.36</v>
      </c>
      <c r="H30" s="2" t="s">
        <v>11</v>
      </c>
    </row>
    <row r="31" spans="1:8" x14ac:dyDescent="0.3">
      <c r="A31" s="2">
        <v>4</v>
      </c>
      <c r="B31" s="2" t="s">
        <v>73</v>
      </c>
      <c r="C31" s="2" t="s">
        <v>74</v>
      </c>
      <c r="D31" s="2">
        <v>3</v>
      </c>
      <c r="E31" s="2" t="s">
        <v>10</v>
      </c>
      <c r="F31" s="2">
        <v>21</v>
      </c>
      <c r="G31" s="2">
        <v>7.36</v>
      </c>
      <c r="H31" s="2" t="s">
        <v>11</v>
      </c>
    </row>
    <row r="32" spans="1:8" x14ac:dyDescent="0.3">
      <c r="A32" s="2">
        <v>4</v>
      </c>
      <c r="B32" s="2" t="s">
        <v>75</v>
      </c>
      <c r="C32" s="2" t="s">
        <v>76</v>
      </c>
      <c r="D32" s="2">
        <v>1</v>
      </c>
      <c r="E32" s="2" t="s">
        <v>26</v>
      </c>
      <c r="F32" s="2">
        <v>9</v>
      </c>
      <c r="G32" s="2">
        <v>7.36</v>
      </c>
      <c r="H32" s="2" t="s">
        <v>11</v>
      </c>
    </row>
    <row r="33" spans="1:8" x14ac:dyDescent="0.3">
      <c r="A33" s="2">
        <v>4</v>
      </c>
      <c r="B33" s="2" t="s">
        <v>77</v>
      </c>
      <c r="C33" s="2" t="s">
        <v>78</v>
      </c>
      <c r="D33" s="2">
        <v>1</v>
      </c>
      <c r="E33" s="2" t="s">
        <v>45</v>
      </c>
      <c r="F33" s="2">
        <v>10</v>
      </c>
      <c r="G33" s="2">
        <v>7.36</v>
      </c>
      <c r="H33" s="2" t="s">
        <v>11</v>
      </c>
    </row>
    <row r="34" spans="1:8" x14ac:dyDescent="0.3">
      <c r="A34" s="2">
        <v>4</v>
      </c>
      <c r="B34" s="2" t="s">
        <v>79</v>
      </c>
      <c r="C34" s="2" t="s">
        <v>80</v>
      </c>
      <c r="D34" s="2">
        <v>1</v>
      </c>
      <c r="E34" s="2" t="s">
        <v>26</v>
      </c>
      <c r="F34" s="2">
        <v>9</v>
      </c>
      <c r="G34" s="2">
        <v>7.36</v>
      </c>
      <c r="H34" s="2" t="s">
        <v>11</v>
      </c>
    </row>
    <row r="35" spans="1:8" x14ac:dyDescent="0.3">
      <c r="A35" s="2">
        <v>4</v>
      </c>
      <c r="B35" s="2" t="s">
        <v>81</v>
      </c>
      <c r="C35" s="2" t="s">
        <v>82</v>
      </c>
      <c r="D35" s="2">
        <v>3</v>
      </c>
      <c r="E35" s="2" t="s">
        <v>14</v>
      </c>
      <c r="F35" s="2">
        <v>24</v>
      </c>
      <c r="G35" s="2">
        <v>7.36</v>
      </c>
      <c r="H35" s="2" t="s">
        <v>11</v>
      </c>
    </row>
    <row r="36" spans="1:8" x14ac:dyDescent="0.3">
      <c r="A36" s="2">
        <v>4</v>
      </c>
      <c r="B36" s="2" t="s">
        <v>83</v>
      </c>
      <c r="C36" s="2" t="s">
        <v>84</v>
      </c>
      <c r="D36" s="2">
        <v>3</v>
      </c>
      <c r="E36" s="2" t="s">
        <v>72</v>
      </c>
      <c r="F36" s="2">
        <v>15</v>
      </c>
      <c r="G36" s="2">
        <v>7.36</v>
      </c>
      <c r="H36" s="2" t="s">
        <v>11</v>
      </c>
    </row>
    <row r="37" spans="1:8" x14ac:dyDescent="0.3">
      <c r="A37" s="2">
        <v>5</v>
      </c>
      <c r="B37" s="2" t="s">
        <v>85</v>
      </c>
      <c r="C37" s="2" t="s">
        <v>86</v>
      </c>
      <c r="D37" s="2"/>
      <c r="E37" s="2"/>
      <c r="F37" s="2"/>
      <c r="G37" s="2"/>
      <c r="H37" s="2" t="s">
        <v>87</v>
      </c>
    </row>
    <row r="38" spans="1:8" x14ac:dyDescent="0.3">
      <c r="A38" s="2">
        <v>5</v>
      </c>
      <c r="B38" s="2" t="s">
        <v>88</v>
      </c>
      <c r="C38" s="2" t="s">
        <v>89</v>
      </c>
      <c r="D38" s="2"/>
      <c r="E38" s="2"/>
      <c r="F38" s="2"/>
      <c r="G38" s="2"/>
      <c r="H38" s="2" t="s">
        <v>87</v>
      </c>
    </row>
    <row r="39" spans="1:8" x14ac:dyDescent="0.3">
      <c r="A39" s="2">
        <v>5</v>
      </c>
      <c r="B39" s="2" t="s">
        <v>90</v>
      </c>
      <c r="C39" s="2" t="s">
        <v>91</v>
      </c>
      <c r="D39" s="2"/>
      <c r="E39" s="2"/>
      <c r="F39" s="2"/>
      <c r="G39" s="2"/>
      <c r="H39" s="2" t="s">
        <v>87</v>
      </c>
    </row>
    <row r="40" spans="1:8" x14ac:dyDescent="0.3">
      <c r="A40" s="2">
        <v>5</v>
      </c>
      <c r="B40" s="2" t="s">
        <v>92</v>
      </c>
      <c r="C40" s="2" t="s">
        <v>93</v>
      </c>
      <c r="D40" s="2"/>
      <c r="E40" s="2"/>
      <c r="F40" s="2"/>
      <c r="G40" s="2"/>
      <c r="H40" s="2" t="s">
        <v>87</v>
      </c>
    </row>
    <row r="41" spans="1:8" x14ac:dyDescent="0.3">
      <c r="A41" s="2">
        <v>5</v>
      </c>
      <c r="B41" s="2" t="s">
        <v>94</v>
      </c>
      <c r="C41" s="2" t="s">
        <v>95</v>
      </c>
      <c r="D41" s="2"/>
      <c r="E41" s="2"/>
      <c r="F41" s="2"/>
      <c r="G41" s="2"/>
      <c r="H41" s="2" t="s">
        <v>87</v>
      </c>
    </row>
    <row r="42" spans="1:8" x14ac:dyDescent="0.3">
      <c r="A42" s="2">
        <v>5</v>
      </c>
      <c r="B42" s="2" t="s">
        <v>96</v>
      </c>
      <c r="C42" s="2" t="s">
        <v>97</v>
      </c>
      <c r="D42" s="2"/>
      <c r="E42" s="2"/>
      <c r="F42" s="2"/>
      <c r="G42" s="2"/>
      <c r="H42" s="2" t="s">
        <v>87</v>
      </c>
    </row>
    <row r="43" spans="1:8" x14ac:dyDescent="0.3">
      <c r="A43" s="2">
        <v>5</v>
      </c>
      <c r="B43" s="2" t="s">
        <v>98</v>
      </c>
      <c r="C43" s="2" t="s">
        <v>99</v>
      </c>
      <c r="D43" s="2"/>
      <c r="E43" s="2"/>
      <c r="F43" s="2"/>
      <c r="G43" s="2"/>
      <c r="H43" s="2" t="s">
        <v>87</v>
      </c>
    </row>
    <row r="44" spans="1:8" x14ac:dyDescent="0.3">
      <c r="A44" s="2">
        <v>5</v>
      </c>
      <c r="B44" s="2" t="s">
        <v>100</v>
      </c>
      <c r="C44" s="2" t="s">
        <v>101</v>
      </c>
      <c r="D44" s="2"/>
      <c r="E44" s="2"/>
      <c r="F44" s="2"/>
      <c r="G44" s="2"/>
      <c r="H44" s="2" t="s">
        <v>87</v>
      </c>
    </row>
    <row r="45" spans="1:8" x14ac:dyDescent="0.3">
      <c r="A45" s="2">
        <v>5</v>
      </c>
      <c r="B45" s="2" t="s">
        <v>102</v>
      </c>
      <c r="C45" s="2" t="s">
        <v>103</v>
      </c>
      <c r="D45" s="2"/>
      <c r="E45" s="2"/>
      <c r="F45" s="2"/>
      <c r="G45" s="2"/>
      <c r="H45" s="2" t="s">
        <v>87</v>
      </c>
    </row>
    <row r="46" spans="1:8" x14ac:dyDescent="0.3">
      <c r="A46" s="2">
        <v>5</v>
      </c>
      <c r="B46" s="2" t="s">
        <v>107</v>
      </c>
      <c r="C46" s="2" t="s">
        <v>104</v>
      </c>
      <c r="D46" s="2"/>
      <c r="E46" s="2"/>
      <c r="F46" s="2"/>
      <c r="G46" s="2"/>
      <c r="H46" s="2" t="s">
        <v>87</v>
      </c>
    </row>
    <row r="47" spans="1:8" x14ac:dyDescent="0.3">
      <c r="A47" s="2">
        <v>5</v>
      </c>
      <c r="B47" s="2" t="s">
        <v>105</v>
      </c>
      <c r="C47" s="2" t="s">
        <v>106</v>
      </c>
      <c r="D47" s="2"/>
      <c r="E47" s="2"/>
      <c r="F47" s="2"/>
      <c r="G47" s="2"/>
      <c r="H47" s="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8BBE-B0F5-42B7-8105-FEAB9A7B558E}">
  <dimension ref="A1:B6"/>
  <sheetViews>
    <sheetView workbookViewId="0">
      <selection activeCell="D15" sqref="D15"/>
    </sheetView>
  </sheetViews>
  <sheetFormatPr defaultRowHeight="14.4" x14ac:dyDescent="0.3"/>
  <cols>
    <col min="1" max="1" width="8.77734375" bestFit="1" customWidth="1"/>
    <col min="2" max="2" width="7.10937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>
        <v>1</v>
      </c>
      <c r="B2" s="2">
        <v>7</v>
      </c>
    </row>
    <row r="3" spans="1:2" x14ac:dyDescent="0.3">
      <c r="A3" s="2">
        <v>2</v>
      </c>
      <c r="B3" s="2">
        <v>8.0500000000000007</v>
      </c>
    </row>
    <row r="4" spans="1:2" x14ac:dyDescent="0.3">
      <c r="A4" s="2">
        <v>3</v>
      </c>
      <c r="B4" s="2">
        <v>9.0500000000000007</v>
      </c>
    </row>
    <row r="5" spans="1:2" x14ac:dyDescent="0.3">
      <c r="A5" s="2">
        <v>4</v>
      </c>
      <c r="B5" s="2">
        <v>7.36</v>
      </c>
    </row>
    <row r="6" spans="1:2" x14ac:dyDescent="0.3">
      <c r="A6" s="2">
        <v>5</v>
      </c>
      <c r="B6" s="3">
        <f>AVERAGE(B2:B5)</f>
        <v>7.8650000000000002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429A-4A1C-41D3-B5B7-0C66DCA3E13F}">
  <dimension ref="A18:B65"/>
  <sheetViews>
    <sheetView topLeftCell="A28" zoomScale="85" zoomScaleNormal="85" workbookViewId="0">
      <selection activeCell="K69" sqref="K69"/>
    </sheetView>
  </sheetViews>
  <sheetFormatPr defaultRowHeight="14.4" x14ac:dyDescent="0.3"/>
  <cols>
    <col min="1" max="1" width="40" bestFit="1" customWidth="1"/>
    <col min="2" max="2" width="21.5546875" bestFit="1" customWidth="1"/>
  </cols>
  <sheetData>
    <row r="18" spans="1:2" x14ac:dyDescent="0.3">
      <c r="A18" s="4" t="s">
        <v>108</v>
      </c>
      <c r="B18" s="5" t="s">
        <v>110</v>
      </c>
    </row>
    <row r="19" spans="1:2" x14ac:dyDescent="0.3">
      <c r="A19" s="5" t="s">
        <v>93</v>
      </c>
      <c r="B19" s="6"/>
    </row>
    <row r="20" spans="1:2" x14ac:dyDescent="0.3">
      <c r="A20" s="5" t="s">
        <v>95</v>
      </c>
      <c r="B20" s="6"/>
    </row>
    <row r="21" spans="1:2" x14ac:dyDescent="0.3">
      <c r="A21" s="5" t="s">
        <v>25</v>
      </c>
      <c r="B21" s="6">
        <v>9</v>
      </c>
    </row>
    <row r="22" spans="1:2" x14ac:dyDescent="0.3">
      <c r="A22" s="5" t="s">
        <v>40</v>
      </c>
      <c r="B22" s="6">
        <v>9</v>
      </c>
    </row>
    <row r="23" spans="1:2" x14ac:dyDescent="0.3">
      <c r="A23" s="5" t="s">
        <v>104</v>
      </c>
      <c r="B23" s="6"/>
    </row>
    <row r="24" spans="1:2" x14ac:dyDescent="0.3">
      <c r="A24" s="5" t="s">
        <v>13</v>
      </c>
      <c r="B24" s="6">
        <v>24</v>
      </c>
    </row>
    <row r="25" spans="1:2" x14ac:dyDescent="0.3">
      <c r="A25" s="5" t="s">
        <v>53</v>
      </c>
      <c r="B25" s="6">
        <v>36</v>
      </c>
    </row>
    <row r="26" spans="1:2" x14ac:dyDescent="0.3">
      <c r="A26" s="5" t="s">
        <v>57</v>
      </c>
      <c r="B26" s="6">
        <v>36</v>
      </c>
    </row>
    <row r="27" spans="1:2" x14ac:dyDescent="0.3">
      <c r="A27" s="5" t="s">
        <v>97</v>
      </c>
      <c r="B27" s="6"/>
    </row>
    <row r="28" spans="1:2" x14ac:dyDescent="0.3">
      <c r="A28" s="5" t="s">
        <v>99</v>
      </c>
      <c r="B28" s="6"/>
    </row>
    <row r="29" spans="1:2" x14ac:dyDescent="0.3">
      <c r="A29" s="5" t="s">
        <v>32</v>
      </c>
      <c r="B29" s="6">
        <v>32</v>
      </c>
    </row>
    <row r="30" spans="1:2" x14ac:dyDescent="0.3">
      <c r="A30" s="5" t="s">
        <v>42</v>
      </c>
      <c r="B30" s="6">
        <v>9</v>
      </c>
    </row>
    <row r="31" spans="1:2" x14ac:dyDescent="0.3">
      <c r="A31" s="5" t="s">
        <v>103</v>
      </c>
      <c r="B31" s="6"/>
    </row>
    <row r="32" spans="1:2" x14ac:dyDescent="0.3">
      <c r="A32" s="5" t="s">
        <v>49</v>
      </c>
      <c r="B32" s="6">
        <v>27</v>
      </c>
    </row>
    <row r="33" spans="1:2" x14ac:dyDescent="0.3">
      <c r="A33" s="5" t="s">
        <v>59</v>
      </c>
      <c r="B33" s="6">
        <v>10</v>
      </c>
    </row>
    <row r="34" spans="1:2" x14ac:dyDescent="0.3">
      <c r="A34" s="5" t="s">
        <v>16</v>
      </c>
      <c r="B34" s="6">
        <v>28</v>
      </c>
    </row>
    <row r="35" spans="1:2" x14ac:dyDescent="0.3">
      <c r="A35" s="5" t="s">
        <v>82</v>
      </c>
      <c r="B35" s="6">
        <v>24</v>
      </c>
    </row>
    <row r="36" spans="1:2" x14ac:dyDescent="0.3">
      <c r="A36" s="5" t="s">
        <v>21</v>
      </c>
      <c r="B36" s="6">
        <v>21</v>
      </c>
    </row>
    <row r="37" spans="1:2" x14ac:dyDescent="0.3">
      <c r="A37" s="5" t="s">
        <v>80</v>
      </c>
      <c r="B37" s="6">
        <v>9</v>
      </c>
    </row>
    <row r="38" spans="1:2" x14ac:dyDescent="0.3">
      <c r="A38" s="5" t="s">
        <v>106</v>
      </c>
      <c r="B38" s="6"/>
    </row>
    <row r="39" spans="1:2" x14ac:dyDescent="0.3">
      <c r="A39" s="5" t="s">
        <v>38</v>
      </c>
      <c r="B39" s="6">
        <v>21</v>
      </c>
    </row>
    <row r="40" spans="1:2" x14ac:dyDescent="0.3">
      <c r="A40" s="5" t="s">
        <v>36</v>
      </c>
      <c r="B40" s="6">
        <v>27</v>
      </c>
    </row>
    <row r="41" spans="1:2" x14ac:dyDescent="0.3">
      <c r="A41" s="5" t="s">
        <v>84</v>
      </c>
      <c r="B41" s="6">
        <v>15</v>
      </c>
    </row>
    <row r="42" spans="1:2" x14ac:dyDescent="0.3">
      <c r="A42" s="5" t="s">
        <v>101</v>
      </c>
      <c r="B42" s="6"/>
    </row>
    <row r="43" spans="1:2" x14ac:dyDescent="0.3">
      <c r="A43" s="5" t="s">
        <v>18</v>
      </c>
      <c r="B43" s="6">
        <v>24</v>
      </c>
    </row>
    <row r="44" spans="1:2" x14ac:dyDescent="0.3">
      <c r="A44" s="5" t="s">
        <v>67</v>
      </c>
      <c r="B44" s="6">
        <v>27</v>
      </c>
    </row>
    <row r="45" spans="1:2" x14ac:dyDescent="0.3">
      <c r="A45" s="5" t="s">
        <v>76</v>
      </c>
      <c r="B45" s="6">
        <v>9</v>
      </c>
    </row>
    <row r="46" spans="1:2" x14ac:dyDescent="0.3">
      <c r="A46" s="5" t="s">
        <v>71</v>
      </c>
      <c r="B46" s="6">
        <v>20</v>
      </c>
    </row>
    <row r="47" spans="1:2" x14ac:dyDescent="0.3">
      <c r="A47" s="5" t="s">
        <v>28</v>
      </c>
      <c r="B47" s="6">
        <v>9</v>
      </c>
    </row>
    <row r="48" spans="1:2" x14ac:dyDescent="0.3">
      <c r="A48" s="5" t="s">
        <v>65</v>
      </c>
      <c r="B48" s="6">
        <v>10</v>
      </c>
    </row>
    <row r="49" spans="1:2" x14ac:dyDescent="0.3">
      <c r="A49" s="5" t="s">
        <v>30</v>
      </c>
      <c r="B49" s="6">
        <v>24</v>
      </c>
    </row>
    <row r="50" spans="1:2" x14ac:dyDescent="0.3">
      <c r="A50" s="5" t="s">
        <v>55</v>
      </c>
      <c r="B50" s="6">
        <v>36</v>
      </c>
    </row>
    <row r="51" spans="1:2" x14ac:dyDescent="0.3">
      <c r="A51" s="5" t="s">
        <v>9</v>
      </c>
      <c r="B51" s="6">
        <v>21</v>
      </c>
    </row>
    <row r="52" spans="1:2" x14ac:dyDescent="0.3">
      <c r="A52" s="5" t="s">
        <v>63</v>
      </c>
      <c r="B52" s="6">
        <v>10</v>
      </c>
    </row>
    <row r="53" spans="1:2" x14ac:dyDescent="0.3">
      <c r="A53" s="5" t="s">
        <v>89</v>
      </c>
      <c r="B53" s="6"/>
    </row>
    <row r="54" spans="1:2" x14ac:dyDescent="0.3">
      <c r="A54" s="5" t="s">
        <v>69</v>
      </c>
      <c r="B54" s="6">
        <v>27</v>
      </c>
    </row>
    <row r="55" spans="1:2" x14ac:dyDescent="0.3">
      <c r="A55" s="5" t="s">
        <v>78</v>
      </c>
      <c r="B55" s="6">
        <v>10</v>
      </c>
    </row>
    <row r="56" spans="1:2" x14ac:dyDescent="0.3">
      <c r="A56" s="5" t="s">
        <v>44</v>
      </c>
      <c r="B56" s="6">
        <v>10</v>
      </c>
    </row>
    <row r="57" spans="1:2" x14ac:dyDescent="0.3">
      <c r="A57" s="5" t="s">
        <v>74</v>
      </c>
      <c r="B57" s="6">
        <v>21</v>
      </c>
    </row>
    <row r="58" spans="1:2" x14ac:dyDescent="0.3">
      <c r="A58" s="5" t="s">
        <v>47</v>
      </c>
      <c r="B58" s="6">
        <v>9</v>
      </c>
    </row>
    <row r="59" spans="1:2" x14ac:dyDescent="0.3">
      <c r="A59" s="5" t="s">
        <v>86</v>
      </c>
      <c r="B59" s="6"/>
    </row>
    <row r="60" spans="1:2" x14ac:dyDescent="0.3">
      <c r="A60" s="5" t="s">
        <v>34</v>
      </c>
      <c r="B60" s="6">
        <v>36</v>
      </c>
    </row>
    <row r="61" spans="1:2" x14ac:dyDescent="0.3">
      <c r="A61" s="5" t="s">
        <v>91</v>
      </c>
      <c r="B61" s="6"/>
    </row>
    <row r="62" spans="1:2" x14ac:dyDescent="0.3">
      <c r="A62" s="5" t="s">
        <v>23</v>
      </c>
      <c r="B62" s="6">
        <v>18</v>
      </c>
    </row>
    <row r="63" spans="1:2" x14ac:dyDescent="0.3">
      <c r="A63" s="5" t="s">
        <v>51</v>
      </c>
      <c r="B63" s="6">
        <v>24</v>
      </c>
    </row>
    <row r="64" spans="1:2" x14ac:dyDescent="0.3">
      <c r="A64" s="5" t="s">
        <v>61</v>
      </c>
      <c r="B64" s="6">
        <v>10</v>
      </c>
    </row>
    <row r="65" spans="1:2" x14ac:dyDescent="0.3">
      <c r="A65" s="5" t="s">
        <v>109</v>
      </c>
      <c r="B65" s="6">
        <v>19.771428571428572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5599-6FD8-4717-9B5A-36E8D51905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BCA_Master_Data</vt:lpstr>
      <vt:lpstr>SGPA_Summary</vt:lpstr>
      <vt:lpstr>Trends_Dashboard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2015-06-05T18:17:20Z</dcterms:created>
  <dcterms:modified xsi:type="dcterms:W3CDTF">2026-01-14T04:50:05Z</dcterms:modified>
</cp:coreProperties>
</file>