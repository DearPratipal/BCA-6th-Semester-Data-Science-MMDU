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Desktop File\BCA 6th 'DS2'\A+Time-Table New (Course Criculam) - 6th Sem\"/>
    </mc:Choice>
  </mc:AlternateContent>
  <xr:revisionPtr revIDLastSave="0" documentId="13_ncr:1_{E450E699-CD47-4F91-9E2B-34B907B8151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CA-2023-2026" sheetId="2" r:id="rId1"/>
    <sheet name="V-Lookup" sheetId="3" r:id="rId2"/>
    <sheet name="BCA-2023-UPDATE" sheetId="5" r:id="rId3"/>
    <sheet name="TOP Student" sheetId="4" r:id="rId4"/>
  </sheets>
  <definedNames>
    <definedName name="_xlnm._FilterDatabase" localSheetId="0" hidden="1">'BCA-2023-2026'!$P$1:$P$641</definedName>
    <definedName name="_xlnm._FilterDatabase" localSheetId="2" hidden="1">'BCA-2023-UPDATE'!$P$1:$P$631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C5" i="3"/>
  <c r="C8" i="3"/>
  <c r="S631" i="5"/>
  <c r="S630" i="5"/>
  <c r="S629" i="5"/>
  <c r="S628" i="5"/>
  <c r="S627" i="5"/>
  <c r="S626" i="5"/>
  <c r="S625" i="5"/>
  <c r="S624" i="5"/>
  <c r="S623" i="5"/>
  <c r="S622" i="5"/>
  <c r="S621" i="5"/>
  <c r="S620" i="5"/>
  <c r="S619" i="5"/>
  <c r="S618" i="5"/>
  <c r="S617" i="5"/>
  <c r="S616" i="5"/>
  <c r="S615" i="5"/>
  <c r="S614" i="5"/>
  <c r="S613" i="5"/>
  <c r="S612" i="5"/>
  <c r="S611" i="5"/>
  <c r="S610" i="5"/>
  <c r="S609" i="5"/>
  <c r="S608" i="5"/>
  <c r="S607" i="5"/>
  <c r="S606" i="5"/>
  <c r="S605" i="5"/>
  <c r="S604" i="5"/>
  <c r="S603" i="5"/>
  <c r="S602" i="5"/>
  <c r="S601" i="5"/>
  <c r="S600" i="5"/>
  <c r="S599" i="5"/>
  <c r="S598" i="5"/>
  <c r="S597" i="5"/>
  <c r="S596" i="5"/>
  <c r="S595" i="5"/>
  <c r="S594" i="5"/>
  <c r="S593" i="5"/>
  <c r="S592" i="5"/>
  <c r="S591" i="5"/>
  <c r="S590" i="5"/>
  <c r="S589" i="5"/>
  <c r="S588" i="5"/>
  <c r="S587" i="5"/>
  <c r="S586" i="5"/>
  <c r="S585" i="5"/>
  <c r="S584" i="5"/>
  <c r="S583" i="5"/>
  <c r="S582" i="5"/>
  <c r="S581" i="5"/>
  <c r="S580" i="5"/>
  <c r="S579" i="5"/>
  <c r="S578" i="5"/>
  <c r="S577" i="5"/>
  <c r="S576" i="5"/>
  <c r="S575" i="5"/>
  <c r="S574" i="5"/>
  <c r="S573" i="5"/>
  <c r="S572" i="5"/>
  <c r="S571" i="5"/>
  <c r="S570" i="5"/>
  <c r="S569" i="5"/>
  <c r="S568" i="5"/>
  <c r="S567" i="5"/>
  <c r="S566" i="5"/>
  <c r="S565" i="5"/>
  <c r="S564" i="5"/>
  <c r="S563" i="5"/>
  <c r="S562" i="5"/>
  <c r="S561" i="5"/>
  <c r="S560" i="5"/>
  <c r="S559" i="5"/>
  <c r="S558" i="5"/>
  <c r="S557" i="5"/>
  <c r="S556" i="5"/>
  <c r="S555" i="5"/>
  <c r="S554" i="5"/>
  <c r="S553" i="5"/>
  <c r="S552" i="5"/>
  <c r="S551" i="5"/>
  <c r="S550" i="5"/>
  <c r="S549" i="5"/>
  <c r="S548" i="5"/>
  <c r="S547" i="5"/>
  <c r="S546" i="5"/>
  <c r="S545" i="5"/>
  <c r="S544" i="5"/>
  <c r="S543" i="5"/>
  <c r="S542" i="5"/>
  <c r="S541" i="5"/>
  <c r="S540" i="5"/>
  <c r="S539" i="5"/>
  <c r="S538" i="5"/>
  <c r="S537" i="5"/>
  <c r="S536" i="5"/>
  <c r="S535" i="5"/>
  <c r="S534" i="5"/>
  <c r="S533" i="5"/>
  <c r="S532" i="5"/>
  <c r="S531" i="5"/>
  <c r="S530" i="5"/>
  <c r="S529" i="5"/>
  <c r="S528" i="5"/>
  <c r="S527" i="5"/>
  <c r="S526" i="5"/>
  <c r="S525" i="5"/>
  <c r="S524" i="5"/>
  <c r="S523" i="5"/>
  <c r="S522" i="5"/>
  <c r="S521" i="5"/>
  <c r="S520" i="5"/>
  <c r="S519" i="5"/>
  <c r="S518" i="5"/>
  <c r="S517" i="5"/>
  <c r="S516" i="5"/>
  <c r="S515" i="5"/>
  <c r="S514" i="5"/>
  <c r="S513" i="5"/>
  <c r="S512" i="5"/>
  <c r="S511" i="5"/>
  <c r="S510" i="5"/>
  <c r="S509" i="5"/>
  <c r="S508" i="5"/>
  <c r="S507" i="5"/>
  <c r="S506" i="5"/>
  <c r="S505" i="5"/>
  <c r="S504" i="5"/>
  <c r="S503" i="5"/>
  <c r="S502" i="5"/>
  <c r="S501" i="5"/>
  <c r="S500" i="5"/>
  <c r="S499" i="5"/>
  <c r="S498" i="5"/>
  <c r="S497" i="5"/>
  <c r="S496" i="5"/>
  <c r="S495" i="5"/>
  <c r="S494" i="5"/>
  <c r="S493" i="5"/>
  <c r="S492" i="5"/>
  <c r="S491" i="5"/>
  <c r="S490" i="5"/>
  <c r="S489" i="5"/>
  <c r="S488" i="5"/>
  <c r="S487" i="5"/>
  <c r="S486" i="5"/>
  <c r="S485" i="5"/>
  <c r="S484" i="5"/>
  <c r="S483" i="5"/>
  <c r="S482" i="5"/>
  <c r="S481" i="5"/>
  <c r="S480" i="5"/>
  <c r="S479" i="5"/>
  <c r="S478" i="5"/>
  <c r="S477" i="5"/>
  <c r="S476" i="5"/>
  <c r="S475" i="5"/>
  <c r="S474" i="5"/>
  <c r="S473" i="5"/>
  <c r="S472" i="5"/>
  <c r="S471" i="5"/>
  <c r="S470" i="5"/>
  <c r="S469" i="5"/>
  <c r="S468" i="5"/>
  <c r="S467" i="5"/>
  <c r="S466" i="5"/>
  <c r="S465" i="5"/>
  <c r="S464" i="5"/>
  <c r="S463" i="5"/>
  <c r="S462" i="5"/>
  <c r="S461" i="5"/>
  <c r="S460" i="5"/>
  <c r="S459" i="5"/>
  <c r="S458" i="5"/>
  <c r="S457" i="5"/>
  <c r="S456" i="5"/>
  <c r="S455" i="5"/>
  <c r="S454" i="5"/>
  <c r="S453" i="5"/>
  <c r="S452" i="5"/>
  <c r="S451" i="5"/>
  <c r="S450" i="5"/>
  <c r="S449" i="5"/>
  <c r="S448" i="5"/>
  <c r="S447" i="5"/>
  <c r="S446" i="5"/>
  <c r="S445" i="5"/>
  <c r="S444" i="5"/>
  <c r="S443" i="5"/>
  <c r="S442" i="5"/>
  <c r="S441" i="5"/>
  <c r="S440" i="5"/>
  <c r="S439" i="5"/>
  <c r="S438" i="5"/>
  <c r="S437" i="5"/>
  <c r="S436" i="5"/>
  <c r="S435" i="5"/>
  <c r="S434" i="5"/>
  <c r="S433" i="5"/>
  <c r="S432" i="5"/>
  <c r="S431" i="5"/>
  <c r="S430" i="5"/>
  <c r="S429" i="5"/>
  <c r="S428" i="5"/>
  <c r="S427" i="5"/>
  <c r="S426" i="5"/>
  <c r="S425" i="5"/>
  <c r="S424" i="5"/>
  <c r="S423" i="5"/>
  <c r="S422" i="5"/>
  <c r="S421" i="5"/>
  <c r="S420" i="5"/>
  <c r="S419" i="5"/>
  <c r="S418" i="5"/>
  <c r="S417" i="5"/>
  <c r="S416" i="5"/>
  <c r="S415" i="5"/>
  <c r="S414" i="5"/>
  <c r="S413" i="5"/>
  <c r="S412" i="5"/>
  <c r="S411" i="5"/>
  <c r="S410" i="5"/>
  <c r="S409" i="5"/>
  <c r="S408" i="5"/>
  <c r="S407" i="5"/>
  <c r="S406" i="5"/>
  <c r="S405" i="5"/>
  <c r="S404" i="5"/>
  <c r="S403" i="5"/>
  <c r="S402" i="5"/>
  <c r="S401" i="5"/>
  <c r="S400" i="5"/>
  <c r="S399" i="5"/>
  <c r="S398" i="5"/>
  <c r="S397" i="5"/>
  <c r="S396" i="5"/>
  <c r="S395" i="5"/>
  <c r="S394" i="5"/>
  <c r="S393" i="5"/>
  <c r="S392" i="5"/>
  <c r="S391" i="5"/>
  <c r="S390" i="5"/>
  <c r="S389" i="5"/>
  <c r="S388" i="5"/>
  <c r="S387" i="5"/>
  <c r="S386" i="5"/>
  <c r="S385" i="5"/>
  <c r="S384" i="5"/>
  <c r="S383" i="5"/>
  <c r="S382" i="5"/>
  <c r="S381" i="5"/>
  <c r="S380" i="5"/>
  <c r="S379" i="5"/>
  <c r="S378" i="5"/>
  <c r="S377" i="5"/>
  <c r="S376" i="5"/>
  <c r="S375" i="5"/>
  <c r="S374" i="5"/>
  <c r="S373" i="5"/>
  <c r="S372" i="5"/>
  <c r="S371" i="5"/>
  <c r="S370" i="5"/>
  <c r="S369" i="5"/>
  <c r="S368" i="5"/>
  <c r="S367" i="5"/>
  <c r="S366" i="5"/>
  <c r="S365" i="5"/>
  <c r="S364" i="5"/>
  <c r="S363" i="5"/>
  <c r="S362" i="5"/>
  <c r="S361" i="5"/>
  <c r="S360" i="5"/>
  <c r="S359" i="5"/>
  <c r="S358" i="5"/>
  <c r="S357" i="5"/>
  <c r="S356" i="5"/>
  <c r="S355" i="5"/>
  <c r="S354" i="5"/>
  <c r="S353" i="5"/>
  <c r="S352" i="5"/>
  <c r="S351" i="5"/>
  <c r="S350" i="5"/>
  <c r="S349" i="5"/>
  <c r="S348" i="5"/>
  <c r="S347" i="5"/>
  <c r="S346" i="5"/>
  <c r="S345" i="5"/>
  <c r="S344" i="5"/>
  <c r="S343" i="5"/>
  <c r="S342" i="5"/>
  <c r="S341" i="5"/>
  <c r="S340" i="5"/>
  <c r="S339" i="5"/>
  <c r="S338" i="5"/>
  <c r="S337" i="5"/>
  <c r="S336" i="5"/>
  <c r="S335" i="5"/>
  <c r="S334" i="5"/>
  <c r="S333" i="5"/>
  <c r="S332" i="5"/>
  <c r="S331" i="5"/>
  <c r="S330" i="5"/>
  <c r="S329" i="5"/>
  <c r="S328" i="5"/>
  <c r="S327" i="5"/>
  <c r="S326" i="5"/>
  <c r="S325" i="5"/>
  <c r="S324" i="5"/>
  <c r="S323" i="5"/>
  <c r="S322" i="5"/>
  <c r="S321" i="5"/>
  <c r="S320" i="5"/>
  <c r="S319" i="5"/>
  <c r="S318" i="5"/>
  <c r="S317" i="5"/>
  <c r="S316" i="5"/>
  <c r="S315" i="5"/>
  <c r="S314" i="5"/>
  <c r="S313" i="5"/>
  <c r="S312" i="5"/>
  <c r="S311" i="5"/>
  <c r="S310" i="5"/>
  <c r="S309" i="5"/>
  <c r="S308" i="5"/>
  <c r="S307" i="5"/>
  <c r="S306" i="5"/>
  <c r="S305" i="5"/>
  <c r="S304" i="5"/>
  <c r="S303" i="5"/>
  <c r="S302" i="5"/>
  <c r="S301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4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S3" i="5"/>
  <c r="S2" i="5"/>
  <c r="S610" i="2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1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2" i="2"/>
  <c r="C13" i="3"/>
  <c r="C12" i="3"/>
  <c r="C11" i="3"/>
  <c r="C10" i="3"/>
  <c r="C9" i="3"/>
  <c r="H7" i="3"/>
  <c r="F7" i="3"/>
  <c r="C7" i="3"/>
  <c r="C6" i="3"/>
  <c r="C14" i="3" l="1"/>
</calcChain>
</file>

<file path=xl/sharedStrings.xml><?xml version="1.0" encoding="utf-8"?>
<sst xmlns="http://schemas.openxmlformats.org/spreadsheetml/2006/main" count="11548" uniqueCount="2305">
  <si>
    <t xml:space="preserve">S.No. </t>
  </si>
  <si>
    <t xml:space="preserve">Roll No. </t>
  </si>
  <si>
    <t>Section</t>
  </si>
  <si>
    <t>Group</t>
  </si>
  <si>
    <t>Name</t>
  </si>
  <si>
    <t>Specialization</t>
  </si>
  <si>
    <t>DS</t>
  </si>
  <si>
    <t xml:space="preserve"> </t>
  </si>
  <si>
    <t>BCA</t>
  </si>
  <si>
    <t>AI</t>
  </si>
  <si>
    <t>1st Sem.</t>
  </si>
  <si>
    <t>2nd Sem.</t>
  </si>
  <si>
    <t>3rd Sem.</t>
  </si>
  <si>
    <t>4th Sem.</t>
  </si>
  <si>
    <t>5th Sem.</t>
  </si>
  <si>
    <t>6th Sem.</t>
  </si>
  <si>
    <t>Reg. No</t>
  </si>
  <si>
    <t>23-MCM-001</t>
  </si>
  <si>
    <t>23-MCM-002</t>
  </si>
  <si>
    <t>23-MCM-003</t>
  </si>
  <si>
    <t>23-MCM-004</t>
  </si>
  <si>
    <t>23-MCM-005</t>
  </si>
  <si>
    <t>23-MCM-006</t>
  </si>
  <si>
    <t>23-MCM-007</t>
  </si>
  <si>
    <t>23-MCM-008</t>
  </si>
  <si>
    <t>23-MCM-009</t>
  </si>
  <si>
    <t>23-MCM-010</t>
  </si>
  <si>
    <t>23-MCM-011</t>
  </si>
  <si>
    <t>23-MCM-012</t>
  </si>
  <si>
    <t>23-MCM-013</t>
  </si>
  <si>
    <t>23-MCM-014</t>
  </si>
  <si>
    <t>23-MCM-015</t>
  </si>
  <si>
    <t>23-MCM-016</t>
  </si>
  <si>
    <t>23-MCM-017</t>
  </si>
  <si>
    <t>23-MCM-018</t>
  </si>
  <si>
    <t>23-MCM-019</t>
  </si>
  <si>
    <t>23-MCM-020</t>
  </si>
  <si>
    <t>23-MCM-021</t>
  </si>
  <si>
    <t>23-MCM-022</t>
  </si>
  <si>
    <t>23-MCM-023</t>
  </si>
  <si>
    <t>23-MCM-024</t>
  </si>
  <si>
    <t>23-MCM-025</t>
  </si>
  <si>
    <t>23-MCM-026</t>
  </si>
  <si>
    <t>23-MCM-027</t>
  </si>
  <si>
    <t>23-MCM-028</t>
  </si>
  <si>
    <t>23-MCM-029</t>
  </si>
  <si>
    <t>23-MCM-030</t>
  </si>
  <si>
    <t>23-MCM-031</t>
  </si>
  <si>
    <t>23-MCM-032</t>
  </si>
  <si>
    <t>23-MCM-033</t>
  </si>
  <si>
    <t>23-MCM-034</t>
  </si>
  <si>
    <t>23-MCM-035</t>
  </si>
  <si>
    <t>23-MCM-036</t>
  </si>
  <si>
    <t>23-MCM-037</t>
  </si>
  <si>
    <t>23-MCM-038</t>
  </si>
  <si>
    <t>23-MCM-039</t>
  </si>
  <si>
    <t>23-MCM-040</t>
  </si>
  <si>
    <t>23-MCM-041</t>
  </si>
  <si>
    <t>23-MCM-042</t>
  </si>
  <si>
    <t>23-MCM-043</t>
  </si>
  <si>
    <t>23-MCM-044</t>
  </si>
  <si>
    <t>23-MCM-045</t>
  </si>
  <si>
    <t>23-MCM-046</t>
  </si>
  <si>
    <t>23-MCM-047</t>
  </si>
  <si>
    <t>23-MCM-048</t>
  </si>
  <si>
    <t>23-MCM-049</t>
  </si>
  <si>
    <t>23-MCM-050</t>
  </si>
  <si>
    <t>23-MCM-051</t>
  </si>
  <si>
    <t>23-MCM-052</t>
  </si>
  <si>
    <t>23-MCM-053</t>
  </si>
  <si>
    <t>23-MCM-054</t>
  </si>
  <si>
    <t>23-MCM-055</t>
  </si>
  <si>
    <t>23-MCM-056</t>
  </si>
  <si>
    <t>23-MCM-057</t>
  </si>
  <si>
    <t>23-MCM-058</t>
  </si>
  <si>
    <t>23-MCM-059</t>
  </si>
  <si>
    <t>23-MCM-060</t>
  </si>
  <si>
    <t>23-MCM-061</t>
  </si>
  <si>
    <t>23-MCM-062</t>
  </si>
  <si>
    <t>23-MCM-063</t>
  </si>
  <si>
    <t>23-MCM-064</t>
  </si>
  <si>
    <t>23-MCM-065</t>
  </si>
  <si>
    <t>23-MCM-066</t>
  </si>
  <si>
    <t>23-MCM-067</t>
  </si>
  <si>
    <t>23-MCM-068</t>
  </si>
  <si>
    <t>23-MCM-069</t>
  </si>
  <si>
    <t>23-MCM-070</t>
  </si>
  <si>
    <t>23-MCM-071</t>
  </si>
  <si>
    <t>23-MCM-072</t>
  </si>
  <si>
    <t>23-MCM-073</t>
  </si>
  <si>
    <t>23-MCM-074</t>
  </si>
  <si>
    <t>23-MCM-075</t>
  </si>
  <si>
    <t>23-MCM-076</t>
  </si>
  <si>
    <t>23-MCM-077</t>
  </si>
  <si>
    <t>23-MCM-078</t>
  </si>
  <si>
    <t>23-MCM-079</t>
  </si>
  <si>
    <t>23-MCM-080</t>
  </si>
  <si>
    <t>23-MCM-081</t>
  </si>
  <si>
    <t>23-MCM-082</t>
  </si>
  <si>
    <t>23-MCM-083</t>
  </si>
  <si>
    <t>23-MCM-084</t>
  </si>
  <si>
    <t>23-MCM-085</t>
  </si>
  <si>
    <t>23-MCM-086</t>
  </si>
  <si>
    <t>23-MCM-087</t>
  </si>
  <si>
    <t>23-MCM-088</t>
  </si>
  <si>
    <t>23-MCM-089</t>
  </si>
  <si>
    <t>23-MCM-090</t>
  </si>
  <si>
    <t>23-MCM-091</t>
  </si>
  <si>
    <t>23-MCM-092</t>
  </si>
  <si>
    <t>23-MCM-093</t>
  </si>
  <si>
    <t>23-MCM-094</t>
  </si>
  <si>
    <t>23-MCM-095</t>
  </si>
  <si>
    <t>23-MCM-096</t>
  </si>
  <si>
    <t>23-MCM-097</t>
  </si>
  <si>
    <t>23-MCM-098</t>
  </si>
  <si>
    <t>23-MCM-099</t>
  </si>
  <si>
    <t>23-MCM-100</t>
  </si>
  <si>
    <t>23-MCM-101</t>
  </si>
  <si>
    <t>23-MCM-102</t>
  </si>
  <si>
    <t>23-MCM-103</t>
  </si>
  <si>
    <t>23-MCM-104</t>
  </si>
  <si>
    <t>23-MCM-105</t>
  </si>
  <si>
    <t>23-MCM-106</t>
  </si>
  <si>
    <t>23-MCM-107</t>
  </si>
  <si>
    <t>23-MCM-108</t>
  </si>
  <si>
    <t>23-MCM-109</t>
  </si>
  <si>
    <t>23-MCM-110</t>
  </si>
  <si>
    <t>23-MCM-111</t>
  </si>
  <si>
    <t>23-MCM-112</t>
  </si>
  <si>
    <t>23-MCM-113</t>
  </si>
  <si>
    <t>23-MCM-114</t>
  </si>
  <si>
    <t>23-MCM-115</t>
  </si>
  <si>
    <t>23-MCM-116</t>
  </si>
  <si>
    <t>23-MCM-117</t>
  </si>
  <si>
    <t>23-MCM-118</t>
  </si>
  <si>
    <t>23-MCM-119</t>
  </si>
  <si>
    <t>23-MCM-120</t>
  </si>
  <si>
    <t>23-MCM-121</t>
  </si>
  <si>
    <t>23-MCM-122</t>
  </si>
  <si>
    <t>23-MCM-123</t>
  </si>
  <si>
    <t>23-MCM-124</t>
  </si>
  <si>
    <t>23-MCM-125</t>
  </si>
  <si>
    <t>23-MCM-126</t>
  </si>
  <si>
    <t>23-MCM-127</t>
  </si>
  <si>
    <t>23-MCM-128</t>
  </si>
  <si>
    <t>23-MCM-129</t>
  </si>
  <si>
    <t>23-MCM-130</t>
  </si>
  <si>
    <t>23-MCM-131</t>
  </si>
  <si>
    <t>23-MCM-132</t>
  </si>
  <si>
    <t>23-MCM-133</t>
  </si>
  <si>
    <t>23-MCM-134</t>
  </si>
  <si>
    <t>23-MCM-135</t>
  </si>
  <si>
    <t>23-MCM-136</t>
  </si>
  <si>
    <t>23-MCM-137</t>
  </si>
  <si>
    <t>23-MCM-138</t>
  </si>
  <si>
    <t>23-MCM-139</t>
  </si>
  <si>
    <t>23-MCM-140</t>
  </si>
  <si>
    <t>23-MCM-141</t>
  </si>
  <si>
    <t>23-MCM-142</t>
  </si>
  <si>
    <t>23-MCM-143</t>
  </si>
  <si>
    <t>23-MCM-144</t>
  </si>
  <si>
    <t>23-MCM-145</t>
  </si>
  <si>
    <t>23-MCM-146</t>
  </si>
  <si>
    <t>23-MCM-147</t>
  </si>
  <si>
    <t>23-MCM-148</t>
  </si>
  <si>
    <t>23-MCM-149</t>
  </si>
  <si>
    <t>23-MCM-150</t>
  </si>
  <si>
    <t>23-MCM-151</t>
  </si>
  <si>
    <t>23-MCM-152</t>
  </si>
  <si>
    <t>23-MCM-153</t>
  </si>
  <si>
    <t>23-MCM-154</t>
  </si>
  <si>
    <t>23-MCM-155</t>
  </si>
  <si>
    <t>23-MCM-156</t>
  </si>
  <si>
    <t>23-MCM-157</t>
  </si>
  <si>
    <t>23-MCM-158</t>
  </si>
  <si>
    <t>23-MCM-159</t>
  </si>
  <si>
    <t>23-MCM-160</t>
  </si>
  <si>
    <t>23-MCM-161</t>
  </si>
  <si>
    <t>23-MCM-162</t>
  </si>
  <si>
    <t>23-MCM-163</t>
  </si>
  <si>
    <t>23-MCM-164</t>
  </si>
  <si>
    <t>23-MCM-165</t>
  </si>
  <si>
    <t>23-MCM-166</t>
  </si>
  <si>
    <t>23-MCM-167</t>
  </si>
  <si>
    <t>23-MCM-168</t>
  </si>
  <si>
    <t>23-MCM-169</t>
  </si>
  <si>
    <t>23-MCM-170</t>
  </si>
  <si>
    <t>23-MCM-171</t>
  </si>
  <si>
    <t>23-MCM-172</t>
  </si>
  <si>
    <t>23-MCM-173</t>
  </si>
  <si>
    <t>23-MCM-174</t>
  </si>
  <si>
    <t>23-MCM-175</t>
  </si>
  <si>
    <t>23-MCM-176</t>
  </si>
  <si>
    <t>23-MCM-177</t>
  </si>
  <si>
    <t>23-MCM-178</t>
  </si>
  <si>
    <t>23-MCM-179</t>
  </si>
  <si>
    <t>23-MCM-180</t>
  </si>
  <si>
    <t>23-MCM-181</t>
  </si>
  <si>
    <t>23-MCM-182</t>
  </si>
  <si>
    <t>23-MCM-183</t>
  </si>
  <si>
    <t>23-MCM-184</t>
  </si>
  <si>
    <t>23-MCM-185</t>
  </si>
  <si>
    <t>23-MCM-186</t>
  </si>
  <si>
    <t>23-MCM-187</t>
  </si>
  <si>
    <t>23-MCM-188</t>
  </si>
  <si>
    <t>23-MCM-189</t>
  </si>
  <si>
    <t>23-MCM-190</t>
  </si>
  <si>
    <t>23-MCM-191</t>
  </si>
  <si>
    <t>23-MCM-192</t>
  </si>
  <si>
    <t>23-MCM-193</t>
  </si>
  <si>
    <t>23-MCM-194</t>
  </si>
  <si>
    <t>23-MCM-195</t>
  </si>
  <si>
    <t>23-MCM-196</t>
  </si>
  <si>
    <t>23-MCM-197</t>
  </si>
  <si>
    <t>23-MCM-198</t>
  </si>
  <si>
    <t>23-MCM-199</t>
  </si>
  <si>
    <t>23-MCM-200</t>
  </si>
  <si>
    <t>23-MCM-201</t>
  </si>
  <si>
    <t>23-MCM-202</t>
  </si>
  <si>
    <t>23-MCM-203</t>
  </si>
  <si>
    <t>23-MCM-204</t>
  </si>
  <si>
    <t>23-MCM-205</t>
  </si>
  <si>
    <t>23-MCM-206</t>
  </si>
  <si>
    <t>23-MCM-207</t>
  </si>
  <si>
    <t>23-MCM-208</t>
  </si>
  <si>
    <t>23-MCM-209</t>
  </si>
  <si>
    <t>23-MCM-210</t>
  </si>
  <si>
    <t>23-MCM-211</t>
  </si>
  <si>
    <t>23-MCM-212</t>
  </si>
  <si>
    <t>23-MCM-213</t>
  </si>
  <si>
    <t>23-MCM-214</t>
  </si>
  <si>
    <t>23-MCM-215</t>
  </si>
  <si>
    <t>23-MCM-216</t>
  </si>
  <si>
    <t>23-MCM-217</t>
  </si>
  <si>
    <t>23-MCM-218</t>
  </si>
  <si>
    <t>23-MCM-219</t>
  </si>
  <si>
    <t>23-MCM-220</t>
  </si>
  <si>
    <t>23-MCM-221</t>
  </si>
  <si>
    <t>23-MCM-222</t>
  </si>
  <si>
    <t>23-MCM-223</t>
  </si>
  <si>
    <t>23-MCM-224</t>
  </si>
  <si>
    <t>23-MCM-225</t>
  </si>
  <si>
    <t>23-MCM-226</t>
  </si>
  <si>
    <t>23-MCM-227</t>
  </si>
  <si>
    <t>23-MCM-228</t>
  </si>
  <si>
    <t>23-MCM-229</t>
  </si>
  <si>
    <t>23-MCM-230</t>
  </si>
  <si>
    <t>23-MCM-231</t>
  </si>
  <si>
    <t>23-MCM-232</t>
  </si>
  <si>
    <t>23-MCM-233</t>
  </si>
  <si>
    <t>23-MCM-234</t>
  </si>
  <si>
    <t>23-MCM-235</t>
  </si>
  <si>
    <t>23-MCM-236</t>
  </si>
  <si>
    <t>23-MCM-237</t>
  </si>
  <si>
    <t>23-MCM-238</t>
  </si>
  <si>
    <t>23-MCM-239</t>
  </si>
  <si>
    <t>23-MCM-240</t>
  </si>
  <si>
    <t>23-MCM-241</t>
  </si>
  <si>
    <t>23-MCM-242</t>
  </si>
  <si>
    <t>23-MCM-243</t>
  </si>
  <si>
    <t>23-MCM-244</t>
  </si>
  <si>
    <t>23-MCM-245</t>
  </si>
  <si>
    <t>23-MCM-246</t>
  </si>
  <si>
    <t>23-MCM-247</t>
  </si>
  <si>
    <t>23-MCM-248</t>
  </si>
  <si>
    <t>23-MCM-249</t>
  </si>
  <si>
    <t>23-MCM-250</t>
  </si>
  <si>
    <t>23-MCM-251</t>
  </si>
  <si>
    <t>23-MCM-252</t>
  </si>
  <si>
    <t>23-MCM-253</t>
  </si>
  <si>
    <t>23-MCM-254</t>
  </si>
  <si>
    <t>23-MCM-255</t>
  </si>
  <si>
    <t>23-MCM-256</t>
  </si>
  <si>
    <t>23-MCM-257</t>
  </si>
  <si>
    <t>23-MCM-258</t>
  </si>
  <si>
    <t>23-MCM-259</t>
  </si>
  <si>
    <t>23-MCM-260</t>
  </si>
  <si>
    <t>23-MCM-261</t>
  </si>
  <si>
    <t>23-MCM-262</t>
  </si>
  <si>
    <t>23-MCM-263</t>
  </si>
  <si>
    <t>23-MCM-264</t>
  </si>
  <si>
    <t>23-MCM-265</t>
  </si>
  <si>
    <t>23-MCM-266</t>
  </si>
  <si>
    <t>23-MCM-267</t>
  </si>
  <si>
    <t>23-MCM-268</t>
  </si>
  <si>
    <t>23-MCM-269</t>
  </si>
  <si>
    <t>23-MCM-270</t>
  </si>
  <si>
    <t>23-MCM-271</t>
  </si>
  <si>
    <t>23-MCM-272</t>
  </si>
  <si>
    <t>23-MCM-273</t>
  </si>
  <si>
    <t>23-MCM-274</t>
  </si>
  <si>
    <t>23-MCM-275</t>
  </si>
  <si>
    <t>23-MCM-276</t>
  </si>
  <si>
    <t>23-MCM-277</t>
  </si>
  <si>
    <t>23-MCM-278</t>
  </si>
  <si>
    <t>23-MCM-279</t>
  </si>
  <si>
    <t>23-MCM-280</t>
  </si>
  <si>
    <t>23-MCM-281</t>
  </si>
  <si>
    <t>23-MCM-282</t>
  </si>
  <si>
    <t>23-MCM-283</t>
  </si>
  <si>
    <t>23-MCM-284</t>
  </si>
  <si>
    <t>23-MCM-285</t>
  </si>
  <si>
    <t>23-MCM-286</t>
  </si>
  <si>
    <t>23-MCM-287</t>
  </si>
  <si>
    <t>23-MCM-288</t>
  </si>
  <si>
    <t>23-MCM-289</t>
  </si>
  <si>
    <t>23-MCM-290</t>
  </si>
  <si>
    <t>23-MCM-291</t>
  </si>
  <si>
    <t>23-MCM-292</t>
  </si>
  <si>
    <t>23-MCM-293</t>
  </si>
  <si>
    <t>23-MCM-294</t>
  </si>
  <si>
    <t>23-MCM-295</t>
  </si>
  <si>
    <t>23-MCM-296</t>
  </si>
  <si>
    <t>23-MCM-297</t>
  </si>
  <si>
    <t>23-MCM-298</t>
  </si>
  <si>
    <t>23-MCM-299</t>
  </si>
  <si>
    <t>23-MCM-300</t>
  </si>
  <si>
    <t>23-MCM-301</t>
  </si>
  <si>
    <t>23-MCM-302</t>
  </si>
  <si>
    <t>23-MCM-303</t>
  </si>
  <si>
    <t>23-MCM-304</t>
  </si>
  <si>
    <t>23-MCM-305</t>
  </si>
  <si>
    <t>23-MCM-306</t>
  </si>
  <si>
    <t>23-MCM-307</t>
  </si>
  <si>
    <t>23-MCM-308</t>
  </si>
  <si>
    <t>23-MCM-309</t>
  </si>
  <si>
    <t>23-MCM-310</t>
  </si>
  <si>
    <t>23-MCM-311</t>
  </si>
  <si>
    <t>23-MCM-312</t>
  </si>
  <si>
    <t>23-MCM-313</t>
  </si>
  <si>
    <t>23-MCM-314</t>
  </si>
  <si>
    <t>23-MCM-315</t>
  </si>
  <si>
    <t>23-MCM-316</t>
  </si>
  <si>
    <t>23-MCM-317</t>
  </si>
  <si>
    <t>23-MCM-318</t>
  </si>
  <si>
    <t>23-MCM-319</t>
  </si>
  <si>
    <t>23-MCM-320</t>
  </si>
  <si>
    <t>23-MCM-321</t>
  </si>
  <si>
    <t>23-MCM-322</t>
  </si>
  <si>
    <t>23-MCM-323</t>
  </si>
  <si>
    <t>23-MCM-324</t>
  </si>
  <si>
    <t>23-MCM-325</t>
  </si>
  <si>
    <t>23-MCM-326</t>
  </si>
  <si>
    <t>23-MCM-327</t>
  </si>
  <si>
    <t>23-MCM-328</t>
  </si>
  <si>
    <t>23-MCM-329</t>
  </si>
  <si>
    <t>23-MCM-330</t>
  </si>
  <si>
    <t>23-MCM-331</t>
  </si>
  <si>
    <t>23-MCM-332</t>
  </si>
  <si>
    <t>23-MCM-333</t>
  </si>
  <si>
    <t>23-MCM-334</t>
  </si>
  <si>
    <t>23-MCM-335</t>
  </si>
  <si>
    <t>23-MCM-336</t>
  </si>
  <si>
    <t>23-MCM-337</t>
  </si>
  <si>
    <t>23-MCM-338</t>
  </si>
  <si>
    <t>23-MCM-339</t>
  </si>
  <si>
    <t>23-MCM-340</t>
  </si>
  <si>
    <t>23-MCM-341</t>
  </si>
  <si>
    <t>23-MCM-342</t>
  </si>
  <si>
    <t>23-MCM-343</t>
  </si>
  <si>
    <t>23-MCM-344</t>
  </si>
  <si>
    <t>23-MCM-345</t>
  </si>
  <si>
    <t>23-MCM-346</t>
  </si>
  <si>
    <t>23-MCM-347</t>
  </si>
  <si>
    <t>23-MCM-348</t>
  </si>
  <si>
    <t>23-MCM-349</t>
  </si>
  <si>
    <t>23-MCM-350</t>
  </si>
  <si>
    <t>23-MCM-351</t>
  </si>
  <si>
    <t>23-MCM-352</t>
  </si>
  <si>
    <t>23-MCM-353</t>
  </si>
  <si>
    <t>23-MCM-354</t>
  </si>
  <si>
    <t>23-MCM-355</t>
  </si>
  <si>
    <t>23-MCM-356</t>
  </si>
  <si>
    <t>23-MCM-357</t>
  </si>
  <si>
    <t>23-MCM-358</t>
  </si>
  <si>
    <t>23-MCM-359</t>
  </si>
  <si>
    <t>23-MCM-360</t>
  </si>
  <si>
    <t>23-MCM-361</t>
  </si>
  <si>
    <t>23-MCM-362</t>
  </si>
  <si>
    <t>23-MCM-363</t>
  </si>
  <si>
    <t>23-MCM-364</t>
  </si>
  <si>
    <t>23-MCM-365</t>
  </si>
  <si>
    <t>23-MCM-366</t>
  </si>
  <si>
    <t>23-MCM-367</t>
  </si>
  <si>
    <t>23-MCM-368</t>
  </si>
  <si>
    <t>23-MCM-369</t>
  </si>
  <si>
    <t>23-MCM-370</t>
  </si>
  <si>
    <t>23-MCM-371</t>
  </si>
  <si>
    <t>23-MCM-372</t>
  </si>
  <si>
    <t>23-MCM-373</t>
  </si>
  <si>
    <t>23-MCM-374</t>
  </si>
  <si>
    <t>23-MCM-375</t>
  </si>
  <si>
    <t>23-MCM-376</t>
  </si>
  <si>
    <t>23-MCM-377</t>
  </si>
  <si>
    <t>23-MCM-378</t>
  </si>
  <si>
    <t>23-MCM-379</t>
  </si>
  <si>
    <t>23-MCM-380</t>
  </si>
  <si>
    <t>23-MCM-381</t>
  </si>
  <si>
    <t>23-MCM-382</t>
  </si>
  <si>
    <t>23-MCM-383</t>
  </si>
  <si>
    <t>23-MCM-384</t>
  </si>
  <si>
    <t>23-MCM-385</t>
  </si>
  <si>
    <t>23-MCM-386</t>
  </si>
  <si>
    <t>23-MCM-387</t>
  </si>
  <si>
    <t>23-MCM-388</t>
  </si>
  <si>
    <t>23-MCM-389</t>
  </si>
  <si>
    <t>23-MCM-390</t>
  </si>
  <si>
    <t>23-MCM-391</t>
  </si>
  <si>
    <t>23-MCM-392</t>
  </si>
  <si>
    <t>23-MCM-393</t>
  </si>
  <si>
    <t>23-MCM-394</t>
  </si>
  <si>
    <t>23-MCM-395</t>
  </si>
  <si>
    <t>23-MCM-396</t>
  </si>
  <si>
    <t>23-MCM-397</t>
  </si>
  <si>
    <t>23-MCM-398</t>
  </si>
  <si>
    <t>23-MCM-399</t>
  </si>
  <si>
    <t>23-MCM-400</t>
  </si>
  <si>
    <t>23-MCM-401</t>
  </si>
  <si>
    <t>23-MCM-402</t>
  </si>
  <si>
    <t>23-MCM-403</t>
  </si>
  <si>
    <t>23-MCM-404</t>
  </si>
  <si>
    <t>23-MCM-405</t>
  </si>
  <si>
    <t>23-MCM-406</t>
  </si>
  <si>
    <t>23-MCM-407</t>
  </si>
  <si>
    <t>23-MCM-408</t>
  </si>
  <si>
    <t>23-MCM-409</t>
  </si>
  <si>
    <t>23-MCM-413</t>
  </si>
  <si>
    <t>23-MCM-414</t>
  </si>
  <si>
    <t>23-MCM-415</t>
  </si>
  <si>
    <t>23-MCM-416</t>
  </si>
  <si>
    <t>23-MCM-417</t>
  </si>
  <si>
    <t>23-MCM-418</t>
  </si>
  <si>
    <t>23-MCM-419</t>
  </si>
  <si>
    <t>23-MCM-420</t>
  </si>
  <si>
    <t>23-MCM-421</t>
  </si>
  <si>
    <t>23-MCM-422</t>
  </si>
  <si>
    <t>23-MCM-423</t>
  </si>
  <si>
    <t>23-MCM-424</t>
  </si>
  <si>
    <t>23-MCM-425</t>
  </si>
  <si>
    <t>23-MCM-426</t>
  </si>
  <si>
    <t>23-MCM-427</t>
  </si>
  <si>
    <t>23-MCM-428</t>
  </si>
  <si>
    <t>23-MCM-429</t>
  </si>
  <si>
    <t>23-MCM-430</t>
  </si>
  <si>
    <t>23-MCM-431</t>
  </si>
  <si>
    <t>23-MCM-432</t>
  </si>
  <si>
    <t>23-MCM-433</t>
  </si>
  <si>
    <t>23-MCM-434</t>
  </si>
  <si>
    <t>23-MCM-435</t>
  </si>
  <si>
    <t>23-MCM-436</t>
  </si>
  <si>
    <t>23-MCM-437</t>
  </si>
  <si>
    <t>23-MCM-438</t>
  </si>
  <si>
    <t>23-MCM-439</t>
  </si>
  <si>
    <t>23-MCM-440</t>
  </si>
  <si>
    <t>23-MCM-441</t>
  </si>
  <si>
    <t>23-MCM-442</t>
  </si>
  <si>
    <t>23-MCM-443</t>
  </si>
  <si>
    <t>23-MCM-444</t>
  </si>
  <si>
    <t>23-MCM-445</t>
  </si>
  <si>
    <t>23-MCM-446</t>
  </si>
  <si>
    <t>23-MCM-447</t>
  </si>
  <si>
    <t>23-MCM-448</t>
  </si>
  <si>
    <t>23-MCM-449</t>
  </si>
  <si>
    <t>23-MCM-450</t>
  </si>
  <si>
    <t>23-MCM-451</t>
  </si>
  <si>
    <t>23-MCM-452</t>
  </si>
  <si>
    <t>23-MCM-453</t>
  </si>
  <si>
    <t>23-MCM-454</t>
  </si>
  <si>
    <t>23-MCM-455</t>
  </si>
  <si>
    <t>23-MCM-456</t>
  </si>
  <si>
    <t>23-MCM-457</t>
  </si>
  <si>
    <t>23-MCM-458</t>
  </si>
  <si>
    <t>23-MCM-459</t>
  </si>
  <si>
    <t>23-MCM-460</t>
  </si>
  <si>
    <t>23-MCM-461</t>
  </si>
  <si>
    <t>23-MCM-462</t>
  </si>
  <si>
    <t>23-MCM-463</t>
  </si>
  <si>
    <t>23-MCM-464</t>
  </si>
  <si>
    <t>23-MCM-465</t>
  </si>
  <si>
    <t>23-MCM-466</t>
  </si>
  <si>
    <t>23-MCM-467</t>
  </si>
  <si>
    <t>23-MCM-468</t>
  </si>
  <si>
    <t>23-MCM-469</t>
  </si>
  <si>
    <t>23-MCM-470</t>
  </si>
  <si>
    <t>23-MCM-471</t>
  </si>
  <si>
    <t>23-MCM-472</t>
  </si>
  <si>
    <t>23-MCM-473</t>
  </si>
  <si>
    <t>23-MCM-474</t>
  </si>
  <si>
    <t>23-MCM-475</t>
  </si>
  <si>
    <t>23-MCM-476</t>
  </si>
  <si>
    <t>23-MCM-477</t>
  </si>
  <si>
    <t>23-MCM-478</t>
  </si>
  <si>
    <t>23-MCM-479</t>
  </si>
  <si>
    <t>23-MCM-480</t>
  </si>
  <si>
    <t>23-MCM-481</t>
  </si>
  <si>
    <t>23-MCM-482</t>
  </si>
  <si>
    <t>23-MCM-483</t>
  </si>
  <si>
    <t>23-MCM-484</t>
  </si>
  <si>
    <t>23-MCM-485</t>
  </si>
  <si>
    <t>23-MCM-486</t>
  </si>
  <si>
    <t>23-MCM-487</t>
  </si>
  <si>
    <t>23-MCM-488</t>
  </si>
  <si>
    <t>23-MCM-489</t>
  </si>
  <si>
    <t>23-MCM-490</t>
  </si>
  <si>
    <t>23-MCM-491</t>
  </si>
  <si>
    <t>23-MCM-492</t>
  </si>
  <si>
    <t>23-MCM-493</t>
  </si>
  <si>
    <t>23-MCM-494</t>
  </si>
  <si>
    <t>23-MCM-495</t>
  </si>
  <si>
    <t>23-MCM-496</t>
  </si>
  <si>
    <t>23-MCM-497</t>
  </si>
  <si>
    <t>23-MCM-498</t>
  </si>
  <si>
    <t>23-MCM-499</t>
  </si>
  <si>
    <t>23-MCM-500</t>
  </si>
  <si>
    <t>23-MCM-501</t>
  </si>
  <si>
    <t>23-MCM-502</t>
  </si>
  <si>
    <t>23-MCM-503</t>
  </si>
  <si>
    <t>23-MCM-504</t>
  </si>
  <si>
    <t>23-MCM-505</t>
  </si>
  <si>
    <t>23-MCM-506</t>
  </si>
  <si>
    <t>23-MCM-507</t>
  </si>
  <si>
    <t>23-MCM-508</t>
  </si>
  <si>
    <t>23-MCM-509</t>
  </si>
  <si>
    <t>23-MCM-510</t>
  </si>
  <si>
    <t>23-MCM-511</t>
  </si>
  <si>
    <t>23-MCM-512</t>
  </si>
  <si>
    <t>23-MCM-513</t>
  </si>
  <si>
    <t>23-MCM-514</t>
  </si>
  <si>
    <t>23-MCM-515</t>
  </si>
  <si>
    <t>23-MCM-516</t>
  </si>
  <si>
    <t>23-MCM-517</t>
  </si>
  <si>
    <t>23-MCM-518</t>
  </si>
  <si>
    <t>23-MCM-519</t>
  </si>
  <si>
    <t>23-MCM-520</t>
  </si>
  <si>
    <t>23-MCM-521</t>
  </si>
  <si>
    <t>23-MCM-522</t>
  </si>
  <si>
    <t>23-MCM-523</t>
  </si>
  <si>
    <t>23-MCM-524</t>
  </si>
  <si>
    <t>23-MCM-525</t>
  </si>
  <si>
    <t>23-MCM-526</t>
  </si>
  <si>
    <t>23-MCM-527</t>
  </si>
  <si>
    <t>23-MCM-528</t>
  </si>
  <si>
    <t>23-MCM-529</t>
  </si>
  <si>
    <t>23-MCM-530</t>
  </si>
  <si>
    <t>23-MCM-532</t>
  </si>
  <si>
    <t>23-MCM-533</t>
  </si>
  <si>
    <t>23-MCM-534</t>
  </si>
  <si>
    <t>23-MCM-535</t>
  </si>
  <si>
    <t>23-MCM-536</t>
  </si>
  <si>
    <t>23-MCM-537</t>
  </si>
  <si>
    <t>23-MCM-538</t>
  </si>
  <si>
    <t>23-MCM-539</t>
  </si>
  <si>
    <t>23-MCM-540</t>
  </si>
  <si>
    <t>23-MCM-541</t>
  </si>
  <si>
    <t>23-MCM-542</t>
  </si>
  <si>
    <t>23-MCM-543</t>
  </si>
  <si>
    <t>23-MCM-544</t>
  </si>
  <si>
    <t>23-MCM-545</t>
  </si>
  <si>
    <t>23-MCM-546</t>
  </si>
  <si>
    <t>23-MCM-547</t>
  </si>
  <si>
    <t>23-MCM-548</t>
  </si>
  <si>
    <t>23-MCM-549</t>
  </si>
  <si>
    <t>23-MCM-550</t>
  </si>
  <si>
    <t>23-MCM-551</t>
  </si>
  <si>
    <t>23-MCM-552</t>
  </si>
  <si>
    <t>23-MCM-553</t>
  </si>
  <si>
    <t>23-MCM-554</t>
  </si>
  <si>
    <t>23-MCM-556</t>
  </si>
  <si>
    <t>23-MCM-557</t>
  </si>
  <si>
    <t>23-MCM-558</t>
  </si>
  <si>
    <t>23-MCM-560</t>
  </si>
  <si>
    <t>23-MCM-567</t>
  </si>
  <si>
    <t>23-MCM-568</t>
  </si>
  <si>
    <t>23-MCM-569</t>
  </si>
  <si>
    <t>23-MCM-570</t>
  </si>
  <si>
    <t>23-MCM-571</t>
  </si>
  <si>
    <t>23-MCM-572</t>
  </si>
  <si>
    <t>23-MCM-573</t>
  </si>
  <si>
    <t>23-MCM-574</t>
  </si>
  <si>
    <t>23-MCM-575</t>
  </si>
  <si>
    <t>23-MCM-576</t>
  </si>
  <si>
    <t>23-MCM-577</t>
  </si>
  <si>
    <t>23-MCM-578</t>
  </si>
  <si>
    <t>23-MCM-579</t>
  </si>
  <si>
    <t>23-MCM-580</t>
  </si>
  <si>
    <t>23-MCM-581</t>
  </si>
  <si>
    <t>23-MCM-582</t>
  </si>
  <si>
    <t>23-MCM-583</t>
  </si>
  <si>
    <t>23-MCM-584</t>
  </si>
  <si>
    <t>23-MCM-585</t>
  </si>
  <si>
    <t>23-MCM-586</t>
  </si>
  <si>
    <t>23-MCM-587</t>
  </si>
  <si>
    <t>23-MCM-588</t>
  </si>
  <si>
    <t>23-MCM-589</t>
  </si>
  <si>
    <t>23-MCM-590</t>
  </si>
  <si>
    <t>23-MCM-591</t>
  </si>
  <si>
    <t>23-MCM-592</t>
  </si>
  <si>
    <t>23-MCM-593</t>
  </si>
  <si>
    <t>23-MCM-594</t>
  </si>
  <si>
    <t>23-MCM-595</t>
  </si>
  <si>
    <t>23-MCM-597</t>
  </si>
  <si>
    <t>23-MCM-598</t>
  </si>
  <si>
    <t>23-MCM-600</t>
  </si>
  <si>
    <t>23-MCM-601</t>
  </si>
  <si>
    <t>23-MCM-602</t>
  </si>
  <si>
    <t>23-MCM-603</t>
  </si>
  <si>
    <t>23-MCM-604</t>
  </si>
  <si>
    <t>23-MCM-605</t>
  </si>
  <si>
    <t>23-MCM-606</t>
  </si>
  <si>
    <t>23-MCM-607</t>
  </si>
  <si>
    <t>23-MCM-608</t>
  </si>
  <si>
    <t>Father's Name</t>
  </si>
  <si>
    <t>SUNIL KAMBOJ</t>
  </si>
  <si>
    <t>NARESH KUMAR</t>
  </si>
  <si>
    <t>JASHANDEEP KAUR</t>
  </si>
  <si>
    <t>JATIN PANCHAL</t>
  </si>
  <si>
    <t>PANKAJ BAGAULI</t>
  </si>
  <si>
    <t>LAKSHAY</t>
  </si>
  <si>
    <t>KUNAL TALWAR</t>
  </si>
  <si>
    <t>VANSHAM DUTTA</t>
  </si>
  <si>
    <t>JANVI</t>
  </si>
  <si>
    <t>NIKHIL</t>
  </si>
  <si>
    <t>JAYA SHARMA</t>
  </si>
  <si>
    <t>CHAKSHIT LUTHRA</t>
  </si>
  <si>
    <t>AMBER SHARMA</t>
  </si>
  <si>
    <t>SAHIL</t>
  </si>
  <si>
    <t>HARSHDIP SINGH</t>
  </si>
  <si>
    <t>AKHIL KUMAR</t>
  </si>
  <si>
    <t>SAKSHI MEHTA</t>
  </si>
  <si>
    <t>MANPREET KAUR</t>
  </si>
  <si>
    <t>RASHI SHARMA</t>
  </si>
  <si>
    <t>PALAKPREET KAUR</t>
  </si>
  <si>
    <t>MOHIT</t>
  </si>
  <si>
    <t>BALKAR SINGH</t>
  </si>
  <si>
    <t>SHIMALI</t>
  </si>
  <si>
    <t>NONIT</t>
  </si>
  <si>
    <t>TANNU</t>
  </si>
  <si>
    <t>SHAKSHI</t>
  </si>
  <si>
    <t>CHIRAG</t>
  </si>
  <si>
    <t>HARSH</t>
  </si>
  <si>
    <t>PIYUSH SHARMA</t>
  </si>
  <si>
    <t>VANSH</t>
  </si>
  <si>
    <t>JASKARAN SINGH</t>
  </si>
  <si>
    <t>MUSKAN</t>
  </si>
  <si>
    <t>SUHANI RAJ</t>
  </si>
  <si>
    <t>MILAN</t>
  </si>
  <si>
    <t>NAMAN ARORA</t>
  </si>
  <si>
    <t>SHREYA GUPTA</t>
  </si>
  <si>
    <t>AASTHA</t>
  </si>
  <si>
    <t>RAASHUL</t>
  </si>
  <si>
    <t>KAVYA MITTAL</t>
  </si>
  <si>
    <t>SHUBH BHUSHAN</t>
  </si>
  <si>
    <t>GURDEV SINGH</t>
  </si>
  <si>
    <t>ISHANPREET SINGH</t>
  </si>
  <si>
    <t>PAYAL</t>
  </si>
  <si>
    <t>SIMRAN</t>
  </si>
  <si>
    <t>YASHIKA</t>
  </si>
  <si>
    <t>MAYANK SAINI</t>
  </si>
  <si>
    <t>LAKHVINDER SINGH</t>
  </si>
  <si>
    <t>RUCHI</t>
  </si>
  <si>
    <t>VANSHIKA AGGARWAL</t>
  </si>
  <si>
    <t>LOVELY</t>
  </si>
  <si>
    <t>ANKIT KASHYAP</t>
  </si>
  <si>
    <t>RAMANDEEP SINGH</t>
  </si>
  <si>
    <t>KANAN SHARMA</t>
  </si>
  <si>
    <t>VANSHIKA</t>
  </si>
  <si>
    <t>TANU RANI</t>
  </si>
  <si>
    <t>MEGHA RANI</t>
  </si>
  <si>
    <t>RAJESH KUMAR</t>
  </si>
  <si>
    <t>PARUL</t>
  </si>
  <si>
    <t>TANISH</t>
  </si>
  <si>
    <t>ROHAN</t>
  </si>
  <si>
    <t>SACHIN</t>
  </si>
  <si>
    <t>ANISH GARG</t>
  </si>
  <si>
    <t>PRITHVI RAJ</t>
  </si>
  <si>
    <t>PAYAL DEVI</t>
  </si>
  <si>
    <t>AARTI RANI</t>
  </si>
  <si>
    <t>SAHIL AHUJA</t>
  </si>
  <si>
    <t>ANKIT</t>
  </si>
  <si>
    <t>KOMAL</t>
  </si>
  <si>
    <t>POONAM</t>
  </si>
  <si>
    <t>TANISHA SAINI</t>
  </si>
  <si>
    <t>MEHAK</t>
  </si>
  <si>
    <t>HARSHIKA</t>
  </si>
  <si>
    <t>SIMRAN KAUR</t>
  </si>
  <si>
    <t>MANSI</t>
  </si>
  <si>
    <t>ABHISHEK</t>
  </si>
  <si>
    <t>LAVEENA PAHUJA</t>
  </si>
  <si>
    <t>NISCHAY CHHABRA</t>
  </si>
  <si>
    <t>HARSHPREET SINGH</t>
  </si>
  <si>
    <t>VIKAS</t>
  </si>
  <si>
    <t>ABHAY YADAV</t>
  </si>
  <si>
    <t>AMIT</t>
  </si>
  <si>
    <t>PARMEET SAINI</t>
  </si>
  <si>
    <t>KUNAL DHIMAN</t>
  </si>
  <si>
    <t>RAMPRAVESH RANA</t>
  </si>
  <si>
    <t>BALRAJ SHARMA</t>
  </si>
  <si>
    <t>ISHITIV MANGLA</t>
  </si>
  <si>
    <t>ANTRA BANSAL</t>
  </si>
  <si>
    <t>MEHAK RANI</t>
  </si>
  <si>
    <t>ASHISH RANA</t>
  </si>
  <si>
    <t>RAJAT KUMAR</t>
  </si>
  <si>
    <t>JASLEEN KAUR</t>
  </si>
  <si>
    <t>HIMANSHU</t>
  </si>
  <si>
    <t>KAJAL</t>
  </si>
  <si>
    <t>AMAN</t>
  </si>
  <si>
    <t>GARIMA</t>
  </si>
  <si>
    <t>SIDHI KANSAL</t>
  </si>
  <si>
    <t>POORVA</t>
  </si>
  <si>
    <t>MANAV MEHTA</t>
  </si>
  <si>
    <t>MADHAV BAKSHI</t>
  </si>
  <si>
    <t>MADHUR KUMAR</t>
  </si>
  <si>
    <t>ARJUN SHARMA</t>
  </si>
  <si>
    <t>ASNA KHAN</t>
  </si>
  <si>
    <t>MANVI</t>
  </si>
  <si>
    <t>VISHU</t>
  </si>
  <si>
    <t>NIKHIL ARORA</t>
  </si>
  <si>
    <t>KARAN</t>
  </si>
  <si>
    <t>HIMANSHI</t>
  </si>
  <si>
    <t>DAKSH SONDHI</t>
  </si>
  <si>
    <t>ANKUSH</t>
  </si>
  <si>
    <t>ARYAN RANA</t>
  </si>
  <si>
    <t>ADARSH KUMAR</t>
  </si>
  <si>
    <t>HARSHI</t>
  </si>
  <si>
    <t>NIKHIL RANA</t>
  </si>
  <si>
    <t>HARSHITA</t>
  </si>
  <si>
    <t>VANSH KUMAR</t>
  </si>
  <si>
    <t>RITIKA</t>
  </si>
  <si>
    <t>LOVIT KUMAR</t>
  </si>
  <si>
    <t>MAYANK YADAV</t>
  </si>
  <si>
    <t>KRITI</t>
  </si>
  <si>
    <t>SUNNY</t>
  </si>
  <si>
    <t>KASHAK</t>
  </si>
  <si>
    <t>RAMAN MANN</t>
  </si>
  <si>
    <t>RIYA</t>
  </si>
  <si>
    <t>NANCY</t>
  </si>
  <si>
    <t>CHARANPREET KAUR</t>
  </si>
  <si>
    <t>DEEPANSHU SHARMA</t>
  </si>
  <si>
    <t>RITESH SINGH</t>
  </si>
  <si>
    <t>ISHA</t>
  </si>
  <si>
    <t>SALINI</t>
  </si>
  <si>
    <t>TENZIN DENKAR</t>
  </si>
  <si>
    <t>SATYAM DIXIT</t>
  </si>
  <si>
    <t>KHUSHI RANA</t>
  </si>
  <si>
    <t>KHUSHI CHAUBEY</t>
  </si>
  <si>
    <t>VANSH CHAWLA</t>
  </si>
  <si>
    <t>DHEERAJ KUMAR</t>
  </si>
  <si>
    <t>SHIVAM SAINI</t>
  </si>
  <si>
    <t>ANSHDEEP</t>
  </si>
  <si>
    <t>ANKIT SHARMA</t>
  </si>
  <si>
    <t>CHETAN</t>
  </si>
  <si>
    <t>HARSHDEEP KAUR</t>
  </si>
  <si>
    <t>RAJ BARMAN</t>
  </si>
  <si>
    <t>PARTH SAINI</t>
  </si>
  <si>
    <t>ARSHDEEP SINGH</t>
  </si>
  <si>
    <t>MADHAV</t>
  </si>
  <si>
    <t>KHUSHI RANI</t>
  </si>
  <si>
    <t>JASJEET SINGH</t>
  </si>
  <si>
    <t>DINESH KUMAR</t>
  </si>
  <si>
    <t>SARTHAK RANA</t>
  </si>
  <si>
    <t>ANJALI</t>
  </si>
  <si>
    <t>AYUSH KUMAR RAWAL</t>
  </si>
  <si>
    <t>SUMAN KUIKEL</t>
  </si>
  <si>
    <t>SURBHI</t>
  </si>
  <si>
    <t>MAYANK</t>
  </si>
  <si>
    <t>ANSHIKA SAINI</t>
  </si>
  <si>
    <t>KASHISH SIKKA</t>
  </si>
  <si>
    <t>BHUMIKA</t>
  </si>
  <si>
    <t>DHIKSHA</t>
  </si>
  <si>
    <t>HARDEEP SINGH</t>
  </si>
  <si>
    <t>VANSH SAINI</t>
  </si>
  <si>
    <t>DIGVIJAY SINGH</t>
  </si>
  <si>
    <t>RACHIT</t>
  </si>
  <si>
    <t>VISHAL</t>
  </si>
  <si>
    <t>ANCHAL</t>
  </si>
  <si>
    <t>ROUSHAN KUMAR</t>
  </si>
  <si>
    <t>RAHUL KUMAR</t>
  </si>
  <si>
    <t>SURAJ KUMAR</t>
  </si>
  <si>
    <t>AKSHAY KUMAR</t>
  </si>
  <si>
    <t>TUSHAR</t>
  </si>
  <si>
    <t>MUSKAN KUMARI</t>
  </si>
  <si>
    <t>CHANDAN KUMAR SINGH</t>
  </si>
  <si>
    <t>MAAN SINGH</t>
  </si>
  <si>
    <t>PANKAJ SAINI</t>
  </si>
  <si>
    <t>PRIYANSHU BANSAL</t>
  </si>
  <si>
    <t>AAKIB KHAN</t>
  </si>
  <si>
    <t>MD AYYAN</t>
  </si>
  <si>
    <t>SHIVAM KUMAR</t>
  </si>
  <si>
    <t>AARYAN</t>
  </si>
  <si>
    <t>MANISH KUMAR</t>
  </si>
  <si>
    <t>MANI KUMAR</t>
  </si>
  <si>
    <t>RAUNAK KUMAR</t>
  </si>
  <si>
    <t>AYUSH KUMAR</t>
  </si>
  <si>
    <t>DHEERAJ PRASAD</t>
  </si>
  <si>
    <t>SHAHID PRAWEZ</t>
  </si>
  <si>
    <t>BHOLA KUMAR</t>
  </si>
  <si>
    <t>SHRAVAN KUMAR</t>
  </si>
  <si>
    <t>SHIVAM RAJ</t>
  </si>
  <si>
    <t>KAMALESH KUMAR</t>
  </si>
  <si>
    <t>ALOK KUMAR</t>
  </si>
  <si>
    <t>JAY RAM KUMAR</t>
  </si>
  <si>
    <t>MANNU KUMAR</t>
  </si>
  <si>
    <t>NAMAMI AGGARWAL</t>
  </si>
  <si>
    <t>DEEPAK KULCHANIYA</t>
  </si>
  <si>
    <t>BITTU KUMAR</t>
  </si>
  <si>
    <t>MANJEET KUMAR</t>
  </si>
  <si>
    <t>SHAHRUKH KHAN</t>
  </si>
  <si>
    <t>RAVI KUMAR PATHAK</t>
  </si>
  <si>
    <t>MD SHAHJADA</t>
  </si>
  <si>
    <t>JAHID HUSSAIN</t>
  </si>
  <si>
    <t>IMRAN AHMAD</t>
  </si>
  <si>
    <t>SOYAB AKHTAR</t>
  </si>
  <si>
    <t>DIPESH KUMAR SHARMA</t>
  </si>
  <si>
    <t>INJMAMUL HAQUE</t>
  </si>
  <si>
    <t>GAURAV KUMAR</t>
  </si>
  <si>
    <t>SHOURAV KUMAR</t>
  </si>
  <si>
    <t>SATYAM KUMAR</t>
  </si>
  <si>
    <t>GUDDU KUMAR</t>
  </si>
  <si>
    <t>CHIRAG SAINI</t>
  </si>
  <si>
    <t>AJAY KUMAR</t>
  </si>
  <si>
    <t>ANURAG KUMAR</t>
  </si>
  <si>
    <t>NISHU KUMARI</t>
  </si>
  <si>
    <t>KAJAL KUMARI</t>
  </si>
  <si>
    <t>BALMUKUND JHA</t>
  </si>
  <si>
    <t>AKHLAQUE RAHMAN</t>
  </si>
  <si>
    <t>ABHISHEK SINGH</t>
  </si>
  <si>
    <t>ABHISHEK KUMAR</t>
  </si>
  <si>
    <t>ROHIT KUMAR</t>
  </si>
  <si>
    <t>ASHISH KUMAR</t>
  </si>
  <si>
    <t>FAHAD ASFAQUE</t>
  </si>
  <si>
    <t>SALINA SAHU</t>
  </si>
  <si>
    <t>GURMEET SINGH VAID</t>
  </si>
  <si>
    <t>SAHIL KUMAR</t>
  </si>
  <si>
    <t>TUSHAR KUMAR</t>
  </si>
  <si>
    <t>SUMAN KUMAR</t>
  </si>
  <si>
    <t>JASHANPREET SINGH</t>
  </si>
  <si>
    <t>PRAGYA KUMARI</t>
  </si>
  <si>
    <t>RANI KUMARI</t>
  </si>
  <si>
    <t>BHAWANI KUMARI</t>
  </si>
  <si>
    <t>UTOSH NARAYAN</t>
  </si>
  <si>
    <t>ANKIT VISHVAS</t>
  </si>
  <si>
    <t>ANURAG KUMAR SINGH</t>
  </si>
  <si>
    <t>JYOTSHANA KUMARI</t>
  </si>
  <si>
    <t>SHUBHAM KUMAR</t>
  </si>
  <si>
    <t>HARSHEEKESH TIWARI</t>
  </si>
  <si>
    <t>ANKIT RAJ</t>
  </si>
  <si>
    <t>MOHAMMAD IRFAN</t>
  </si>
  <si>
    <t>KHUSHI KUMARI</t>
  </si>
  <si>
    <t>ANKIT KUMAR</t>
  </si>
  <si>
    <t>PIYUSH KUMAR SINGH</t>
  </si>
  <si>
    <t>ALOK RAJ</t>
  </si>
  <si>
    <t>ADITYA SINGH</t>
  </si>
  <si>
    <t>NITESH KUMAR</t>
  </si>
  <si>
    <t>KESHAV KUMAR</t>
  </si>
  <si>
    <t>SONU SINGH</t>
  </si>
  <si>
    <t>KUMAR ADITYA</t>
  </si>
  <si>
    <t>SANNI KUMAR</t>
  </si>
  <si>
    <t>SAHINSHA KUMAR</t>
  </si>
  <si>
    <t>SURYANCHAL KUMAR</t>
  </si>
  <si>
    <t>NEERAJ KUMAR THAKUR</t>
  </si>
  <si>
    <t>AMIT KUMAR PRIYANSHU</t>
  </si>
  <si>
    <t>PALLAWI KUMARI VERMA</t>
  </si>
  <si>
    <t>GAURI KUMARI</t>
  </si>
  <si>
    <t>KAVITA KUMARI</t>
  </si>
  <si>
    <t>PAMMI KUMARI</t>
  </si>
  <si>
    <t>MONIKA KUMARI</t>
  </si>
  <si>
    <t>AJIT RANJAN KUMAR</t>
  </si>
  <si>
    <t>VISHAL KUMAR</t>
  </si>
  <si>
    <t>PUSHP RAJ</t>
  </si>
  <si>
    <t>MD AFTAB</t>
  </si>
  <si>
    <t>MD MERAJ</t>
  </si>
  <si>
    <t>MD ALQUAMA</t>
  </si>
  <si>
    <t>AZAD HUSSAIN</t>
  </si>
  <si>
    <t>NISHANT SHEKHAR</t>
  </si>
  <si>
    <t>MANI BHUSHAN THAKUR</t>
  </si>
  <si>
    <t>ABHIJEET SINGH</t>
  </si>
  <si>
    <t>SANDIP KUMAR</t>
  </si>
  <si>
    <t>AKASH KUMAR</t>
  </si>
  <si>
    <t>DEEPAK KUMAR</t>
  </si>
  <si>
    <t>SUDHANSHU</t>
  </si>
  <si>
    <t>ANKIT KUMAR DUBEY</t>
  </si>
  <si>
    <t>RITIK SHARMA</t>
  </si>
  <si>
    <t>MD HAMID HUSSAIN</t>
  </si>
  <si>
    <t>RUCHIKA SINGH</t>
  </si>
  <si>
    <t>MONIKA SINGH</t>
  </si>
  <si>
    <t>NISHA KUMARI</t>
  </si>
  <si>
    <t>SUNIL YADAV</t>
  </si>
  <si>
    <t>NANDAN KUMAR</t>
  </si>
  <si>
    <t>ASHISH KUMAR SINGH</t>
  </si>
  <si>
    <t>SONU KUMAR</t>
  </si>
  <si>
    <t>ANAND KUMAR MISHRA</t>
  </si>
  <si>
    <t>SANTOSH KUMAR</t>
  </si>
  <si>
    <t>SUMIT KUMAR YADAV</t>
  </si>
  <si>
    <t>SAURABH KUMAR JHA</t>
  </si>
  <si>
    <t>SUMANT KUMAR BHARTI</t>
  </si>
  <si>
    <t>SHIVAM KUMAR PANDEY</t>
  </si>
  <si>
    <t>RASHMI KUMARI</t>
  </si>
  <si>
    <t>BABUL KUMARI</t>
  </si>
  <si>
    <t>NEERAJ SINGH</t>
  </si>
  <si>
    <t>MANISHA KUMARI</t>
  </si>
  <si>
    <t>ANSH RAJ</t>
  </si>
  <si>
    <t>KAUSHAL GIRI</t>
  </si>
  <si>
    <t>AMAN PANDEY</t>
  </si>
  <si>
    <t>ATISH SINGH</t>
  </si>
  <si>
    <t>SNEHA RAJ</t>
  </si>
  <si>
    <t>SANJEEV KUMAR SHARMA</t>
  </si>
  <si>
    <t>MD BABLU ANSARI</t>
  </si>
  <si>
    <t>ROHAN RAJ</t>
  </si>
  <si>
    <t>RISHI RAJ</t>
  </si>
  <si>
    <t>SALONI KUMARI</t>
  </si>
  <si>
    <t>NITISH</t>
  </si>
  <si>
    <t>KHUSHDEEP KAUR</t>
  </si>
  <si>
    <t>VIVEK KUMAR</t>
  </si>
  <si>
    <t>AKSHIT SHARMA</t>
  </si>
  <si>
    <t>HEENA</t>
  </si>
  <si>
    <t>RISHI JANGRA</t>
  </si>
  <si>
    <t>JITENDRA KUMAR</t>
  </si>
  <si>
    <t>ARYANDEEP SETIA</t>
  </si>
  <si>
    <t>DIPAK KUMAR GUPTA</t>
  </si>
  <si>
    <t>KOMAL KUMARI</t>
  </si>
  <si>
    <t>KARAN KUMAR</t>
  </si>
  <si>
    <t>BISHAL SHARMA</t>
  </si>
  <si>
    <t>VISHWAS KUMAR</t>
  </si>
  <si>
    <t>DHIRAJ KUMAR</t>
  </si>
  <si>
    <t>ABDUL KHALIK</t>
  </si>
  <si>
    <t>RAGHUNANDAN GIRI</t>
  </si>
  <si>
    <t>AI&amp;ML</t>
  </si>
  <si>
    <t xml:space="preserve">Data Science </t>
  </si>
  <si>
    <t>Data Science</t>
  </si>
  <si>
    <t>AIML</t>
  </si>
  <si>
    <t>VIJAY GIRI</t>
  </si>
  <si>
    <t>BHIKHARI MANJHI</t>
  </si>
  <si>
    <t>MD NURUL HODA</t>
  </si>
  <si>
    <t>ASHOK KUMAR JHA</t>
  </si>
  <si>
    <t>COULIBALY TIDIANE</t>
  </si>
  <si>
    <t>RANJEET MAHTO</t>
  </si>
  <si>
    <t>VIRENDRA SINGH</t>
  </si>
  <si>
    <t>BADHU YADAV</t>
  </si>
  <si>
    <t>SANJAY SHARMA</t>
  </si>
  <si>
    <t>SATENDRA GIRI</t>
  </si>
  <si>
    <t xml:space="preserve">23-MCM- </t>
  </si>
  <si>
    <t>23-MCM-000</t>
  </si>
  <si>
    <t>Mobile No.</t>
  </si>
  <si>
    <t>Student's Name</t>
  </si>
  <si>
    <t>Registration No.</t>
  </si>
  <si>
    <t>Roll No.</t>
  </si>
  <si>
    <t>Section.</t>
  </si>
  <si>
    <t>Specail.</t>
  </si>
  <si>
    <t>PROGRESS SHEET</t>
  </si>
  <si>
    <t>Sem. 1</t>
  </si>
  <si>
    <t>Sem. 2</t>
  </si>
  <si>
    <t>Sem. 3</t>
  </si>
  <si>
    <t>Sem. 4</t>
  </si>
  <si>
    <t>RLS</t>
  </si>
  <si>
    <t>ABSENT</t>
  </si>
  <si>
    <t>COULIBALY FATIMA ANNICK</t>
  </si>
  <si>
    <t>KUNAL GOEL</t>
  </si>
  <si>
    <t>POOJA NAGPAL</t>
  </si>
  <si>
    <t>RL(REGN.)</t>
  </si>
  <si>
    <t>HARENDRA SINGH</t>
  </si>
  <si>
    <t>SHAMBHUNATH YADAV</t>
  </si>
  <si>
    <t>LALBABU MISHRA</t>
  </si>
  <si>
    <t>KAUSHLYA DEVI</t>
  </si>
  <si>
    <t>RAVINDER KUMAR</t>
  </si>
  <si>
    <t>SANJAY KUMAR</t>
  </si>
  <si>
    <t>CHAMAKLAL MANDAL</t>
  </si>
  <si>
    <t>ROMI JANGRA</t>
  </si>
  <si>
    <t>NAIN KUMAR</t>
  </si>
  <si>
    <t>MD SHOYEB ALAM</t>
  </si>
  <si>
    <t>MUNISH KUMAR</t>
  </si>
  <si>
    <t>SAWDHAN SINGH</t>
  </si>
  <si>
    <t>MD MARUF</t>
  </si>
  <si>
    <t>RAM NIWAS</t>
  </si>
  <si>
    <t>RATAN RAY</t>
  </si>
  <si>
    <t>GURVINDER SINGH</t>
  </si>
  <si>
    <t>MANOJ</t>
  </si>
  <si>
    <t>RAM PRAVESH THAKUR</t>
  </si>
  <si>
    <t>SURINDER SINGH</t>
  </si>
  <si>
    <t>SHAMBHU CHAUDHARY</t>
  </si>
  <si>
    <t>PARVEEN SHARMA</t>
  </si>
  <si>
    <t>MD ID MOHAMMAD</t>
  </si>
  <si>
    <t>PRAMOD KUMAR SINGH</t>
  </si>
  <si>
    <t>AMAN SHARMA</t>
  </si>
  <si>
    <t>SIKANDAR KUSHWAHA</t>
  </si>
  <si>
    <t>DEEPAK SINGH</t>
  </si>
  <si>
    <t>NAWAL KISHOR SINGH</t>
  </si>
  <si>
    <t>RAVINDRA SINGH</t>
  </si>
  <si>
    <t>HEMANT KUMAR</t>
  </si>
  <si>
    <t>LAKSHMAN DAS</t>
  </si>
  <si>
    <t>DILIP MANDAL</t>
  </si>
  <si>
    <t>CHANDRA LAL BISWAKARMA</t>
  </si>
  <si>
    <t>BRIJ KISHOR SAH KANU</t>
  </si>
  <si>
    <t>ARVIND TIWARI</t>
  </si>
  <si>
    <t>RASH BIHARI SHARMA</t>
  </si>
  <si>
    <t>BIPIN SINGH</t>
  </si>
  <si>
    <t>SANJAY SINGH</t>
  </si>
  <si>
    <t>LALAN THAKUR</t>
  </si>
  <si>
    <t>HEMANT KUMAR SINHA</t>
  </si>
  <si>
    <t>MD BADRUZZAMA</t>
  </si>
  <si>
    <t>SPEEK</t>
  </si>
  <si>
    <t>JASMER SINGH</t>
  </si>
  <si>
    <t>SUDA ANSARI</t>
  </si>
  <si>
    <t>BIDYA SHANKAR SHARMA</t>
  </si>
  <si>
    <t>YOGENDRA PRASAD SINGH</t>
  </si>
  <si>
    <t>SUSHIL KUMAR</t>
  </si>
  <si>
    <t>KAMESHWAR SINGH</t>
  </si>
  <si>
    <t>SHAMBHU SINGH</t>
  </si>
  <si>
    <t>ABHAY KUMAR</t>
  </si>
  <si>
    <t>MUNEESH AGGARWAL</t>
  </si>
  <si>
    <t>SHIV SHANKAR GIRI</t>
  </si>
  <si>
    <t>YUGAL PANDIT</t>
  </si>
  <si>
    <t>SANJAY KUMAR SHARMA</t>
  </si>
  <si>
    <t>RAMANAND PANDIT</t>
  </si>
  <si>
    <t>SHIVKENDRA KHARWAR</t>
  </si>
  <si>
    <t>BRAJ KISHOR SINGH</t>
  </si>
  <si>
    <t>LAXMI SAH</t>
  </si>
  <si>
    <t>RAM BACHAN PRASAD</t>
  </si>
  <si>
    <t>FAYAZ AHMAD RATHER</t>
  </si>
  <si>
    <t>CHANDAN YADAV</t>
  </si>
  <si>
    <t>NILESH KUMAR</t>
  </si>
  <si>
    <t>DINESH PANDEY</t>
  </si>
  <si>
    <t>DILIP KUMAR BHARTI</t>
  </si>
  <si>
    <t>KADAM SINGH</t>
  </si>
  <si>
    <t>JAMADAR PRASAD YADAV</t>
  </si>
  <si>
    <t>MANEJAR RAY</t>
  </si>
  <si>
    <t>WAKIL RAY</t>
  </si>
  <si>
    <t>BINOD KUMAR MISHRA</t>
  </si>
  <si>
    <t>PRAHALAD RAM</t>
  </si>
  <si>
    <t>PRASHANT KUMAR CHANDAN</t>
  </si>
  <si>
    <t>SURESH SINGH</t>
  </si>
  <si>
    <t>ARUN MAHTO</t>
  </si>
  <si>
    <t>VIDYANAND YADAV</t>
  </si>
  <si>
    <t>VIJAY KUMAR SAH</t>
  </si>
  <si>
    <t>DEEPAK KUMAR SINGH</t>
  </si>
  <si>
    <t>MD ANZAR HUSSAIN</t>
  </si>
  <si>
    <t>DIPAK SHARMA</t>
  </si>
  <si>
    <t>RAVINANDAN DUBEY</t>
  </si>
  <si>
    <t>DINESHWAR SAH</t>
  </si>
  <si>
    <t>ANIL KUMAR</t>
  </si>
  <si>
    <t>VIRENDRA MAHATO</t>
  </si>
  <si>
    <t>SARVJINDER SINGH</t>
  </si>
  <si>
    <t>HIRALAL THAKUR</t>
  </si>
  <si>
    <t>HARENDRA YADAV</t>
  </si>
  <si>
    <t>BIPIN KUMAR</t>
  </si>
  <si>
    <t>RAKESH THAKUR</t>
  </si>
  <si>
    <t>KRISHN RANJAN SINGH</t>
  </si>
  <si>
    <t>TAHIR HUSSAIN</t>
  </si>
  <si>
    <t>MD IJRAIL</t>
  </si>
  <si>
    <t>ABDUL QUADIR</t>
  </si>
  <si>
    <t>RAJIV KUMAR</t>
  </si>
  <si>
    <t>DEVENDRA PRASAD CHAURASIYA</t>
  </si>
  <si>
    <t>SUDARSHAN RAM</t>
  </si>
  <si>
    <t>RAMNARESH PRASAD</t>
  </si>
  <si>
    <t>SANJAY KUMAR SINGH</t>
  </si>
  <si>
    <t>DAYASINDHU SHUKLA</t>
  </si>
  <si>
    <t>KAMLESH KUMAR VERMA</t>
  </si>
  <si>
    <t>SIDHESHWAR SHARMA</t>
  </si>
  <si>
    <t>SHATRUDHAN THAKUR</t>
  </si>
  <si>
    <t>AMRESH KUMAR</t>
  </si>
  <si>
    <t>SANJEET KUMAR SINGH</t>
  </si>
  <si>
    <t>LALJI SAH</t>
  </si>
  <si>
    <t>YUGESH SINGH</t>
  </si>
  <si>
    <t>OM PRAKASH SINGH</t>
  </si>
  <si>
    <t>SANTOSH PRASAD</t>
  </si>
  <si>
    <t>SACHIDANAND RAO</t>
  </si>
  <si>
    <t>RASH BIHARI PANDEY</t>
  </si>
  <si>
    <t>SHIVAJEE SINGH</t>
  </si>
  <si>
    <t>JITENDRA KUMAR MUKUL</t>
  </si>
  <si>
    <t>VIJAY KUMAR JHA</t>
  </si>
  <si>
    <t>SAGIR AHMAD</t>
  </si>
  <si>
    <t>DILEEP SINGH</t>
  </si>
  <si>
    <t>SANJAY TIWARI</t>
  </si>
  <si>
    <t>DINKAR PRASAD YADAV</t>
  </si>
  <si>
    <t>SIDDHNATH SINGH</t>
  </si>
  <si>
    <t>KUNDAN KUMAR</t>
  </si>
  <si>
    <t>LATE HARERAM PANDIT</t>
  </si>
  <si>
    <t>TEJ NARAYAN</t>
  </si>
  <si>
    <t>TRIDEO PANDIT</t>
  </si>
  <si>
    <t>DHARMDEO PANDIT</t>
  </si>
  <si>
    <t>SURJIT SINGH</t>
  </si>
  <si>
    <t>SANTOSH KUMAR SINGH</t>
  </si>
  <si>
    <t>TINKU KUMAR</t>
  </si>
  <si>
    <t>SANJEEV KUMAR</t>
  </si>
  <si>
    <t>ASFAQUE AHMAD</t>
  </si>
  <si>
    <t>PANNALAL SAH</t>
  </si>
  <si>
    <t>KISHOR SINGH</t>
  </si>
  <si>
    <t>HARERAM PANDIT</t>
  </si>
  <si>
    <t>JAY PRAKASH SINGH</t>
  </si>
  <si>
    <t>MD HASNAIN ANSARI</t>
  </si>
  <si>
    <t>LALAN JHA</t>
  </si>
  <si>
    <t>PARDEEP KUMAR</t>
  </si>
  <si>
    <t>SUKHWINDER SINGH</t>
  </si>
  <si>
    <t>ASHOK JHA</t>
  </si>
  <si>
    <t>NAVEEN CHANDRA BAGAULI</t>
  </si>
  <si>
    <t>KRISHAN</t>
  </si>
  <si>
    <t>SUNIL DUTT SHARMA</t>
  </si>
  <si>
    <t>VARINDER KUMAR</t>
  </si>
  <si>
    <t>PAWAN KUMAR</t>
  </si>
  <si>
    <t>ASHWANI DUTTA</t>
  </si>
  <si>
    <t>RAJEEV SHANKAR</t>
  </si>
  <si>
    <t>PARDEEP</t>
  </si>
  <si>
    <t>PARDEEP SHARMA</t>
  </si>
  <si>
    <t>ASHWANI KUMAR</t>
  </si>
  <si>
    <t>RAVINDER</t>
  </si>
  <si>
    <t>DHARMINDER BAKSHI</t>
  </si>
  <si>
    <t>RAMESH SINGH</t>
  </si>
  <si>
    <t>MANGAT RAM</t>
  </si>
  <si>
    <t>SANDEEP MEHTA</t>
  </si>
  <si>
    <t>BHULLA SINGH</t>
  </si>
  <si>
    <t>SORABH KUMAR</t>
  </si>
  <si>
    <t>MOHINDER PAL</t>
  </si>
  <si>
    <t>RAVINDER SHARMA</t>
  </si>
  <si>
    <t>GURJIT SINGH</t>
  </si>
  <si>
    <t>RAKESH KUMAR</t>
  </si>
  <si>
    <t>CHAVI DHIMAN</t>
  </si>
  <si>
    <t>RAMESH KUMAR</t>
  </si>
  <si>
    <t>SIRI OM</t>
  </si>
  <si>
    <t>MANPAL SINGH</t>
  </si>
  <si>
    <t>SAKOOR MOHD</t>
  </si>
  <si>
    <t>PANKAJ</t>
  </si>
  <si>
    <t>AMARJEET SINGH</t>
  </si>
  <si>
    <t>RAM NARESH GUPTA</t>
  </si>
  <si>
    <t>SITA RAM</t>
  </si>
  <si>
    <t>SOHAN LAL</t>
  </si>
  <si>
    <t>SALINDER</t>
  </si>
  <si>
    <t>MANOJ KUMAR</t>
  </si>
  <si>
    <t>JASVINDER KUMAR</t>
  </si>
  <si>
    <t>LALIT SHARMA</t>
  </si>
  <si>
    <t>SATISH KUMAR</t>
  </si>
  <si>
    <t>JASWINDER SINGH</t>
  </si>
  <si>
    <t>VINOD KUMAR</t>
  </si>
  <si>
    <t>RAJAN SHRIVASTAV</t>
  </si>
  <si>
    <t>SUNIL</t>
  </si>
  <si>
    <t>DARSHAN ARORA</t>
  </si>
  <si>
    <t>SUMIT GUPTA</t>
  </si>
  <si>
    <t>DEVI LAL</t>
  </si>
  <si>
    <t>RAKESH MITTAL</t>
  </si>
  <si>
    <t>VIRENDER SINGH</t>
  </si>
  <si>
    <t>A</t>
  </si>
  <si>
    <t>B</t>
  </si>
  <si>
    <t>C</t>
  </si>
  <si>
    <t>D</t>
  </si>
  <si>
    <t>E</t>
  </si>
  <si>
    <t>F</t>
  </si>
  <si>
    <t>G</t>
  </si>
  <si>
    <t>BCA (Data Science)</t>
  </si>
  <si>
    <t>BCA (AI &amp; ML)</t>
  </si>
  <si>
    <t>Course Changed</t>
  </si>
  <si>
    <t>Group Specialization</t>
  </si>
  <si>
    <t>DAVINDER SINGH</t>
  </si>
  <si>
    <t>PURAN CHAND</t>
  </si>
  <si>
    <t>BALINDER SINGH</t>
  </si>
  <si>
    <t>PARMOD KUMAR</t>
  </si>
  <si>
    <t>RAJESH SAINI</t>
  </si>
  <si>
    <t>RAKESH</t>
  </si>
  <si>
    <t>RAJENDER SINGH</t>
  </si>
  <si>
    <t>JAY NARAYAN BHARTI</t>
  </si>
  <si>
    <t>SHANTI BHUSHAN</t>
  </si>
  <si>
    <t>RAJ KUMAR</t>
  </si>
  <si>
    <t>HANS RAJ</t>
  </si>
  <si>
    <t>CHARANJEET SINGH</t>
  </si>
  <si>
    <t>KARAM CHAND SAINI</t>
  </si>
  <si>
    <t>VINOD RANA</t>
  </si>
  <si>
    <t>RAJESH</t>
  </si>
  <si>
    <t>KANWAR PAL</t>
  </si>
  <si>
    <t>TILAK RAJ SAINI</t>
  </si>
  <si>
    <t>JASBIR SINGH</t>
  </si>
  <si>
    <t>TARSEM KUMAR</t>
  </si>
  <si>
    <t>SANJAY KUMAR AGGARWAL</t>
  </si>
  <si>
    <t>RAJINDER SINGH</t>
  </si>
  <si>
    <t>HARVINDER SINGH</t>
  </si>
  <si>
    <t>BHUSHAN SHARMA</t>
  </si>
  <si>
    <t>PARVEEN KUMAR</t>
  </si>
  <si>
    <t>KULDEEP SINGH</t>
  </si>
  <si>
    <t>JARNAIL SINGH</t>
  </si>
  <si>
    <t>ARVIND KUMAR</t>
  </si>
  <si>
    <t>VIJAY KUMAR</t>
  </si>
  <si>
    <t>SURESH KUMAR</t>
  </si>
  <si>
    <t>SHIV KUMAR</t>
  </si>
  <si>
    <t>AMIT AGGARWAL</t>
  </si>
  <si>
    <t>BALDEV RAJ</t>
  </si>
  <si>
    <t>GULSHAN KUMAR</t>
  </si>
  <si>
    <t>RAM CHANDER</t>
  </si>
  <si>
    <t>NAVEEN KUMAR</t>
  </si>
  <si>
    <t>HARISH KUMAR</t>
  </si>
  <si>
    <t>RAVINDER SINGH</t>
  </si>
  <si>
    <t>DHARAM PAL SAINI</t>
  </si>
  <si>
    <t>PARVEEN</t>
  </si>
  <si>
    <t>RAM AVTAR</t>
  </si>
  <si>
    <t>HARPAL</t>
  </si>
  <si>
    <t>GURJEET SINGH</t>
  </si>
  <si>
    <t>SHEKHAR GULATI</t>
  </si>
  <si>
    <t>HARPAL SINGH</t>
  </si>
  <si>
    <t>SUNIL ARORA</t>
  </si>
  <si>
    <t>ANIL AHUJA</t>
  </si>
  <si>
    <t>SAMSAD</t>
  </si>
  <si>
    <t>CHANDER BHAN</t>
  </si>
  <si>
    <t>DHARMENDER SINGH</t>
  </si>
  <si>
    <t>VISHWANATH</t>
  </si>
  <si>
    <t>TILAK RAJ</t>
  </si>
  <si>
    <t>SARDOOL SINGH</t>
  </si>
  <si>
    <t>KRISHAN KUMAR</t>
  </si>
  <si>
    <t>ASHOK</t>
  </si>
  <si>
    <t>RAVI PAHUJA</t>
  </si>
  <si>
    <t>PARVINDER CHHABRA</t>
  </si>
  <si>
    <t>RAMPAL</t>
  </si>
  <si>
    <t>SAHAB SINGH</t>
  </si>
  <si>
    <t>AVTAR SINGH</t>
  </si>
  <si>
    <t>SUBHASH</t>
  </si>
  <si>
    <t>ANIL YADAV</t>
  </si>
  <si>
    <t>GURDEEP SINGH</t>
  </si>
  <si>
    <t>SAHAB MANJHI</t>
  </si>
  <si>
    <t>SUDHIR</t>
  </si>
  <si>
    <t>MOHAN LAL</t>
  </si>
  <si>
    <t>SURINDER KUMAR</t>
  </si>
  <si>
    <t>LOKESH ANAND</t>
  </si>
  <si>
    <t>SUBHASH CHAND</t>
  </si>
  <si>
    <t>GOPAL SINGH</t>
  </si>
  <si>
    <t>BALESHWAR RANA</t>
  </si>
  <si>
    <t>ASHISH MANGLA</t>
  </si>
  <si>
    <t>SANDEEP GUPTA</t>
  </si>
  <si>
    <t>RAJESH SAH</t>
  </si>
  <si>
    <t>BUDHAN RANA</t>
  </si>
  <si>
    <t>ASHISH BANSAL</t>
  </si>
  <si>
    <t>BHARAT BHUSHAN</t>
  </si>
  <si>
    <t>RAMCHANDAR RANA</t>
  </si>
  <si>
    <t>RAM MEHAR</t>
  </si>
  <si>
    <t>GANESH RAM</t>
  </si>
  <si>
    <t>AJAY PAL</t>
  </si>
  <si>
    <t>ROOP SAIN</t>
  </si>
  <si>
    <t>CHANDER MOHAN</t>
  </si>
  <si>
    <t>YOGESH KHURANA</t>
  </si>
  <si>
    <t>GULSHAN</t>
  </si>
  <si>
    <t>DAVINDER NATH</t>
  </si>
  <si>
    <t>GAGANDEEP</t>
  </si>
  <si>
    <t>BHUPENDRA KUMAR</t>
  </si>
  <si>
    <t>SOMNATH</t>
  </si>
  <si>
    <t>DEEPAK BANSAL</t>
  </si>
  <si>
    <t>SHIV MUNI SINGH</t>
  </si>
  <si>
    <t>CHANDER PERKASH</t>
  </si>
  <si>
    <t>SARVJEET MEHTA</t>
  </si>
  <si>
    <t>NISHCHAL KUMAR</t>
  </si>
  <si>
    <t>RAJEEV KUMAR SHARMA</t>
  </si>
  <si>
    <t>SURESH GROVER</t>
  </si>
  <si>
    <t>LAL MANI</t>
  </si>
  <si>
    <t>PARMAL KUMAR</t>
  </si>
  <si>
    <t>RAJESH GROVER</t>
  </si>
  <si>
    <t>TILAK RAJ MONGA</t>
  </si>
  <si>
    <t>RASHID JAMAL KHAN</t>
  </si>
  <si>
    <t>SAURABH JAIN</t>
  </si>
  <si>
    <t>NARINDER KUMAR</t>
  </si>
  <si>
    <t>BABURAM</t>
  </si>
  <si>
    <t>SANDEEP KUMAR</t>
  </si>
  <si>
    <t>RISHI PAL</t>
  </si>
  <si>
    <t>SURENDRA KUMAR ARORA</t>
  </si>
  <si>
    <t>DALJIT SINGH</t>
  </si>
  <si>
    <t>SATPAL</t>
  </si>
  <si>
    <t>SAT PAL</t>
  </si>
  <si>
    <t>RAJU RANA</t>
  </si>
  <si>
    <t>PANKAJ KUMAR</t>
  </si>
  <si>
    <t>TARUN KUMAR</t>
  </si>
  <si>
    <t>DEVENDER SINGH</t>
  </si>
  <si>
    <t>MUKESH KUMAR</t>
  </si>
  <si>
    <t>GOPAL KRISHAN</t>
  </si>
  <si>
    <t>VIKRAM KUMAR</t>
  </si>
  <si>
    <t>KHURSHID AHMED</t>
  </si>
  <si>
    <t>UPENDRA NATH BEHERA</t>
  </si>
  <si>
    <t>JATINDER KUMAR</t>
  </si>
  <si>
    <t>RAJ SINGH</t>
  </si>
  <si>
    <t>ANIL GABA</t>
  </si>
  <si>
    <t>FAKIR CHAND</t>
  </si>
  <si>
    <t>DHARMINDER</t>
  </si>
  <si>
    <t>VIKESH KUMAR</t>
  </si>
  <si>
    <t>PANKAJ JUNEJA</t>
  </si>
  <si>
    <t>MANMOHAN SINGH</t>
  </si>
  <si>
    <t>DINESH GAUTAM</t>
  </si>
  <si>
    <t>DALIP</t>
  </si>
  <si>
    <t>SHIV BILAS</t>
  </si>
  <si>
    <t>SACHIN KUMAR</t>
  </si>
  <si>
    <t>KULDEEP</t>
  </si>
  <si>
    <t>AKHILESH</t>
  </si>
  <si>
    <t>BALVINDER SINGH SAINI</t>
  </si>
  <si>
    <t>VIRENDER SINGH LALAR</t>
  </si>
  <si>
    <t>GURMEET SINGH</t>
  </si>
  <si>
    <t>GURPREET SINGH</t>
  </si>
  <si>
    <t>INDERJEET SINGH</t>
  </si>
  <si>
    <t>PURAN SINGH</t>
  </si>
  <si>
    <t>LALAN YADAV</t>
  </si>
  <si>
    <t>TENZIN PENJOR</t>
  </si>
  <si>
    <t>SUNIL KUMAR</t>
  </si>
  <si>
    <t>PRAMOD KUMAR</t>
  </si>
  <si>
    <t>RAMBABU</t>
  </si>
  <si>
    <t>ASHOK KUMAR</t>
  </si>
  <si>
    <t>RAJESH CHAUBEY</t>
  </si>
  <si>
    <t>BALWAN SINGH</t>
  </si>
  <si>
    <t>DEV SHARMA</t>
  </si>
  <si>
    <t>HARDEV SINGH</t>
  </si>
  <si>
    <t>SUBHASH PUNDIR</t>
  </si>
  <si>
    <t>SURESH CHAND</t>
  </si>
  <si>
    <t>DHANESHWAR</t>
  </si>
  <si>
    <t>SUBROTO CHATTERJEE</t>
  </si>
  <si>
    <t>MOHAN PAL SINGH</t>
  </si>
  <si>
    <t>CHANDER SEKHER</t>
  </si>
  <si>
    <t>RAJINDER KUMAR</t>
  </si>
  <si>
    <t>MITHILESH KUMAR RAI</t>
  </si>
  <si>
    <t>MANMEET SINGH</t>
  </si>
  <si>
    <t>HARI SINGH</t>
  </si>
  <si>
    <t>TEJPAL</t>
  </si>
  <si>
    <t>KAMAL KUMAR</t>
  </si>
  <si>
    <t>MAHAVEER</t>
  </si>
  <si>
    <t>ANUJ KUMAR</t>
  </si>
  <si>
    <t>PARDEEP KUMAR RAWAL</t>
  </si>
  <si>
    <t>HARWINDER SINGH</t>
  </si>
  <si>
    <t>UFRAN ALI</t>
  </si>
  <si>
    <t>SANDEEP CHAUDHARY</t>
  </si>
  <si>
    <t>SUBHASH KUMAR</t>
  </si>
  <si>
    <t>DAVINDER KUMAR</t>
  </si>
  <si>
    <t>PREM NATH</t>
  </si>
  <si>
    <t>OM PARKASH VERMA</t>
  </si>
  <si>
    <t>SHAMSHER SINGH</t>
  </si>
  <si>
    <t>JEET KUMAR</t>
  </si>
  <si>
    <t>COULIBALY ABOUDOU</t>
  </si>
  <si>
    <t>OMA NATH KUIKEL</t>
  </si>
  <si>
    <t>ABHIMANYU PRASAD</t>
  </si>
  <si>
    <t>DHARAMVEER</t>
  </si>
  <si>
    <t>RANBIR SINGH</t>
  </si>
  <si>
    <t>BRIJESH KUMAR</t>
  </si>
  <si>
    <t>ARUN KUMAR GUPTA KASAUDHAN</t>
  </si>
  <si>
    <t>KRISHAN LAL</t>
  </si>
  <si>
    <t>VIKASH CHANDER SIKKA</t>
  </si>
  <si>
    <t>HOSHIAR SINGH</t>
  </si>
  <si>
    <t>MITTAR PAL</t>
  </si>
  <si>
    <t>RAMESHWAR SINGH</t>
  </si>
  <si>
    <t>VED PARKASH</t>
  </si>
  <si>
    <t>PARAMJIT SINGH</t>
  </si>
  <si>
    <t>NARENDER KUMAR</t>
  </si>
  <si>
    <t>SUKHDEV SINGH</t>
  </si>
  <si>
    <t>SURJEET KUMAR</t>
  </si>
  <si>
    <t>ARVIND RAY</t>
  </si>
  <si>
    <t>ANIL</t>
  </si>
  <si>
    <t>SANJAY KUMAR PODDAR</t>
  </si>
  <si>
    <t>MD HASNAIN KHAN</t>
  </si>
  <si>
    <t>AJAY</t>
  </si>
  <si>
    <t>RAM BHAGAT</t>
  </si>
  <si>
    <t>KARNAIL SINGH</t>
  </si>
  <si>
    <t>MUNNA SAH</t>
  </si>
  <si>
    <t>SANTOSH SINGH</t>
  </si>
  <si>
    <t>VISHWAMITRA SINGH</t>
  </si>
  <si>
    <t>RAMBABU PRASAD</t>
  </si>
  <si>
    <t>MAMCHAND</t>
  </si>
  <si>
    <t>PARMOD</t>
  </si>
  <si>
    <t>DENNIS APPLETON</t>
  </si>
  <si>
    <t>SHIV CHARAN</t>
  </si>
  <si>
    <t>SDO SINGH</t>
  </si>
  <si>
    <t>LAXMI NARAYAN</t>
  </si>
  <si>
    <t>RANJEET SINGH</t>
  </si>
  <si>
    <t>JITENDER</t>
  </si>
  <si>
    <t>KASHMIR SINGH</t>
  </si>
  <si>
    <t>ICHPAL SINGH BALI</t>
  </si>
  <si>
    <t>GAURAV BANSAL</t>
  </si>
  <si>
    <t>SHAMSHER MUHMMAD</t>
  </si>
  <si>
    <t>MD JAMAL UDDIN</t>
  </si>
  <si>
    <t>MUKESH SINGH</t>
  </si>
  <si>
    <t>HARISH KUMAR DUTTA</t>
  </si>
  <si>
    <t>RAJARAM MAHTO</t>
  </si>
  <si>
    <t>DEV NARAYAN BHAGAT</t>
  </si>
  <si>
    <t>NANDAN PRASAD</t>
  </si>
  <si>
    <t>BRAJ KISHOR PRASAD</t>
  </si>
  <si>
    <t>SHAILENDRA PATHAK</t>
  </si>
  <si>
    <t>SHIVAJI PRASAD</t>
  </si>
  <si>
    <t>ASAMUDDIN ANSARI</t>
  </si>
  <si>
    <t>DILIP SINGH</t>
  </si>
  <si>
    <t>VINOD PATHAK</t>
  </si>
  <si>
    <t>SHAMBHU SHA</t>
  </si>
  <si>
    <t>SURENDRA KUMAR SINHA</t>
  </si>
  <si>
    <t>SURESH MAHTO</t>
  </si>
  <si>
    <t>CHANDRIKA RAM</t>
  </si>
  <si>
    <t>RATNESH PATEL</t>
  </si>
  <si>
    <t>DASHRATH PANDIT</t>
  </si>
  <si>
    <t>BIPIN PD VERMA</t>
  </si>
  <si>
    <t>NAGENDER KUMAR</t>
  </si>
  <si>
    <t>SUBHASH KULCHANIYA</t>
  </si>
  <si>
    <t>PRABHUNATH PRASAD</t>
  </si>
  <si>
    <t>PRAVEEN KUMAR</t>
  </si>
  <si>
    <t>GAYUR KHAN</t>
  </si>
  <si>
    <t>SHIV PUJAN SHUKLA</t>
  </si>
  <si>
    <t>SANJAY PANDIT</t>
  </si>
  <si>
    <t>SUDHAKAR PATHAK</t>
  </si>
  <si>
    <t>MD MAHID KHAN</t>
  </si>
  <si>
    <t>SADAM HUSSAIN</t>
  </si>
  <si>
    <t>ABDUL QADIR</t>
  </si>
  <si>
    <t>ALAMAT HUSSAIN</t>
  </si>
  <si>
    <t>SURENDRA SHARMA</t>
  </si>
  <si>
    <t>MUBARAK HUSSAIN</t>
  </si>
  <si>
    <t>SHARVAN KUMAR</t>
  </si>
  <si>
    <t>SURENDRA SINGH</t>
  </si>
  <si>
    <t>SAKAL RAY</t>
  </si>
  <si>
    <t>ANJANI KUMAR JHA</t>
  </si>
  <si>
    <t>RANJEET SAH</t>
  </si>
  <si>
    <t>RANJIT SINGH</t>
  </si>
  <si>
    <t>RAM KUMAR</t>
  </si>
  <si>
    <t>AMARJEET</t>
  </si>
  <si>
    <t>RAJNARYAN SAH</t>
  </si>
  <si>
    <t>SANKET YADAV</t>
  </si>
  <si>
    <t>BIRESH YADAV</t>
  </si>
  <si>
    <t>RAM KARAN</t>
  </si>
  <si>
    <t>SURJEET SINGH</t>
  </si>
  <si>
    <t>PRAMOD KUMAR YADAV</t>
  </si>
  <si>
    <t>DILIP KUMAR SAH</t>
  </si>
  <si>
    <t>BINOD KUMAR SINGH</t>
  </si>
  <si>
    <t>MD MOJIBUL HAQUE</t>
  </si>
  <si>
    <t>PARLAD</t>
  </si>
  <si>
    <t>ASHOK PASWAN</t>
  </si>
  <si>
    <t>BRIJ MOHAN SINGH</t>
  </si>
  <si>
    <t>SUBHASH CHANDRA JHA</t>
  </si>
  <si>
    <t>BHAVESH KUMAR</t>
  </si>
  <si>
    <t>RAJKUMAR BISHWAS</t>
  </si>
  <si>
    <t>RAJU TIWARI</t>
  </si>
  <si>
    <t>RAJIV SINGH</t>
  </si>
  <si>
    <t>SHRI KRISHAN</t>
  </si>
  <si>
    <t>NARENDER SINGH</t>
  </si>
  <si>
    <t>KANWAR JEET SINGH</t>
  </si>
  <si>
    <t>RAJESH KUMAR SHARMA</t>
  </si>
  <si>
    <t>BHUSHAN JAISWAL</t>
  </si>
  <si>
    <t>SHELLY KAMBOJ</t>
  </si>
  <si>
    <t>SHASHWAT</t>
  </si>
  <si>
    <t>HARLEEN KAUR</t>
  </si>
  <si>
    <t>PARAVDEEP KAUR</t>
  </si>
  <si>
    <t>RAM</t>
  </si>
  <si>
    <t>MEENAKSHI</t>
  </si>
  <si>
    <t>SANDEEP KUMAR SAINI</t>
  </si>
  <si>
    <t>VANSH MAINI</t>
  </si>
  <si>
    <t>DIVYANSHI</t>
  </si>
  <si>
    <t>ARPIT</t>
  </si>
  <si>
    <t>SHUBHAM BAKSHI</t>
  </si>
  <si>
    <t>VEERPARTAP SINGH</t>
  </si>
  <si>
    <t>DIVYA SHARMA</t>
  </si>
  <si>
    <t>LAVISH KUMAR</t>
  </si>
  <si>
    <t>DEVANSHU</t>
  </si>
  <si>
    <t>SHIVANSH PRASHAR</t>
  </si>
  <si>
    <t>ADITYA</t>
  </si>
  <si>
    <t>PARDUMAN</t>
  </si>
  <si>
    <t>SANDEEP</t>
  </si>
  <si>
    <t>SACHIN CHOUDHARY</t>
  </si>
  <si>
    <t>NIHARIKA</t>
  </si>
  <si>
    <t>SHEETAL</t>
  </si>
  <si>
    <t>SAORABH</t>
  </si>
  <si>
    <t>LAKSHIT</t>
  </si>
  <si>
    <t>SHWETA KUMARI</t>
  </si>
  <si>
    <t>KHUSHBOO</t>
  </si>
  <si>
    <t>SHUBHAM</t>
  </si>
  <si>
    <t>ARPIT KUMAR</t>
  </si>
  <si>
    <t>LAVISH MEHTA</t>
  </si>
  <si>
    <t>NAVISH KUMAR</t>
  </si>
  <si>
    <t>DEV PUNDIR</t>
  </si>
  <si>
    <t>HARDIK AGGARWAL</t>
  </si>
  <si>
    <t>BALJINDER</t>
  </si>
  <si>
    <t>SANIA</t>
  </si>
  <si>
    <t>YASHRAJ</t>
  </si>
  <si>
    <t>PALAK GOYAL</t>
  </si>
  <si>
    <t>SHIVANGI</t>
  </si>
  <si>
    <t>KUNAL</t>
  </si>
  <si>
    <t>TRISHA SAINI</t>
  </si>
  <si>
    <t>MADHAV GULATI</t>
  </si>
  <si>
    <t>CHARU ARORA</t>
  </si>
  <si>
    <t>SHARWAN DHIMAN</t>
  </si>
  <si>
    <t>VANSH CHOUDHRY</t>
  </si>
  <si>
    <t>MINAKSHI THAKUR</t>
  </si>
  <si>
    <t>DEVANSH</t>
  </si>
  <si>
    <t>RAJAT</t>
  </si>
  <si>
    <t>SUMER SAINI</t>
  </si>
  <si>
    <t>SAPNA DEVI</t>
  </si>
  <si>
    <t>SHWETA</t>
  </si>
  <si>
    <t>NAVNEET KAUR</t>
  </si>
  <si>
    <t>KAMAL PREET KAUR</t>
  </si>
  <si>
    <t>DIVYANSH</t>
  </si>
  <si>
    <t>KANU PRIYA</t>
  </si>
  <si>
    <t>GUNN ANAND</t>
  </si>
  <si>
    <t>ANSHUL GUPTA</t>
  </si>
  <si>
    <t>PRIYANKA</t>
  </si>
  <si>
    <t>RAJU KUMAR</t>
  </si>
  <si>
    <t>NARESH RANA</t>
  </si>
  <si>
    <t>GOURAV KUMAR</t>
  </si>
  <si>
    <t>KUSH</t>
  </si>
  <si>
    <t>SHUBHAM SAINI</t>
  </si>
  <si>
    <t>TARANJEET KAUR</t>
  </si>
  <si>
    <t>SAURAV</t>
  </si>
  <si>
    <t>HIMANI KHURANA</t>
  </si>
  <si>
    <t>KUSH KHURANA</t>
  </si>
  <si>
    <t>ANSHIKA</t>
  </si>
  <si>
    <t>KAVYA AGGARWAL</t>
  </si>
  <si>
    <t>VINAY KUMAR</t>
  </si>
  <si>
    <t>SHUBHAM SINGH</t>
  </si>
  <si>
    <t>KRISH PAL</t>
  </si>
  <si>
    <t>TWINKLE</t>
  </si>
  <si>
    <t>SIMRANJEET KAUR</t>
  </si>
  <si>
    <t>SATENDER RAJ MONGA</t>
  </si>
  <si>
    <t>AASHIRA JAIN</t>
  </si>
  <si>
    <t>AARYAN MEHLA</t>
  </si>
  <si>
    <t>KHUSHI</t>
  </si>
  <si>
    <t>KESHAWDEEP SINGH</t>
  </si>
  <si>
    <t>VANSHIK</t>
  </si>
  <si>
    <t>HARPREET SINGH</t>
  </si>
  <si>
    <t>ARMAN SAINI</t>
  </si>
  <si>
    <t>VANSH VERMA</t>
  </si>
  <si>
    <t>SNEHA</t>
  </si>
  <si>
    <t>ARMAAN SOHAIL</t>
  </si>
  <si>
    <t>BISWAJIT BEHERA</t>
  </si>
  <si>
    <t>PALLVI</t>
  </si>
  <si>
    <t>ANKUSH KUMAR</t>
  </si>
  <si>
    <t>CHIRAG KUMAR</t>
  </si>
  <si>
    <t>PAVITTAR</t>
  </si>
  <si>
    <t>JASNEET KAUR</t>
  </si>
  <si>
    <t>DHRUV GAUTAM</t>
  </si>
  <si>
    <t>PULKIT DWIVEDI</t>
  </si>
  <si>
    <t>VANUSHKA CHAUHAN</t>
  </si>
  <si>
    <t>SRISHTI</t>
  </si>
  <si>
    <t>KHUSHMITA</t>
  </si>
  <si>
    <t>MANYA SHARMA</t>
  </si>
  <si>
    <t>NEHA THARDAK</t>
  </si>
  <si>
    <t>JODHVIR SINGH</t>
  </si>
  <si>
    <t>BALMEET KAUR</t>
  </si>
  <si>
    <t>UJJWAL TOMER</t>
  </si>
  <si>
    <t>TISHA MEHANDIRATTA</t>
  </si>
  <si>
    <t>GOLU KUMAR</t>
  </si>
  <si>
    <t>BHANU PARTAP</t>
  </si>
  <si>
    <t>HARSH PODDAR</t>
  </si>
  <si>
    <t>UTSAV SHARMA</t>
  </si>
  <si>
    <t>ADITYA BHASIN</t>
  </si>
  <si>
    <t>ABHILASHA PUNDIR</t>
  </si>
  <si>
    <t>MOHIT GORI</t>
  </si>
  <si>
    <t>SHOBHIT CHATTERJEE</t>
  </si>
  <si>
    <t>DEV SINGH</t>
  </si>
  <si>
    <t>BHARAT SINGH SHEKHAWAT</t>
  </si>
  <si>
    <t>PUSHKAR JAIN</t>
  </si>
  <si>
    <t>PALAK</t>
  </si>
  <si>
    <t>TANISHK THUKRAL</t>
  </si>
  <si>
    <t>SNEHA RAI</t>
  </si>
  <si>
    <t>KANIKA SAINI</t>
  </si>
  <si>
    <t>AMAN KUMAR</t>
  </si>
  <si>
    <t>DRISHTI</t>
  </si>
  <si>
    <t>KULSUM BANO</t>
  </si>
  <si>
    <t>KHUSHI CHAUDHARY</t>
  </si>
  <si>
    <t>AYUSH SHARMA</t>
  </si>
  <si>
    <t>KRISHAN KUMAR SHARMA</t>
  </si>
  <si>
    <t>NISHA</t>
  </si>
  <si>
    <t>NEERAJ VERMA</t>
  </si>
  <si>
    <t>BABLU KUMAR</t>
  </si>
  <si>
    <t>ASHISH</t>
  </si>
  <si>
    <t>HARSHIT</t>
  </si>
  <si>
    <t>COULIBALY SORY</t>
  </si>
  <si>
    <t>VICKY KUMAR</t>
  </si>
  <si>
    <t>ADARSH KUMAR GUPTA (KASAUDHAN)</t>
  </si>
  <si>
    <t>EKTA NARWAL</t>
  </si>
  <si>
    <t>MANVEER KAUR</t>
  </si>
  <si>
    <t>DILPREET SINGH</t>
  </si>
  <si>
    <t>ANIKET KUMAR</t>
  </si>
  <si>
    <t>ARYAN</t>
  </si>
  <si>
    <t>UPASNA</t>
  </si>
  <si>
    <t>SHRISTI PODDAR</t>
  </si>
  <si>
    <t>MD SHAHNAWAZ KHAN</t>
  </si>
  <si>
    <t>NIKITA</t>
  </si>
  <si>
    <t>ANIKET</t>
  </si>
  <si>
    <t>ANU</t>
  </si>
  <si>
    <t>PARKER K. APPLETON</t>
  </si>
  <si>
    <t>BALJOOT SINGH</t>
  </si>
  <si>
    <t>SHIVAM</t>
  </si>
  <si>
    <t>CHANDAN KUMAR</t>
  </si>
  <si>
    <t>VIKASH KUMAR</t>
  </si>
  <si>
    <t>RAJA VISHAL</t>
  </si>
  <si>
    <t>AMRIT RAJ</t>
  </si>
  <si>
    <t>ARCHANA KUMARI SINGH</t>
  </si>
  <si>
    <t>ABHINASH KUMAR</t>
  </si>
  <si>
    <t>PRATAP SINGH</t>
  </si>
  <si>
    <t>FAIZAN FAYAZ</t>
  </si>
  <si>
    <t>SANJU KUMARI</t>
  </si>
  <si>
    <t>NIRAJ KUMAR</t>
  </si>
  <si>
    <t>PIYUSH AGGARWAL</t>
  </si>
  <si>
    <t>BHANU KUMAR</t>
  </si>
  <si>
    <t>UJJWAL KUMAR SINGH</t>
  </si>
  <si>
    <t>ADITYA KUMAR</t>
  </si>
  <si>
    <t>VAISHNAVI SINGH</t>
  </si>
  <si>
    <t>HARSH KUMAR</t>
  </si>
  <si>
    <t>MOHD KURESH</t>
  </si>
  <si>
    <t>ADARSH</t>
  </si>
  <si>
    <t>MD ARBAZ</t>
  </si>
  <si>
    <t>NAVEEN KUMAR THAKUR</t>
  </si>
  <si>
    <t>VIPUL KUMAR</t>
  </si>
  <si>
    <t>BHANU PRATAP</t>
  </si>
  <si>
    <t>RITU RAJ KUMAR SINGH</t>
  </si>
  <si>
    <t>ANURAG KUMAR AKELA</t>
  </si>
  <si>
    <t>TIWARI SATYAM ARVIND</t>
  </si>
  <si>
    <t>RAHUL KUMAR GUPTA</t>
  </si>
  <si>
    <t>SURESH DEWALI</t>
  </si>
  <si>
    <t>RAJDEEP KUMAR</t>
  </si>
  <si>
    <t>NITISH KUMAR</t>
  </si>
  <si>
    <t>SHANI RAJ</t>
  </si>
  <si>
    <t>DIVYANSH SHARMA</t>
  </si>
  <si>
    <t>KHUSHI TANWAR</t>
  </si>
  <si>
    <t>MD MUBARAK</t>
  </si>
  <si>
    <t>ARSHDEEP KAUR</t>
  </si>
  <si>
    <t>GEETIKA</t>
  </si>
  <si>
    <t>SAHIB SINGH</t>
  </si>
  <si>
    <t>SAKSHI SHARMA</t>
  </si>
  <si>
    <t>GARV</t>
  </si>
  <si>
    <t>NANDANI KUMARI</t>
  </si>
  <si>
    <t>AISHPREET KAUR</t>
  </si>
  <si>
    <t>BALMUKUND THAKUR</t>
  </si>
  <si>
    <t>KHUSHI KUMARI JAISWAL</t>
  </si>
  <si>
    <t>MD MOBIN</t>
  </si>
  <si>
    <t>PRATIPAL KUMAR SINGH</t>
  </si>
  <si>
    <t>MD HOZAIFA HAYAT</t>
  </si>
  <si>
    <t>RUPAK KUMAR</t>
  </si>
  <si>
    <t>INDRADEV YADAV</t>
  </si>
  <si>
    <t>AYUSH KUMAR CHAUHAN</t>
  </si>
  <si>
    <t>RAUSHAN KUMAR</t>
  </si>
  <si>
    <t>RE [BCA -102]</t>
  </si>
  <si>
    <t>BCA-101, BCA-102, BCA-103, BCA-104, BHUM-011, HSMC-051, BCA-105, BCA-106</t>
  </si>
  <si>
    <t>BCA-102, BCA-104, HSMC-051</t>
  </si>
  <si>
    <t>RE [BCA -104]</t>
  </si>
  <si>
    <t>BCA-101, BCA-102, BCA-103, BCA-104, BCA-105, BCA-106</t>
  </si>
  <si>
    <t>BCA -104</t>
  </si>
  <si>
    <t>BCA-101, BCA-103, BCA -104</t>
  </si>
  <si>
    <t>BCA-101, BCA-102, BCA-103, BCA-104</t>
  </si>
  <si>
    <t>RE [BCA-101, BCA-102, BCA-103, BCA-104]</t>
  </si>
  <si>
    <t>BCA-103</t>
  </si>
  <si>
    <t>RE [BCA -101, BCA -102, BCA-103, BCA -104]</t>
  </si>
  <si>
    <t>RE [BCA -102, BCA-103]</t>
  </si>
  <si>
    <t>RE [BCA-103, BCA -104, BHUM-011]</t>
  </si>
  <si>
    <t>RE [BCA-103, BCA -104]</t>
  </si>
  <si>
    <t>BCA -101</t>
  </si>
  <si>
    <t>RE [BCA -101, BCA -102, BCA-103, BCA -104, BHUM-011, HSMC-051]</t>
  </si>
  <si>
    <t>RE [BCA-103]</t>
  </si>
  <si>
    <t>BCA -101, BCA-103</t>
  </si>
  <si>
    <t>RE [BCA -101, BCA -102]</t>
  </si>
  <si>
    <t>RE [BCA -101, BCA -102, BCA-103]</t>
  </si>
  <si>
    <t>BCA -102</t>
  </si>
  <si>
    <t>BCA -101, BCA -102, BCA-103, BCA -104</t>
  </si>
  <si>
    <t>BCA -101, BCA -102, BCA-103, BCA -105, BCA -106</t>
  </si>
  <si>
    <t>BCA -101, BCA -102, BCA-103, BCA -104, BHUM-011, HSMC-051</t>
  </si>
  <si>
    <t>BCA -101, BCA -102, BCA-103, BCA -104, BCA -105</t>
  </si>
  <si>
    <t>RE [BCA -101]</t>
  </si>
  <si>
    <t>BCA -102, BCA-103, BCA -104, BCA -105, BCA -106</t>
  </si>
  <si>
    <t>BCA -101, BCA -102, BCA-103, BCA -104, BHUM-011, HSMC-051, BCA -105, BCA -106</t>
  </si>
  <si>
    <t>BCA -105</t>
  </si>
  <si>
    <t>BCA -101, BCA -102, BCA-103, BCA -104, HSMC-051, BCA -105, BCA -106</t>
  </si>
  <si>
    <t>BCA -101, BCA -102, BCA-103, BCA -104, BCA -105, BCA -106</t>
  </si>
  <si>
    <t>RE [BCA -102, BCA -104]</t>
  </si>
  <si>
    <t>BCA -101, BCA -104</t>
  </si>
  <si>
    <t>BCA -101, BCA -102, BHUM-011</t>
  </si>
  <si>
    <t>RE [BCA -102, BCA-103, BCA -104]</t>
  </si>
  <si>
    <t>BCA -102, BCA-103, BCA -104, BHUM-011, HSMC-051</t>
  </si>
  <si>
    <t>RE [BCA -101, BCA -102, BCA-103, BCA -104, HSMC-051]</t>
  </si>
  <si>
    <t>BCA -101, BCA -102, BCA-103, BCA -104, BCA -106</t>
  </si>
  <si>
    <t>RE [BCA -101, BCA-103]</t>
  </si>
  <si>
    <t>BCA-103, BCA -104</t>
  </si>
  <si>
    <t>BCA -101, BCA -102</t>
  </si>
  <si>
    <t>BCA -102, BCA-103, BCA -104</t>
  </si>
  <si>
    <t>BCA -104, HSMC-051</t>
  </si>
  <si>
    <t>BCA -102, BCA-103</t>
  </si>
  <si>
    <t>RE [CUL-001]</t>
  </si>
  <si>
    <t>RE [BCA-201, BCA-202, BCA-203, BHUM-013, ENE-101]</t>
  </si>
  <si>
    <t>RE [BCA-201, BCA-202, BCA-203]</t>
  </si>
  <si>
    <t>RE [BCA-201, BCA-202, BCA-203, BHUM-013, ENE-101, BCA-204, BCA-205]</t>
  </si>
  <si>
    <t>RE [BCA-201]</t>
  </si>
  <si>
    <t>RE [BCA-201, BCA-202, BCA-203, BHUM-013, ENE-101, BCA-204, BCA-205, BCA-206]</t>
  </si>
  <si>
    <t>RE [BCA-205, BCA-204, BCA-201, BCA-202, BCA-203, BCA-206]</t>
  </si>
  <si>
    <t>RLA</t>
  </si>
  <si>
    <t>RE [BCA-201, BCA-206]</t>
  </si>
  <si>
    <t>RE [BCA-201, BCA-203, BCA-206]</t>
  </si>
  <si>
    <t>RE [BCA-201, BCA-202, BCA-203, BCA-204, BCA-205, BCA-206]</t>
  </si>
  <si>
    <t>RE [BCA-201, BCA-203, ENE-101]</t>
  </si>
  <si>
    <t>RE [BCA-201, BCA-202, BCA-203, BHUM-013, BCA-204, BCA-205, BCA-206]</t>
  </si>
  <si>
    <t>RE [BCA-201, BCA-203]</t>
  </si>
  <si>
    <t>RE [BCA-201, BCA-202, BCA-203, BCA-206]</t>
  </si>
  <si>
    <t>RE [BCA-202, BCA-204]</t>
  </si>
  <si>
    <t>RE [BCA-203]</t>
  </si>
  <si>
    <t>RE [BCA-202]</t>
  </si>
  <si>
    <t>RE [BCA-201, BCA-202]</t>
  </si>
  <si>
    <t>RE [BHUM-013, BCA-202]</t>
  </si>
  <si>
    <t>RE [BCA-201, BCA-202, BCA-203, BHUM-013]</t>
  </si>
  <si>
    <t>RE [BCA-202, BCA-201, BCA-203]</t>
  </si>
  <si>
    <t>RE [RL(UMC)]</t>
  </si>
  <si>
    <t>RE [BCA-204, CUL-001]</t>
  </si>
  <si>
    <t>RE [BCA-201, BCA-202, BCA-203, CUL-001]</t>
  </si>
  <si>
    <t>RE [BCA-201, BCA-202, BCA-203, BCA-205]</t>
  </si>
  <si>
    <t>RE [BCA-201, BCA-202, BCA-203, ENE-101]</t>
  </si>
  <si>
    <t>RE [BCA-202, BCA-203]</t>
  </si>
  <si>
    <t>RE [BCA-201, BCA-202, BCA-203, BHUM-117, ENE-101]</t>
  </si>
  <si>
    <t>RE [BCA-201, BCA-202, BCA-203, BHUM-117, ENE-101, BCA-204, BCA-205]</t>
  </si>
  <si>
    <t>RE [BCA-201, BCA-202, ENE-101]</t>
  </si>
  <si>
    <t>RE [ENE-101]</t>
  </si>
  <si>
    <t>RE [BCA-202, BCA-203, ENE-101, BHUM-013]</t>
  </si>
  <si>
    <t>RE [BCA-203, ENE-101]</t>
  </si>
  <si>
    <t>RE [BCA-202, BCA-203, BCA-204, BCA-205]</t>
  </si>
  <si>
    <t>RE [BCA-201, BCA-202, BCA-203, ENE-101, BCA-206]</t>
  </si>
  <si>
    <t>RE [BCA-202, BCA-203, BCA-206]</t>
  </si>
  <si>
    <t>RE [BCA-202, ENE-101]</t>
  </si>
  <si>
    <t>RE [BCA-201, BCA-202, BCA - 203]</t>
  </si>
  <si>
    <t>Email ID</t>
  </si>
  <si>
    <t>Kambojshelly674@gmail.com</t>
  </si>
  <si>
    <t>gambhirshavi@gmail.con</t>
  </si>
  <si>
    <t>Jasssandhu9402@gmail.com</t>
  </si>
  <si>
    <t>jatinpanchal01235@gmail.com</t>
  </si>
  <si>
    <t>kaurparavdeep01@gmail.com</t>
  </si>
  <si>
    <t>jairam4247@gmail.com</t>
  </si>
  <si>
    <t>pankajbagauli03@gmail.com</t>
  </si>
  <si>
    <t>lakshayjuneja003@gmail.com</t>
  </si>
  <si>
    <t>meenakshidhiman335@gmail.com</t>
  </si>
  <si>
    <t>ak2368307@gmail.com</t>
  </si>
  <si>
    <t>kunaltalwar387@gmail.com</t>
  </si>
  <si>
    <t>arpitbains83072@gmail.com</t>
  </si>
  <si>
    <t>vanshamdutta@gmail.com</t>
  </si>
  <si>
    <t>janvipandey8950@gmail.com</t>
  </si>
  <si>
    <t>Nainvansh748@email.com</t>
  </si>
  <si>
    <t>Jiyasharma200220@gmail.com</t>
  </si>
  <si>
    <t>Chakshitluthra78@gmail.com</t>
  </si>
  <si>
    <t>ambersharma681@gmail.com</t>
  </si>
  <si>
    <t>Sr0473403@gmail.com</t>
  </si>
  <si>
    <t>Shubhambakshi2005@gmail.com</t>
  </si>
  <si>
    <t>harshpardhan1717@gmail.com</t>
  </si>
  <si>
    <t>akhilkashyap964@gmail.com</t>
  </si>
  <si>
    <t>sakshimehta.010191@gmail.com</t>
  </si>
  <si>
    <t>manpreet85345@yahoo.com</t>
  </si>
  <si>
    <t>vpsinghmarwa@gmail.com</t>
  </si>
  <si>
    <t>divyaasharma2006@gmail.com</t>
  </si>
  <si>
    <t>Rasshisharma200@gmail.com</t>
  </si>
  <si>
    <t>multanipalak01@gmail.com</t>
  </si>
  <si>
    <t>aggarwalmohit171@gmail.com</t>
  </si>
  <si>
    <t>chavidhiman065@gmail.com</t>
  </si>
  <si>
    <t>Balkargurjar5@gmail.com</t>
  </si>
  <si>
    <t>lavishangrish24@gmail.com</t>
  </si>
  <si>
    <t>gillankit716@gmail.com</t>
  </si>
  <si>
    <t>shimali2062dav@gmail.com</t>
  </si>
  <si>
    <t>dhimandevanshu36@gmail.com</t>
  </si>
  <si>
    <t>Shivanshprashar048@gmail.com</t>
  </si>
  <si>
    <t>adijattian020@gmail.com</t>
  </si>
  <si>
    <t>Pradumang965@gamil.com</t>
  </si>
  <si>
    <t>nonupandit033@gmail.com</t>
  </si>
  <si>
    <t>bagadsarkar5@gmail.com</t>
  </si>
  <si>
    <t>salindersingh5657@gmail.com</t>
  </si>
  <si>
    <t>sakshikabir0707@gmail.com</t>
  </si>
  <si>
    <t>Chiragmehndi8158@gmail.com</t>
  </si>
  <si>
    <t>harshbains078@gmail.com</t>
  </si>
  <si>
    <t>piyushsharma74747@gmail.com</t>
  </si>
  <si>
    <t>kambojvansh18@gmail.com</t>
  </si>
  <si>
    <t>jaskaransingh19355@gmail.com</t>
  </si>
  <si>
    <t>muskanjaat380@gmail.com</t>
  </si>
  <si>
    <t>suhanir964@gmail.com</t>
  </si>
  <si>
    <t>satishsatish71287@gmail.com</t>
  </si>
  <si>
    <t>milandangi2005@gmail.com</t>
  </si>
  <si>
    <t>sachinchaudhary23880@gmail.com</t>
  </si>
  <si>
    <t>namanarora0403@gmail.com</t>
  </si>
  <si>
    <t>shreyagupta17504@gmail.com</t>
  </si>
  <si>
    <t>rika212006@gmail.com</t>
  </si>
  <si>
    <t>aasthadeswal273@gmail.com</t>
  </si>
  <si>
    <t>riahabkawal@gmail.com</t>
  </si>
  <si>
    <t>Vanshgujjar2000@gmail.com</t>
  </si>
  <si>
    <t>tusharsaini905021@gmail.com</t>
  </si>
  <si>
    <t>sourabhkauship55@gmail.com</t>
  </si>
  <si>
    <t>jaynarayanbharti44@gmail.com</t>
  </si>
  <si>
    <t>shubhbhushan84@gmail.com</t>
  </si>
  <si>
    <t>Khushboopundir9@gmail.com</t>
  </si>
  <si>
    <t>kaushaljigurdev23@gmail.com</t>
  </si>
  <si>
    <t>payalsaini80830@gmail.com</t>
  </si>
  <si>
    <t>Simran38780@gmail.com</t>
  </si>
  <si>
    <t>ygarg5618@gmail.com</t>
  </si>
  <si>
    <t>shubhamsaini93208@gmail.com</t>
  </si>
  <si>
    <t>msainikkr555@gmail.com</t>
  </si>
  <si>
    <t>lkrajput9500@gmail.com</t>
  </si>
  <si>
    <t>arpitkumar180206@gmail.com</t>
  </si>
  <si>
    <t>sonidevi23446@gmail.com</t>
  </si>
  <si>
    <t>Vanshika22cjm@gmail.com</t>
  </si>
  <si>
    <t>lovelygujjar15112005@gmail.com</t>
  </si>
  <si>
    <t>ankitjindwan@gmail.com</t>
  </si>
  <si>
    <t>rishzzsingh68@gmail.com</t>
  </si>
  <si>
    <t>Kanansharma14@gmail.com</t>
  </si>
  <si>
    <t>vanshikanagvanshi802@gmail.com</t>
  </si>
  <si>
    <t>tanumehra2140@gmail.com</t>
  </si>
  <si>
    <t>tusharsaini27122005@gmail.com</t>
  </si>
  <si>
    <t>muskandhiman444@gmail.com</t>
  </si>
  <si>
    <t>pardhanparul09@gmail.com</t>
  </si>
  <si>
    <t>pundirdev0007@gmail.com</t>
  </si>
  <si>
    <t>kambojtanish533@gmail.com</t>
  </si>
  <si>
    <t>rohanduliyani@gmail.com</t>
  </si>
  <si>
    <t>goelk5368@gmail.com</t>
  </si>
  <si>
    <t>aggarwalhardik162@gmail.com</t>
  </si>
  <si>
    <t>gujjarbaljinder04@gmail.com</t>
  </si>
  <si>
    <t>bhardwajsania799@gmail.com</t>
  </si>
  <si>
    <t>Parjapatsachin010@gmail.com</t>
  </si>
  <si>
    <t>Yashrajashu143@gmail. Com</t>
  </si>
  <si>
    <t>anishgargg@gmail.com</t>
  </si>
  <si>
    <t>radheyshree098@gmail.com</t>
  </si>
  <si>
    <t>prithvirajchauhan9894@gmail.com</t>
  </si>
  <si>
    <t>ashasaini301984@gmail.com</t>
  </si>
  <si>
    <t>palakgoyal8554@gmail.com</t>
  </si>
  <si>
    <t>Shivangisaini5911@gmail.com</t>
  </si>
  <si>
    <t>Rajputaarti540@gamil.com</t>
  </si>
  <si>
    <t>charu190905@gmail.com</t>
  </si>
  <si>
    <t>Saiahujagolberg12@gmail.com</t>
  </si>
  <si>
    <t>Sharvandhiman7206@gmail.com</t>
  </si>
  <si>
    <t>salmanisahil742@gmail.com</t>
  </si>
  <si>
    <t>ankitjangra093@gmail.com</t>
  </si>
  <si>
    <t>sainikomal24122004@gmail.com</t>
  </si>
  <si>
    <t>Poonamsinhmar877@gmail.com</t>
  </si>
  <si>
    <t>sainitanisha223@gmail.com</t>
  </si>
  <si>
    <t>muskantandon8930085322@gmail.com</t>
  </si>
  <si>
    <t>Sainimehak2810@gmail.com</t>
  </si>
  <si>
    <t>harshikah742@gmail.com</t>
  </si>
  <si>
    <t>thakurminakshi3012@gmail.com</t>
  </si>
  <si>
    <t>devanshk6300@gmail.com</t>
  </si>
  <si>
    <t>grewalsimran8038@gmail.com</t>
  </si>
  <si>
    <t>Sumersaini8531@gmail.com</t>
  </si>
  <si>
    <t>mansi2006negi@gmail.com</t>
  </si>
  <si>
    <t>a82804302@gmail.com</t>
  </si>
  <si>
    <t>pahujaliza@gmail.com</t>
  </si>
  <si>
    <t>nishchay0000chhabra@gmail.com</t>
  </si>
  <si>
    <t>itsk9383@gmail.com</t>
  </si>
  <si>
    <t>shwetadhiman969@gmail.com</t>
  </si>
  <si>
    <t>mk1728765@gmail.com</t>
  </si>
  <si>
    <t>harsh.hundal990@gmail.com</t>
  </si>
  <si>
    <t>sachindhulljaat78@gmail.com</t>
  </si>
  <si>
    <t>vk7082658280@gmail.com</t>
  </si>
  <si>
    <t>navneetkaur3878@gmail.com</t>
  </si>
  <si>
    <t>Ay8700064@gmail.com</t>
  </si>
  <si>
    <t>amitinnocentboy7@gmail.com</t>
  </si>
  <si>
    <t>divyanshbhalla06@gmail.com</t>
  </si>
  <si>
    <t>vanshkamboj606@gmail.com</t>
  </si>
  <si>
    <t>Kp378003@gmail.com</t>
  </si>
  <si>
    <t>gunnanand538@gmail.com</t>
  </si>
  <si>
    <t>parmeetsaini5247@gmail.com</t>
  </si>
  <si>
    <t>kunaldhiman0014@gmail.com</t>
  </si>
  <si>
    <t>rampraveshrana1435@gmail.com</t>
  </si>
  <si>
    <t>sharmabalraj234@gmail.com</t>
  </si>
  <si>
    <t>ishitivmangla@gmail.com</t>
  </si>
  <si>
    <t>anshulgupta842005@gmail.com</t>
  </si>
  <si>
    <t>bhardwajkavita368@gmail.com</t>
  </si>
  <si>
    <t>priyankadhingra020@gmail.com</t>
  </si>
  <si>
    <t>kumar69971@gmail.com</t>
  </si>
  <si>
    <t>antrabansal624@gmail.com</t>
  </si>
  <si>
    <t>mehakkeshav379@gmail.com</t>
  </si>
  <si>
    <t>ashishrana825320@gmail.com</t>
  </si>
  <si>
    <t>rajatkumar544505@gmail.com</t>
  </si>
  <si>
    <t>jasleenk1386@gmail.com</t>
  </si>
  <si>
    <t>hsbt2005@gmail.com</t>
  </si>
  <si>
    <t>kajalra723@gmail.com</t>
  </si>
  <si>
    <t>vishaldhiman80050@gmail.com</t>
  </si>
  <si>
    <t>amanparmar058@gmail.com</t>
  </si>
  <si>
    <t>rajputgarima058@gmail.com</t>
  </si>
  <si>
    <t>Kaurtaranjeet358@gmail.com</t>
  </si>
  <si>
    <t>himanikhurana157@gmail.com</t>
  </si>
  <si>
    <t>kushkhurana15@gmail.com</t>
  </si>
  <si>
    <t>sidhikansal04@gmail.com</t>
  </si>
  <si>
    <t>anshikav726@gmail.com</t>
  </si>
  <si>
    <t>aggarwalkavya006@gmail.com</t>
  </si>
  <si>
    <t>vinaybhardwaj6375@gmail.com</t>
  </si>
  <si>
    <t>devanshupharwaha2@gmail.com</t>
  </si>
  <si>
    <t>Poorvabansal321@gmail.com</t>
  </si>
  <si>
    <t>chirag9111vansh@gmail.com</t>
  </si>
  <si>
    <t>mmu202336966@gmail.com</t>
  </si>
  <si>
    <t>payalsaini6253@gmail.com</t>
  </si>
  <si>
    <t>hj113198@gmail.com</t>
  </si>
  <si>
    <t>Manavmehta377@gmail.com</t>
  </si>
  <si>
    <t>Bakshimadhav6@gmail.com</t>
  </si>
  <si>
    <t>madhurkumar7424@gmail.com</t>
  </si>
  <si>
    <t>krishpal2312@gmail.com</t>
  </si>
  <si>
    <t>grovertwinkle0808@gmail.com</t>
  </si>
  <si>
    <t>simrandahiya817@gmail.com</t>
  </si>
  <si>
    <t>arjunsharma132620@gmail.com</t>
  </si>
  <si>
    <t>ritikarawatr60@gmail.com</t>
  </si>
  <si>
    <t>yashikamanu0515@gmail.com</t>
  </si>
  <si>
    <t>muskanoberoi27@gmail.com</t>
  </si>
  <si>
    <t>satendermonga@gmail.com</t>
  </si>
  <si>
    <t>asnaot7@gmail.com</t>
  </si>
  <si>
    <t>aashirajain129@gmail.com</t>
  </si>
  <si>
    <t>manvisaini70555@gmail.com</t>
  </si>
  <si>
    <t>aryanmehla05@gmail.com</t>
  </si>
  <si>
    <t>vishusangu643@gmail.com</t>
  </si>
  <si>
    <t>simranrozra22@gmail.com</t>
  </si>
  <si>
    <t>Krishanmittal2006@gmail.com</t>
  </si>
  <si>
    <t>thenikhilarora02@gmail.com</t>
  </si>
  <si>
    <t>Karanbaniwal62@gmail.com</t>
  </si>
  <si>
    <t>rohanpardhann2323@gmail.com</t>
  </si>
  <si>
    <t>himanshisaini0571@gmail.com</t>
  </si>
  <si>
    <t>Sondhidaksh@gmail.com</t>
  </si>
  <si>
    <t>ankushkumar20024@gmail.com</t>
  </si>
  <si>
    <t>aryanrana8757@gmail.com</t>
  </si>
  <si>
    <t>adarshkumar3623@gmail.com</t>
  </si>
  <si>
    <t>Vanshikkamboj5@gmail.com</t>
  </si>
  <si>
    <t>Harpreetmalaha@gmail.com</t>
  </si>
  <si>
    <t>harshianeja28@gmail.com</t>
  </si>
  <si>
    <t>Nikhilrana3330077@gmail .com</t>
  </si>
  <si>
    <t>antwalvansh43@gmail.com</t>
  </si>
  <si>
    <t>snehakalra43@gmail.com</t>
  </si>
  <si>
    <t>harshita62006@gmail.com</t>
  </si>
  <si>
    <t>vansh791.dhiman@gmail.com</t>
  </si>
  <si>
    <t>ritikajaat05@gmail.com</t>
  </si>
  <si>
    <t>armaansohail786@gmail.com</t>
  </si>
  <si>
    <t>Satybratbratsatybart7896@gmail.com</t>
  </si>
  <si>
    <t>kambojlovit@gmail.com</t>
  </si>
  <si>
    <t>illuminatisigma07@gmail.com</t>
  </si>
  <si>
    <t>kritigaba31@gmail.com</t>
  </si>
  <si>
    <t>Sahilsinghkhatkar@gmail.com</t>
  </si>
  <si>
    <t>Vishu132039@gmail.com</t>
  </si>
  <si>
    <t>Chirg0289@gmail.com</t>
  </si>
  <si>
    <t>sunny9597999@gmail.com</t>
  </si>
  <si>
    <t>rohitdhiman2313@gmail.com</t>
  </si>
  <si>
    <t>pavittarjuneja0@gmail.com</t>
  </si>
  <si>
    <t>Dhruvgautam242@gmail.com</t>
  </si>
  <si>
    <t>raman.mann.205@gmail.com</t>
  </si>
  <si>
    <t>chiragmehndi8158@gmail.com</t>
  </si>
  <si>
    <t>Pulkitd953@gmail.com</t>
  </si>
  <si>
    <t>riya22singla@gmail.com</t>
  </si>
  <si>
    <t>Mohitsinghkhatkar@gmail.com</t>
  </si>
  <si>
    <t>vanushkact@gmail.com</t>
  </si>
  <si>
    <t>gautamsrishti39@gmail.com</t>
  </si>
  <si>
    <t>mornancy004@gmail.com</t>
  </si>
  <si>
    <t>jasleenkaursaini06@gmai.com</t>
  </si>
  <si>
    <t>khushmitalalar@gmail.com</t>
  </si>
  <si>
    <t>manyaradhesharma0410@gmail.com</t>
  </si>
  <si>
    <t>nehathardak.0312@gmail.com</t>
  </si>
  <si>
    <t>Ckaur9928@gmail.com</t>
  </si>
  <si>
    <t>jodhvirsinghbrar@gmail.com</t>
  </si>
  <si>
    <t>sd313851@gmail.com</t>
  </si>
  <si>
    <t>sdeepanshu446@gmail.com</t>
  </si>
  <si>
    <t>ujjwaltomar945@gmail.com</t>
  </si>
  <si>
    <t>tishamehandiratta119@gmail.com</t>
  </si>
  <si>
    <t>technicalgaming149@gmail.com</t>
  </si>
  <si>
    <t>Isha452006@gmail.com</t>
  </si>
  <si>
    <t>ravikumarsk.1005@gmail.com</t>
  </si>
  <si>
    <t>Saliniparjapat@gmail.com</t>
  </si>
  <si>
    <t>tdenka06@gmail.com</t>
  </si>
  <si>
    <t>ht4005344@gmail.com</t>
  </si>
  <si>
    <t>kunjchauhan828@gmail.com</t>
  </si>
  <si>
    <t>harshpoddar130@gmail.com</t>
  </si>
  <si>
    <t>satyam10012002@gmail.com</t>
  </si>
  <si>
    <t>khushirana2955@gmail.com</t>
  </si>
  <si>
    <t>khushichaubey574@gmail.com</t>
  </si>
  <si>
    <t>sahilpardhan176@gmail.com</t>
  </si>
  <si>
    <t>Vanshchawla3471@gmail.com</t>
  </si>
  <si>
    <t>utsav.ambala@gmail.com</t>
  </si>
  <si>
    <t>kdheeraj7027@gmail.com</t>
  </si>
  <si>
    <t>adityabhasin77@gmail.com</t>
  </si>
  <si>
    <t>shivamsaini3219@gamil.com</t>
  </si>
  <si>
    <t>13ansharora@gmail.com</t>
  </si>
  <si>
    <t>furiusankit@gmail.com</t>
  </si>
  <si>
    <t>prajapatichetan049@gmail.com</t>
  </si>
  <si>
    <t>abhilashapundir1@gmail.com</t>
  </si>
  <si>
    <t>Sureshchand84828@gmail.com</t>
  </si>
  <si>
    <t>Kaurharshdeep168@gmail.com</t>
  </si>
  <si>
    <t>shobhitchatt5@gmail.com</t>
  </si>
  <si>
    <t>himanshusaini777818@gmail.com</t>
  </si>
  <si>
    <t>sainiparth36@gmail.com</t>
  </si>
  <si>
    <t>bshekhawat800@gmail.com</t>
  </si>
  <si>
    <t>jainsushil6789@gmail.com</t>
  </si>
  <si>
    <t>arshdeep01928374@gmail.com</t>
  </si>
  <si>
    <t>bajajmadhav93@gmail.com</t>
  </si>
  <si>
    <t>Kashyappalak9604@gmail.com</t>
  </si>
  <si>
    <t>Khushiwalia401@gmail.com</t>
  </si>
  <si>
    <t>kumartanishk461@gmail.com</t>
  </si>
  <si>
    <t>Khushirani16001@gmail.com</t>
  </si>
  <si>
    <t>sr23.rkt@gmail.com</t>
  </si>
  <si>
    <t>Jasjeet078@gmail.com</t>
  </si>
  <si>
    <t>kanika29082005@gmail.com</t>
  </si>
  <si>
    <t>Amangujar090909@gmail.com</t>
  </si>
  <si>
    <t>sainichetan3044@gmail.com</t>
  </si>
  <si>
    <t>Sarthakrana9012@gmail.com</t>
  </si>
  <si>
    <t>waliaanjali29@gmail.con</t>
  </si>
  <si>
    <t>PARDEEPRAWAL222@GMAIL.COM</t>
  </si>
  <si>
    <t>kbano2153@gmail.com</t>
  </si>
  <si>
    <t>chaudharykhushi071012@gmail.com</t>
  </si>
  <si>
    <t>nancy1092005@gmail.com</t>
  </si>
  <si>
    <t>sharmaayush4131@gmail.com</t>
  </si>
  <si>
    <t>neeraj.verma4701@gmail.com</t>
  </si>
  <si>
    <t>bablukumar15701@gmail.com</t>
  </si>
  <si>
    <t>ashishkhanchi0006@gmail.com</t>
  </si>
  <si>
    <t>sumankuikel99@gmail.com</t>
  </si>
  <si>
    <t>siddhantkumar8020@gmail.com</t>
  </si>
  <si>
    <t>Ranasurbhi896@gmail.com</t>
  </si>
  <si>
    <t>mayank.rana0303@gmail.com</t>
  </si>
  <si>
    <t>anshikasaini708@gmail.com</t>
  </si>
  <si>
    <t>Vansh123486@gmail.com</t>
  </si>
  <si>
    <t>kashishsikka13@gmail.com</t>
  </si>
  <si>
    <t>Ektanarwal21@gmail.com</t>
  </si>
  <si>
    <t>manveerkau66@gmail.com</t>
  </si>
  <si>
    <t>Bhumikasaini091@gmail.com</t>
  </si>
  <si>
    <t>sonusingh.83438742@gmail.com</t>
  </si>
  <si>
    <t>Narenderkumaruhbvn@gmail.com</t>
  </si>
  <si>
    <t>hardeep567h@gmail.com</t>
  </si>
  <si>
    <t>sainivansh575@gmail.com</t>
  </si>
  <si>
    <t>shivamkumar43995@gmail.com</t>
  </si>
  <si>
    <t>aniketrajput1772001@gmail.com</t>
  </si>
  <si>
    <t>Aryanahluwalia791@gmail.com</t>
  </si>
  <si>
    <t>y757716@gmail.com</t>
  </si>
  <si>
    <t>digvijayrana329@gmail.com</t>
  </si>
  <si>
    <t>jaatupasna11@gmail.com</t>
  </si>
  <si>
    <t>poddarshristi310@gmail.com</t>
  </si>
  <si>
    <t>pp8986652@gmail.com</t>
  </si>
  <si>
    <t>mdshahnwazkhan9487@gmail.com</t>
  </si>
  <si>
    <t>rachitsharma9022@gmail.com</t>
  </si>
  <si>
    <t>nikitanikita73629@gmail.com</t>
  </si>
  <si>
    <t>gurjarvishal728@gmail.com</t>
  </si>
  <si>
    <t>rambhagat98120@gmail.com</t>
  </si>
  <si>
    <t>aniketantwalji14@gmail.com</t>
  </si>
  <si>
    <t>rajsingh40913@gmail.com</t>
  </si>
  <si>
    <t>rahulsingh.rr1325@gmail.com</t>
  </si>
  <si>
    <t>surajkumar70700015@gmail.com</t>
  </si>
  <si>
    <t>akshaybth0202@gmail.com</t>
  </si>
  <si>
    <t>anujudge47@gmail.com</t>
  </si>
  <si>
    <t>tusharchaudhary5907d@gmail.com</t>
  </si>
  <si>
    <t>muskanjitendra9@gmail.com</t>
  </si>
  <si>
    <t>sainivansh844@gmail.com</t>
  </si>
  <si>
    <t>Jatinsingla411@gmail.com</t>
  </si>
  <si>
    <t>vashisthjeetu361@gmail.com</t>
  </si>
  <si>
    <t>mansinghrana699@gmail.com</t>
  </si>
  <si>
    <t>panghalshab005@gmail.com</t>
  </si>
  <si>
    <t>p644672@gmail.com</t>
  </si>
  <si>
    <t>priyanshubansal9034@gmail.com</t>
  </si>
  <si>
    <t>aakibmultani00@gmail.com</t>
  </si>
  <si>
    <t>ayyanmaharishi23@gmail.com</t>
  </si>
  <si>
    <t>Duttaaryan728@gmail.com</t>
  </si>
  <si>
    <t>manishsuri1000@gmail.com</t>
  </si>
  <si>
    <t>manikunar94782@gmail.com</t>
  </si>
  <si>
    <t>raunakgupta1013@gmail.com</t>
  </si>
  <si>
    <t>dpgupta6488@gmail.com</t>
  </si>
  <si>
    <t>Shahidprawez6410@gmail.com</t>
  </si>
  <si>
    <t>rajputaiprince@gmail.com</t>
  </si>
  <si>
    <t>Surajpathakdes@gmail.com</t>
  </si>
  <si>
    <t>shravankr9570@gmail.com</t>
  </si>
  <si>
    <t>rajaayush124212@gmail.com</t>
  </si>
  <si>
    <t>shivamraj04696@gmail.com</t>
  </si>
  <si>
    <t>Kamleshk66492@gmail.com</t>
  </si>
  <si>
    <t>ak3185024@gmail.com</t>
  </si>
  <si>
    <t>jayram.10125@gmail.com</t>
  </si>
  <si>
    <t>mannukumarverma22@gmail.com</t>
  </si>
  <si>
    <t>Namami9045689595@gmail.com</t>
  </si>
  <si>
    <t>deepakkulchania13@gmail.com</t>
  </si>
  <si>
    <t>bittubabu841506@gmail.com</t>
  </si>
  <si>
    <t>chikkumanjeet@gmail.com</t>
  </si>
  <si>
    <t>Chauhansharukh321@gmail.com</t>
  </si>
  <si>
    <t>Shravanku81026@gmail.com</t>
  </si>
  <si>
    <t>ravipathak095468419@gmail.com</t>
  </si>
  <si>
    <t>mshahjada038@gmail.com</t>
  </si>
  <si>
    <t>Zraj5579@gmail.com</t>
  </si>
  <si>
    <t>imranahm406@gmail.com</t>
  </si>
  <si>
    <t>Soyabakhtar75@gmail.com</t>
  </si>
  <si>
    <t>Kdipesh2004@gmail.com</t>
  </si>
  <si>
    <t>Ih3131083@gmail.com</t>
  </si>
  <si>
    <t>GK660232@GMAIL.COM</t>
  </si>
  <si>
    <t>Shouravk81@gmail.com</t>
  </si>
  <si>
    <t>satyamk5783@gmail.com</t>
  </si>
  <si>
    <t>gkbca12345@gmail.com</t>
  </si>
  <si>
    <t>Shivamsingh2772003@gmail.com</t>
  </si>
  <si>
    <t>chiragsaini9979@gmail.com</t>
  </si>
  <si>
    <t>ajay05082005@gmail.com</t>
  </si>
  <si>
    <t>anurag 995539@gmail.com</t>
  </si>
  <si>
    <t>Nishuyadav12122006@gmail.com</t>
  </si>
  <si>
    <t>Kajal84142@gmail.com</t>
  </si>
  <si>
    <t>Jmukund682@gmail.com</t>
  </si>
  <si>
    <t>akhlaquerahman18@gmail.com</t>
  </si>
  <si>
    <t>abhishekkumar937287@gmail.com</t>
  </si>
  <si>
    <t>kabhishekkumar00266@gmail.com</t>
  </si>
  <si>
    <t>nk7565331@gmail.com</t>
  </si>
  <si>
    <t>ashishkumar79733@gmail.com</t>
  </si>
  <si>
    <t>Fahadasfaque7860@gmail.com</t>
  </si>
  <si>
    <t>sahusalina57@gmail.com</t>
  </si>
  <si>
    <t>tusharkr9709@gmail.com</t>
  </si>
  <si>
    <t>Sumankumar91195@gmail.com</t>
  </si>
  <si>
    <t>pablaj364@gmail.com</t>
  </si>
  <si>
    <t>ranikumaripandit222@gmail.com</t>
  </si>
  <si>
    <t>bhawanikumaripandit123@gmail.com</t>
  </si>
  <si>
    <t>utoshnarayan@gmail.com</t>
  </si>
  <si>
    <t>ankitvishvas8@gmail.com</t>
  </si>
  <si>
    <t>anuragsingh3339@gmail.com</t>
  </si>
  <si>
    <t>kumarijyotshana1@gmail.com</t>
  </si>
  <si>
    <t>raosahabjmd143@gmail.com</t>
  </si>
  <si>
    <t>harsheekeshtiwari0@gmail.com</t>
  </si>
  <si>
    <t>ankitsingh96446@gmail.com</t>
  </si>
  <si>
    <t>Razamdirfan77@gmail.com</t>
  </si>
  <si>
    <t>kumarikhushi4414@gmail.com</t>
  </si>
  <si>
    <t>gauravjharocky9@gmail.com</t>
  </si>
  <si>
    <t>gauravdgh4@gmail.com</t>
  </si>
  <si>
    <t>ankitkr914235@gmail.com</t>
  </si>
  <si>
    <t>Pk122375@gmail.com</t>
  </si>
  <si>
    <t>alokraj950064@gmail.com</t>
  </si>
  <si>
    <t>adityasingh1012004@gmail.com</t>
  </si>
  <si>
    <t>kumarnitesh26674@gmail.com</t>
  </si>
  <si>
    <t>keshavmuz126@gmail.com</t>
  </si>
  <si>
    <t>Srsonurajput508@gmail.com</t>
  </si>
  <si>
    <t>Adityasinghparihari1234@gmail.com</t>
  </si>
  <si>
    <t>sannik3530@gmail.com</t>
  </si>
  <si>
    <t>sahinshakr10403@gmail.com</t>
  </si>
  <si>
    <t>gk2519579@gmail.com</t>
  </si>
  <si>
    <t>neerajkumarthakur.dhaka@gmail.com</t>
  </si>
  <si>
    <t>amitsharma097632@gmail.com</t>
  </si>
  <si>
    <t>Pallawikumari62@gmail.com</t>
  </si>
  <si>
    <t>Shuklasimi77@gmail.com</t>
  </si>
  <si>
    <t>kumarikavita7992@gmail.com</t>
  </si>
  <si>
    <t>Pammi99310lry@yahoo.com</t>
  </si>
  <si>
    <t>monikakumari979864@gmail.com</t>
  </si>
  <si>
    <t>ajit05bbu@gmail.com</t>
  </si>
  <si>
    <t>thestudenthelppoint6@gmail.com</t>
  </si>
  <si>
    <t>Pushpraj.kesari@gmail.com</t>
  </si>
  <si>
    <t>mdaftabdbg80@gmail.com</t>
  </si>
  <si>
    <t>mdmeraj0811@gmail.com</t>
  </si>
  <si>
    <t>mdalquama5@gmail.com</t>
  </si>
  <si>
    <t>azadhussain9080@gmail.com</t>
  </si>
  <si>
    <t>adarshkumarsingh845458@gmail.com</t>
  </si>
  <si>
    <t>ratan607thakur@gmail.com</t>
  </si>
  <si>
    <t>Shekharnishant031@gmail.com</t>
  </si>
  <si>
    <t>guddurao427@gmail.com</t>
  </si>
  <si>
    <t>manithakur6203@gmail.com</t>
  </si>
  <si>
    <t>Abhijeetdhaliwal321@gmail.com</t>
  </si>
  <si>
    <t>technosandip12@gmail.com</t>
  </si>
  <si>
    <t>akashkumarpurberaj@gmail</t>
  </si>
  <si>
    <t>deepak4563k@gmail.com</t>
  </si>
  <si>
    <t>morningstarankit23@gmail.com</t>
  </si>
  <si>
    <t>ritiksharmabgs341@gmail.com</t>
  </si>
  <si>
    <t>hamid2002hussain@gmail.com</t>
  </si>
  <si>
    <t>ruchikasingh64087@gmail.com</t>
  </si>
  <si>
    <t>Abhishekmonika7864@gmail.com</t>
  </si>
  <si>
    <t>Nishasah2904@gmail.com</t>
  </si>
  <si>
    <t>sunilyadav513111@gmail.com</t>
  </si>
  <si>
    <t>nk20210099@gmail.com</t>
  </si>
  <si>
    <t>asishmalmaliya@gmail.com</t>
  </si>
  <si>
    <t>abhishekkumar979864@gmail.com</t>
  </si>
  <si>
    <t>Sonukumar02826@gmail.com</t>
  </si>
  <si>
    <t>anandmishra38094@gmail.com</t>
  </si>
  <si>
    <t>Sunnyydv9340@gmail.com</t>
  </si>
  <si>
    <t>santoshsaran19992@gmail.com</t>
  </si>
  <si>
    <t>sumitdgp000@gmail.com</t>
  </si>
  <si>
    <t>pratapsingh882005@gmail.com</t>
  </si>
  <si>
    <t>saurabhjhaab@gmail.com</t>
  </si>
  <si>
    <t>Sumantkumqr854403@gmail.com</t>
  </si>
  <si>
    <t>shibampandey72960@gmail.com</t>
  </si>
  <si>
    <t>rashmikumari21916@gmail.com</t>
  </si>
  <si>
    <t>kumaribabul746@gmail.com</t>
  </si>
  <si>
    <t>fayazrather60@gmail.com</t>
  </si>
  <si>
    <t>alokkumar736788@gmail.com</t>
  </si>
  <si>
    <t>mk7586425@gmail.com</t>
  </si>
  <si>
    <t>neerajsingh766723@gmail.com</t>
  </si>
  <si>
    <t>manishasingh91ms@gmail.com</t>
  </si>
  <si>
    <t>mk8292439@gmail.com</t>
  </si>
  <si>
    <t>sanju2003kumari03@gmail.com</t>
  </si>
  <si>
    <t>niraj34590@gmail.com</t>
  </si>
  <si>
    <t>Piyushaggarwal192004@gmail.com</t>
  </si>
  <si>
    <t>amanboby693@gmail.com</t>
  </si>
  <si>
    <t>atishsingh893582@gmail.com</t>
  </si>
  <si>
    <t>ujjwalsingh2636@gmail.com</t>
  </si>
  <si>
    <t>rajsneha7707@gmail.com</t>
  </si>
  <si>
    <t>singhvaishnavibxr@gmail.com</t>
  </si>
  <si>
    <t>SANJEEVSRMA.1@GMAIL.COM</t>
  </si>
  <si>
    <t>mdbabluansari459@gmail.com</t>
  </si>
  <si>
    <t>Sainiraj1322@gmail.com</t>
  </si>
  <si>
    <t>Laiekrana0786@gmail.com</t>
  </si>
  <si>
    <t>mdarbazshaikh2002@gmail.com</t>
  </si>
  <si>
    <t>rohanraj28022912@gmail.com</t>
  </si>
  <si>
    <t>naveenkumarsharmabro.2017@gmail.com</t>
  </si>
  <si>
    <t>rituraj44616@gmail.com</t>
  </si>
  <si>
    <t>anuragmisterjisweet@gmail.com</t>
  </si>
  <si>
    <t>rishiraj4878@gmail.com</t>
  </si>
  <si>
    <t>satyamtbsk21@gmail.com</t>
  </si>
  <si>
    <t>guptarahul911314@gmail.com</t>
  </si>
  <si>
    <t>dewalisuresh@gmail.com</t>
  </si>
  <si>
    <t>kumarsushil99522@gmail.com</t>
  </si>
  <si>
    <t>rajdeep1022003@gmail.com</t>
  </si>
  <si>
    <t>ankitkumarfp2018@gmail.com</t>
  </si>
  <si>
    <t>ashishsinghlry@gmail.com</t>
  </si>
  <si>
    <t>nitishksingh567@gmail.com</t>
  </si>
  <si>
    <t>alokbth007@gmail.com</t>
  </si>
  <si>
    <t>shaniraj6489@gmail.com</t>
  </si>
  <si>
    <t>divyanshsharma01092005@gmail.c</t>
  </si>
  <si>
    <t>Khushirana6883@gmail.com</t>
  </si>
  <si>
    <t>salonikumarisingh72@gmail.com</t>
  </si>
  <si>
    <t>md3852702@gmail.com</t>
  </si>
  <si>
    <t>geetikavats18@gmail.com</t>
  </si>
  <si>
    <t>kaman918191@gmail.com</t>
  </si>
  <si>
    <t>Preetkaur19727@gmail.com</t>
  </si>
  <si>
    <t>balmukundt24@gmail.com</t>
  </si>
  <si>
    <t>nitishcr0007@gmail.com</t>
  </si>
  <si>
    <t>97815khushi@gmail.com</t>
  </si>
  <si>
    <t>rudravivekyadav@gmail.com</t>
  </si>
  <si>
    <t>skentertainment499@gmail.com</t>
  </si>
  <si>
    <t>rohitsaini440@gmail.com</t>
  </si>
  <si>
    <t>khushijaiswal049@gmail.com</t>
  </si>
  <si>
    <t>Mm8748181@gamil.com</t>
  </si>
  <si>
    <t>kumarpratipal123@gmail.com</t>
  </si>
  <si>
    <t>Sharmaakshit6915@gmail.com</t>
  </si>
  <si>
    <t>mrhayat810@gmail.com</t>
  </si>
  <si>
    <t>lohatheena2710@gmail.com</t>
  </si>
  <si>
    <t>rishijangra275@gmail.com</t>
  </si>
  <si>
    <t>jitendra12kumar567@gmail.com</t>
  </si>
  <si>
    <t>rk9493920@gmail.com</t>
  </si>
  <si>
    <t>aryansetia621@gmail. Com</t>
  </si>
  <si>
    <t>DG2396577@gmail.com</t>
  </si>
  <si>
    <t>mishrakomal7324@gmail.com</t>
  </si>
  <si>
    <t>indradevkr95@gmail.com</t>
  </si>
  <si>
    <t>akchauhan29feb@gmail.com</t>
  </si>
  <si>
    <t>kk8702674@gmail.com</t>
  </si>
  <si>
    <t>bishalsharma.bgs2003@gmail.com</t>
  </si>
  <si>
    <t>Ajaybsccmmu2185@gmail.com</t>
  </si>
  <si>
    <t>unluckyrajput444@gmail.com</t>
  </si>
  <si>
    <t>raushanmfp811@gmail.com</t>
  </si>
  <si>
    <t>coulibalynicki@gmail.com</t>
  </si>
  <si>
    <t>ajha22762@gmail.com</t>
  </si>
  <si>
    <t>abdulkhalik79896@gmail.com</t>
  </si>
  <si>
    <t>akashkumar543367@gmail.com</t>
  </si>
  <si>
    <t>raghunandang569@gmail.com</t>
  </si>
  <si>
    <t>RE [BCA -308]</t>
  </si>
  <si>
    <t>RE [BCA- 306,BCA -308]</t>
  </si>
  <si>
    <t>RE [BCA- 307,BCA -308]</t>
  </si>
  <si>
    <t>RE [BCA- 302,BCA-304,BCA- 305,BCA- 306,BCA- 307,BCA -308]</t>
  </si>
  <si>
    <t>RE [BCA- 306,BCA- 307,BCA -308]</t>
  </si>
  <si>
    <t>RE [BCA- 302,BCA- 303,BCA- 305,BCA- 306,BCA- 307,BCA -308]</t>
  </si>
  <si>
    <t>RE [BCA- 303,BCA -308]</t>
  </si>
  <si>
    <t>RE [BCA- 303,BCA-304,BCA- 305,BCA- 307,BCA -308,NSS-001/NCC-001]</t>
  </si>
  <si>
    <t>RE [BCA-304,BCA- 306,BCA- 307,BCA -308]</t>
  </si>
  <si>
    <t>RE [BCA- 302,BCA- 303,BCA- 305,BCA- 306,BCA -308,NSS-001/NCC-001]</t>
  </si>
  <si>
    <t>RE [BCA- 303]</t>
  </si>
  <si>
    <t>RE [BCA- 303,BCA- 306,BCA -308]</t>
  </si>
  <si>
    <t>RE [BCA-301]</t>
  </si>
  <si>
    <t>RE [BCA- 307]</t>
  </si>
  <si>
    <t>RE [BCA-301,BCA- 302,BCA- 303,BCA-304,BCA- 305,BCA- 306,BCA- 307,BCA -308,NSS-001/NCC-001]</t>
  </si>
  <si>
    <t>RE [BCA- 302,BCA- 303,BCA-304,BCA- 306,BCA- 307,BCA -308,NSS-001/NCC-001]</t>
  </si>
  <si>
    <t>RE [BCA- 306]</t>
  </si>
  <si>
    <t>RE [BCA-301,BCA- 303,BCA-304,BCA- 305,BCA- 306,BCA- 307,BCA -308]</t>
  </si>
  <si>
    <t>RE [BCA- 306,BCA- 307,BCA -308,NSS-001/NCC-001]</t>
  </si>
  <si>
    <t>RE [BCA-301,BCA- 302,BCA- 303,BCA-304,BCA- 305,BCA- 306,BCA -308]</t>
  </si>
  <si>
    <t>RE [BCA- 303,BCA- 306,BCA- 307,BCA -308]</t>
  </si>
  <si>
    <t>RE [BCA- 303,BCA-304,BCA- 306,BCA- 307,BCA -308]</t>
  </si>
  <si>
    <t>RE [BCA-301,BCA- 302,BCA-303,BCA-304,BCA- 305,BCA- 307,BCA -308]</t>
  </si>
  <si>
    <t>RE [BCA- 303,BCA- 305,BCA- 306,BCA- 307,BCA -308,NSS-001/NCC-001]</t>
  </si>
  <si>
    <t>RE [BCA- 302,BCA- 303,BCA- 306,BCA -308]</t>
  </si>
  <si>
    <t>RE [BCA- 305,BCA- 306,BCA- 307,BCA -308]</t>
  </si>
  <si>
    <t>RE [BCA-301,BCA- 306,BCA- 307,BCA -308]</t>
  </si>
  <si>
    <t>RE [BCA- 303,BCA- 307,BCA -308]</t>
  </si>
  <si>
    <t>RE [BCA- 302]</t>
  </si>
  <si>
    <t>RE [BCA- 302,BCA- 303,BCA-304,BCA- 305,BCA- 306,BCA- 307,BCA -308]</t>
  </si>
  <si>
    <t>RE [BCA- 303,BCA- 307]</t>
  </si>
  <si>
    <t>RE [BCA- 303,BCA-304,BCA- 305,BCA- 306,BCA- 307,BCA -308]</t>
  </si>
  <si>
    <t>RE [BCA- 303,BCA-304,BCA -308]</t>
  </si>
  <si>
    <t>RE [BCA-304,BCA -308]</t>
  </si>
  <si>
    <t>RE [BCA-301,BCA- 306,BCA- 307]</t>
  </si>
  <si>
    <t>RE [BCA- 306,BCA- 307]</t>
  </si>
  <si>
    <t>RE [BCA- 302,BCA- 303]</t>
  </si>
  <si>
    <t>RE [BCA- 306,BCA -308,NSS-001/NCC-001]</t>
  </si>
  <si>
    <t>RE [BCA- 302,BCA- 307]</t>
  </si>
  <si>
    <t>RE [BCA-301,BCA -308]</t>
  </si>
  <si>
    <t>RE [BCA-301,BCA- 305,BCA- 306,BCA- 307,BCA -308]</t>
  </si>
  <si>
    <t>RE [BCA - 402]</t>
  </si>
  <si>
    <t>RE [BCA -403]</t>
  </si>
  <si>
    <t>RE [BCA - 401,BCA - 402]</t>
  </si>
  <si>
    <t>RE [BCA -403,BHUM-022]</t>
  </si>
  <si>
    <t>RE [MAN-001]</t>
  </si>
  <si>
    <t>RE [BCA - 401,BCA - 402,BCA -403,BCA - 404,BHUM-022,MAN-001]</t>
  </si>
  <si>
    <t>RE [BCA - 401,BCA -403,BCA - 404,BCA - 405,BCA - 406,BHUM-022,BCIV-180]</t>
  </si>
  <si>
    <t>RE [BCA -403,MAN-001]</t>
  </si>
  <si>
    <t>RE [BCA - 401,BCA - 402,BCA - 405,MAN-001]</t>
  </si>
  <si>
    <t>RE [BCA - 401,BCA - 402,MAN-001]</t>
  </si>
  <si>
    <t>RE [BCA - 401,BCA -403,MAN-001]</t>
  </si>
  <si>
    <t>RE [BCA - 401,BCA - 402,BCA -403]</t>
  </si>
  <si>
    <t>RE [BCA - 401,BCA - 402,BCA -403,BCA - 404,BHUM-022,BCIV-180,MAN-001]</t>
  </si>
  <si>
    <t>RE [BCA - 401,BHUM-022]</t>
  </si>
  <si>
    <t>RE [BCA - 401,BCA -403,BCA - 404]</t>
  </si>
  <si>
    <t>RE [BCA - 404,BCA - 406]</t>
  </si>
  <si>
    <t>RE [BCA - 402,BCA -403,BCA - 404,BCA - 405,BCIV-180,MAN-001]</t>
  </si>
  <si>
    <t>RE [BHUM-022,MAN-001]</t>
  </si>
  <si>
    <t>RE [BCA - 405,BHUM-022]</t>
  </si>
  <si>
    <t>RE [BCA - 402,BCA -403]</t>
  </si>
  <si>
    <t>RE [BCA - 405]</t>
  </si>
  <si>
    <t>RE [BHUM-022]</t>
  </si>
  <si>
    <t>RE [BCA - 404,BHUM-022]</t>
  </si>
  <si>
    <t>RE [BCA -403,BCA - 404]</t>
  </si>
  <si>
    <t>RE [BCA - 402,BCA - 404,MAN-001]</t>
  </si>
  <si>
    <t>RE [BCA - 404,BCA - 405,BCA - 406,BHUM-022,BCIV-180]</t>
  </si>
  <si>
    <t>RE [BCA - 405,BCA - 406]</t>
  </si>
  <si>
    <t>RE [BCA - 401,BCA - 404,BCA - 405,BCIV-180]</t>
  </si>
  <si>
    <t>RE [BCA - 406]</t>
  </si>
  <si>
    <t>RE [BCA - 404,BCIV-180,MAN-001]</t>
  </si>
  <si>
    <t>RE [BCIV-180]</t>
  </si>
  <si>
    <t>RE [BCA - 401,BCIV-180]</t>
  </si>
  <si>
    <t>RE [BCA - 401]</t>
  </si>
  <si>
    <t>RE [BCA - 402,BCA -403,BCA - 404,BCA - 406]</t>
  </si>
  <si>
    <t>RE [BCA -403,BCIV-180]</t>
  </si>
  <si>
    <t>RE [BCA - 401,BCA -403,BCA - 406,BCIV-180]</t>
  </si>
  <si>
    <t>RE [BCA - 401,BCA - 402,BCA -403,BCIV-180]</t>
  </si>
  <si>
    <t>RE [BCA - 402,BCA - 404]</t>
  </si>
  <si>
    <t>RE [BCA -403,BCA - 405]</t>
  </si>
  <si>
    <t>RE [BCA - 401,BCA -403]</t>
  </si>
  <si>
    <t>RE [BCA - 401,BCA -403,BCA - 404,BCA - 405]</t>
  </si>
  <si>
    <t>RE [BCA - 401,BCA - 404]</t>
  </si>
  <si>
    <t>RE [BCA - 401,BCA - 402,BCA -403,BCA - 404]</t>
  </si>
  <si>
    <t>RE [BCA -403,BCA - 404,BCIV-180]</t>
  </si>
  <si>
    <t>RE [BCA - 404]</t>
  </si>
  <si>
    <t>RE [BCA - 402,BCIV-180]</t>
  </si>
  <si>
    <t>RE [BCA - 401,BCA - 404,BCA - 405,BCA - 406,BHUM-022,MAN-001]</t>
  </si>
  <si>
    <t>RE [BCA - 401,MAN-001]</t>
  </si>
  <si>
    <t>RE [BCA - 402,BCA - 405]</t>
  </si>
  <si>
    <t>RE [BCA - 402,BCA -403,BCIV-180]</t>
  </si>
  <si>
    <t>RE [BCA - 401,BCA - 402,BCA - 404,BCIV-180]</t>
  </si>
  <si>
    <t>Sem. 5</t>
  </si>
  <si>
    <t>Sem. 6</t>
  </si>
  <si>
    <t>Average</t>
  </si>
  <si>
    <t>Update Module</t>
  </si>
  <si>
    <t>Roll_No.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</si>
</sst>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" fontId="1" fillId="0" borderId="22" xfId="0" applyNumberFormat="1" applyFon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1" fillId="0" borderId="35" xfId="0" applyFont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33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5" fillId="7" borderId="31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/>
    </xf>
    <xf numFmtId="0" fontId="5" fillId="7" borderId="28" xfId="0" applyFont="1" applyFill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12</xdr:row>
          <xdr:rowOff>0</xdr:rowOff>
        </xdr:from>
        <xdr:to>
          <xdr:col>11</xdr:col>
          <xdr:colOff>609600</xdr:colOff>
          <xdr:row>12</xdr:row>
          <xdr:rowOff>182880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Update Student Details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13</xdr:row>
          <xdr:rowOff>7620</xdr:rowOff>
        </xdr:from>
        <xdr:to>
          <xdr:col>11</xdr:col>
          <xdr:colOff>609600</xdr:colOff>
          <xdr:row>13</xdr:row>
          <xdr:rowOff>190500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Delete Details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T641"/>
  <sheetViews>
    <sheetView topLeftCell="P1" zoomScale="116" zoomScaleNormal="100" workbookViewId="0">
      <selection activeCell="B1" sqref="B1:R1"/>
    </sheetView>
  </sheetViews>
  <sheetFormatPr defaultRowHeight="14.4" x14ac:dyDescent="0.3"/>
  <cols>
    <col min="1" max="1" width="6" bestFit="1" customWidth="1"/>
    <col min="2" max="2" width="8.21875" style="1" bestFit="1" customWidth="1"/>
    <col min="3" max="3" width="11.77734375" style="1" bestFit="1" customWidth="1"/>
    <col min="4" max="4" width="33.109375" style="8" bestFit="1" customWidth="1"/>
    <col min="5" max="5" width="30" style="1" bestFit="1" customWidth="1"/>
    <col min="6" max="6" width="11.44140625" style="28" bestFit="1" customWidth="1"/>
    <col min="7" max="7" width="36.44140625" style="28" bestFit="1" customWidth="1"/>
    <col min="8" max="8" width="7.21875" style="1" bestFit="1" customWidth="1"/>
    <col min="9" max="9" width="18.33203125" style="1" bestFit="1" customWidth="1"/>
    <col min="10" max="10" width="16.44140625" bestFit="1" customWidth="1"/>
    <col min="11" max="11" width="6.21875" bestFit="1" customWidth="1"/>
    <col min="12" max="12" width="12.44140625" bestFit="1" customWidth="1"/>
    <col min="13" max="13" width="71" bestFit="1" customWidth="1"/>
    <col min="14" max="14" width="70.77734375" bestFit="1" customWidth="1"/>
    <col min="15" max="15" width="83.88671875" style="1" bestFit="1" customWidth="1"/>
    <col min="16" max="16" width="64.5546875" style="1" bestFit="1" customWidth="1"/>
    <col min="17" max="18" width="8.44140625" bestFit="1" customWidth="1"/>
    <col min="19" max="19" width="12.44140625" bestFit="1" customWidth="1"/>
    <col min="20" max="20" width="1.44140625" bestFit="1" customWidth="1"/>
  </cols>
  <sheetData>
    <row r="1" spans="1:20" ht="15" thickBot="1" x14ac:dyDescent="0.35">
      <c r="A1" s="9" t="s">
        <v>0</v>
      </c>
      <c r="B1" s="10" t="s">
        <v>1</v>
      </c>
      <c r="C1" s="10" t="s">
        <v>16</v>
      </c>
      <c r="D1" s="10" t="s">
        <v>4</v>
      </c>
      <c r="E1" s="10" t="s">
        <v>611</v>
      </c>
      <c r="F1" s="24" t="s">
        <v>942</v>
      </c>
      <c r="G1" s="24" t="s">
        <v>1699</v>
      </c>
      <c r="H1" s="10" t="s">
        <v>2</v>
      </c>
      <c r="I1" s="10" t="s">
        <v>1148</v>
      </c>
      <c r="J1" s="11" t="s">
        <v>1147</v>
      </c>
      <c r="K1" s="11" t="s">
        <v>3</v>
      </c>
      <c r="L1" s="11" t="s">
        <v>5</v>
      </c>
      <c r="M1" s="11" t="s">
        <v>10</v>
      </c>
      <c r="N1" s="11" t="s">
        <v>11</v>
      </c>
      <c r="O1" s="10" t="s">
        <v>12</v>
      </c>
      <c r="P1" s="10" t="s">
        <v>13</v>
      </c>
      <c r="Q1" s="11" t="s">
        <v>14</v>
      </c>
      <c r="R1" s="12" t="s">
        <v>15</v>
      </c>
      <c r="S1" s="41" t="s">
        <v>2302</v>
      </c>
    </row>
    <row r="2" spans="1:20" x14ac:dyDescent="0.3">
      <c r="A2" s="3">
        <v>1</v>
      </c>
      <c r="B2" s="4">
        <v>1323001</v>
      </c>
      <c r="C2" s="4" t="s">
        <v>940</v>
      </c>
      <c r="D2" s="4"/>
      <c r="E2" s="4"/>
      <c r="F2" s="25"/>
      <c r="G2" s="25"/>
      <c r="H2" s="4"/>
      <c r="I2" s="4"/>
      <c r="J2" s="13"/>
      <c r="K2" s="13"/>
      <c r="L2" s="4"/>
      <c r="M2" s="13"/>
      <c r="N2" s="13"/>
      <c r="O2" s="4"/>
      <c r="P2" s="4"/>
      <c r="Q2" s="13"/>
      <c r="R2" s="14"/>
      <c r="S2" t="e">
        <f t="shared" ref="S2:S65" si="0">AVERAGE(M2:P2)</f>
        <v>#DIV/0!</v>
      </c>
    </row>
    <row r="3" spans="1:20" x14ac:dyDescent="0.3">
      <c r="A3" s="5">
        <v>2</v>
      </c>
      <c r="B3" s="2">
        <v>1323002</v>
      </c>
      <c r="C3" s="2" t="s">
        <v>17</v>
      </c>
      <c r="D3" s="15" t="s">
        <v>1424</v>
      </c>
      <c r="E3" s="2" t="s">
        <v>612</v>
      </c>
      <c r="F3" s="26">
        <v>6398068307</v>
      </c>
      <c r="G3" s="26" t="s">
        <v>1700</v>
      </c>
      <c r="H3" s="2" t="s">
        <v>1138</v>
      </c>
      <c r="I3" s="2"/>
      <c r="J3" s="16" t="s">
        <v>1145</v>
      </c>
      <c r="K3" s="16"/>
      <c r="L3" s="2" t="s">
        <v>8</v>
      </c>
      <c r="M3" s="16">
        <v>6.2</v>
      </c>
      <c r="N3" s="16" t="s">
        <v>1660</v>
      </c>
      <c r="O3" s="2" t="s">
        <v>2208</v>
      </c>
      <c r="P3" s="2" t="s">
        <v>2249</v>
      </c>
      <c r="Q3" s="16"/>
      <c r="R3" s="17"/>
      <c r="S3">
        <f t="shared" si="0"/>
        <v>6.2</v>
      </c>
      <c r="T3" t="s">
        <v>7</v>
      </c>
    </row>
    <row r="4" spans="1:20" x14ac:dyDescent="0.3">
      <c r="A4" s="5">
        <v>3</v>
      </c>
      <c r="B4" s="2">
        <v>1323003</v>
      </c>
      <c r="C4" s="2" t="s">
        <v>940</v>
      </c>
      <c r="D4" s="15"/>
      <c r="E4" s="2"/>
      <c r="F4" s="26"/>
      <c r="G4" s="26"/>
      <c r="H4" s="2"/>
      <c r="I4" s="2"/>
      <c r="J4" s="16"/>
      <c r="K4" s="16"/>
      <c r="L4" s="2" t="s">
        <v>8</v>
      </c>
      <c r="M4" s="16"/>
      <c r="N4" s="16"/>
      <c r="O4" s="2"/>
      <c r="P4" s="2"/>
      <c r="Q4" s="16"/>
      <c r="R4" s="17"/>
      <c r="S4" t="e">
        <f t="shared" si="0"/>
        <v>#DIV/0!</v>
      </c>
    </row>
    <row r="5" spans="1:20" x14ac:dyDescent="0.3">
      <c r="A5" s="5">
        <v>4</v>
      </c>
      <c r="B5" s="2">
        <v>1323004</v>
      </c>
      <c r="C5" s="2" t="s">
        <v>18</v>
      </c>
      <c r="D5" s="15" t="s">
        <v>1425</v>
      </c>
      <c r="E5" s="2" t="s">
        <v>613</v>
      </c>
      <c r="F5" s="26">
        <v>7015333235</v>
      </c>
      <c r="G5" s="26" t="s">
        <v>1701</v>
      </c>
      <c r="H5" s="2" t="s">
        <v>1138</v>
      </c>
      <c r="I5" s="2"/>
      <c r="J5" s="16" t="s">
        <v>8</v>
      </c>
      <c r="K5" s="16"/>
      <c r="L5" s="2" t="s">
        <v>8</v>
      </c>
      <c r="M5" s="16">
        <v>6.61</v>
      </c>
      <c r="N5" s="16">
        <v>6.23</v>
      </c>
      <c r="O5" s="2" t="s">
        <v>2208</v>
      </c>
      <c r="P5" s="2">
        <v>6.39</v>
      </c>
      <c r="Q5" s="16"/>
      <c r="R5" s="17"/>
      <c r="S5">
        <f t="shared" si="0"/>
        <v>6.41</v>
      </c>
    </row>
    <row r="6" spans="1:20" x14ac:dyDescent="0.3">
      <c r="A6" s="5">
        <v>5</v>
      </c>
      <c r="B6" s="2">
        <v>1323005</v>
      </c>
      <c r="C6" s="2" t="s">
        <v>19</v>
      </c>
      <c r="D6" s="15" t="s">
        <v>1426</v>
      </c>
      <c r="E6" s="2" t="s">
        <v>1149</v>
      </c>
      <c r="F6" s="26"/>
      <c r="G6" s="26"/>
      <c r="H6" s="2"/>
      <c r="I6" s="2"/>
      <c r="J6" s="16"/>
      <c r="K6" s="16"/>
      <c r="L6" s="2"/>
      <c r="M6" s="16">
        <v>8.77</v>
      </c>
      <c r="N6" s="16" t="s">
        <v>1661</v>
      </c>
      <c r="O6" s="2"/>
      <c r="P6" s="2"/>
      <c r="Q6" s="16"/>
      <c r="R6" s="17"/>
      <c r="S6">
        <f t="shared" si="0"/>
        <v>8.77</v>
      </c>
    </row>
    <row r="7" spans="1:20" x14ac:dyDescent="0.3">
      <c r="A7" s="5">
        <v>6</v>
      </c>
      <c r="B7" s="2">
        <v>1323006</v>
      </c>
      <c r="C7" s="2" t="s">
        <v>20</v>
      </c>
      <c r="D7" s="15" t="s">
        <v>614</v>
      </c>
      <c r="E7" s="2" t="s">
        <v>977</v>
      </c>
      <c r="F7" s="26">
        <v>7027082784</v>
      </c>
      <c r="G7" s="26" t="s">
        <v>1702</v>
      </c>
      <c r="H7" s="2" t="s">
        <v>1138</v>
      </c>
      <c r="I7" s="2"/>
      <c r="J7" s="16" t="s">
        <v>1145</v>
      </c>
      <c r="K7" s="16"/>
      <c r="L7" s="2" t="s">
        <v>8</v>
      </c>
      <c r="M7" s="16">
        <v>8.0500000000000007</v>
      </c>
      <c r="N7" s="16">
        <v>8.4499999999999993</v>
      </c>
      <c r="O7" s="2">
        <v>8.36</v>
      </c>
      <c r="P7" s="2">
        <v>7.32</v>
      </c>
      <c r="Q7" s="16"/>
      <c r="R7" s="17"/>
      <c r="S7">
        <f t="shared" si="0"/>
        <v>8.0449999999999999</v>
      </c>
    </row>
    <row r="8" spans="1:20" x14ac:dyDescent="0.3">
      <c r="A8" s="5">
        <v>7</v>
      </c>
      <c r="B8" s="2">
        <v>1323007</v>
      </c>
      <c r="C8" s="2" t="s">
        <v>21</v>
      </c>
      <c r="D8" s="15" t="s">
        <v>615</v>
      </c>
      <c r="E8" s="2" t="s">
        <v>1090</v>
      </c>
      <c r="F8" s="26">
        <v>7027435871</v>
      </c>
      <c r="G8" s="26" t="s">
        <v>1703</v>
      </c>
      <c r="H8" s="2" t="s">
        <v>1138</v>
      </c>
      <c r="I8" s="2"/>
      <c r="J8" s="16" t="s">
        <v>8</v>
      </c>
      <c r="K8" s="16"/>
      <c r="L8" s="2" t="s">
        <v>8</v>
      </c>
      <c r="M8" s="16">
        <v>7.45</v>
      </c>
      <c r="N8" s="16">
        <v>8.18</v>
      </c>
      <c r="O8" s="2">
        <v>7.95</v>
      </c>
      <c r="P8" s="2">
        <v>7.55</v>
      </c>
      <c r="Q8" s="16"/>
      <c r="R8" s="17"/>
      <c r="S8">
        <f t="shared" si="0"/>
        <v>7.7824999999999998</v>
      </c>
    </row>
    <row r="9" spans="1:20" x14ac:dyDescent="0.3">
      <c r="A9" s="5">
        <v>8</v>
      </c>
      <c r="B9" s="2">
        <v>1323008</v>
      </c>
      <c r="C9" s="2" t="s">
        <v>22</v>
      </c>
      <c r="D9" s="15" t="s">
        <v>1427</v>
      </c>
      <c r="E9" s="2" t="s">
        <v>1091</v>
      </c>
      <c r="F9" s="26">
        <v>7027684989</v>
      </c>
      <c r="G9" s="26" t="s">
        <v>1704</v>
      </c>
      <c r="H9" s="2" t="s">
        <v>1138</v>
      </c>
      <c r="I9" s="2"/>
      <c r="J9" s="16" t="s">
        <v>1145</v>
      </c>
      <c r="K9" s="16"/>
      <c r="L9" s="2" t="s">
        <v>9</v>
      </c>
      <c r="M9" s="16" t="s">
        <v>1616</v>
      </c>
      <c r="N9" s="16" t="s">
        <v>1662</v>
      </c>
      <c r="O9" s="2" t="s">
        <v>2209</v>
      </c>
      <c r="P9" s="2">
        <v>6.66</v>
      </c>
      <c r="Q9" s="16"/>
      <c r="R9" s="17"/>
      <c r="S9">
        <f t="shared" si="0"/>
        <v>6.66</v>
      </c>
    </row>
    <row r="10" spans="1:20" x14ac:dyDescent="0.3">
      <c r="A10" s="5">
        <v>9</v>
      </c>
      <c r="B10" s="2">
        <v>1323009</v>
      </c>
      <c r="C10" s="2" t="s">
        <v>23</v>
      </c>
      <c r="D10" s="15" t="s">
        <v>1428</v>
      </c>
      <c r="E10" s="2" t="s">
        <v>1092</v>
      </c>
      <c r="F10" s="26">
        <v>7027743511</v>
      </c>
      <c r="G10" s="26" t="s">
        <v>1705</v>
      </c>
      <c r="H10" s="2" t="s">
        <v>1138</v>
      </c>
      <c r="I10" s="2"/>
      <c r="J10" s="16" t="s">
        <v>8</v>
      </c>
      <c r="K10" s="16"/>
      <c r="L10" s="2" t="s">
        <v>8</v>
      </c>
      <c r="M10" s="16">
        <v>6.55</v>
      </c>
      <c r="N10" s="16">
        <v>6.84</v>
      </c>
      <c r="O10" s="2">
        <v>7.59</v>
      </c>
      <c r="P10" s="2">
        <v>6.25</v>
      </c>
      <c r="Q10" s="16"/>
      <c r="R10" s="17"/>
      <c r="S10">
        <f t="shared" si="0"/>
        <v>6.8075000000000001</v>
      </c>
    </row>
    <row r="11" spans="1:20" x14ac:dyDescent="0.3">
      <c r="A11" s="5">
        <v>10</v>
      </c>
      <c r="B11" s="2">
        <v>1323010</v>
      </c>
      <c r="C11" s="2" t="s">
        <v>24</v>
      </c>
      <c r="D11" s="15" t="s">
        <v>616</v>
      </c>
      <c r="E11" s="2" t="s">
        <v>1093</v>
      </c>
      <c r="F11" s="26">
        <v>7055570167</v>
      </c>
      <c r="G11" s="26" t="s">
        <v>1706</v>
      </c>
      <c r="H11" s="2" t="s">
        <v>1138</v>
      </c>
      <c r="I11" s="2"/>
      <c r="J11" s="16" t="s">
        <v>1145</v>
      </c>
      <c r="K11" s="16"/>
      <c r="L11" s="2" t="s">
        <v>8</v>
      </c>
      <c r="M11" s="16">
        <v>7.91</v>
      </c>
      <c r="N11" s="16">
        <v>8.5500000000000007</v>
      </c>
      <c r="O11" s="2">
        <v>7.91</v>
      </c>
      <c r="P11" s="2">
        <v>7.41</v>
      </c>
      <c r="Q11" s="16"/>
      <c r="R11" s="17"/>
      <c r="S11">
        <f t="shared" si="0"/>
        <v>7.9450000000000003</v>
      </c>
    </row>
    <row r="12" spans="1:20" x14ac:dyDescent="0.3">
      <c r="A12" s="5">
        <v>11</v>
      </c>
      <c r="B12" s="2">
        <v>1323011</v>
      </c>
      <c r="C12" s="2" t="s">
        <v>25</v>
      </c>
      <c r="D12" s="15" t="s">
        <v>617</v>
      </c>
      <c r="E12" s="2" t="s">
        <v>819</v>
      </c>
      <c r="F12" s="26">
        <v>7056088460</v>
      </c>
      <c r="G12" s="26" t="s">
        <v>1707</v>
      </c>
      <c r="H12" s="2" t="s">
        <v>1138</v>
      </c>
      <c r="I12" s="2"/>
      <c r="J12" s="16" t="s">
        <v>1146</v>
      </c>
      <c r="K12" s="16"/>
      <c r="L12" s="2" t="s">
        <v>6</v>
      </c>
      <c r="M12" s="16">
        <v>7.73</v>
      </c>
      <c r="N12" s="16">
        <v>8.59</v>
      </c>
      <c r="O12" s="2">
        <v>8.09</v>
      </c>
      <c r="P12" s="2">
        <v>7.11</v>
      </c>
      <c r="Q12" s="16"/>
      <c r="R12" s="17"/>
      <c r="S12">
        <f t="shared" si="0"/>
        <v>7.88</v>
      </c>
    </row>
    <row r="13" spans="1:20" x14ac:dyDescent="0.3">
      <c r="A13" s="5">
        <v>12</v>
      </c>
      <c r="B13" s="2">
        <v>1323012</v>
      </c>
      <c r="C13" s="2" t="s">
        <v>26</v>
      </c>
      <c r="D13" s="18" t="s">
        <v>1429</v>
      </c>
      <c r="E13" s="2" t="s">
        <v>1094</v>
      </c>
      <c r="F13" s="26">
        <v>7056369950</v>
      </c>
      <c r="G13" s="26" t="s">
        <v>1708</v>
      </c>
      <c r="H13" s="2" t="s">
        <v>1138</v>
      </c>
      <c r="I13" s="2"/>
      <c r="J13" s="16" t="s">
        <v>8</v>
      </c>
      <c r="K13" s="16"/>
      <c r="L13" s="2" t="s">
        <v>8</v>
      </c>
      <c r="M13" s="16">
        <v>8.68</v>
      </c>
      <c r="N13" s="16">
        <v>9.23</v>
      </c>
      <c r="O13" s="2">
        <v>9.5</v>
      </c>
      <c r="P13" s="2">
        <v>8.9499999999999993</v>
      </c>
      <c r="Q13" s="16"/>
      <c r="R13" s="17"/>
      <c r="S13">
        <f t="shared" si="0"/>
        <v>9.09</v>
      </c>
    </row>
    <row r="14" spans="1:20" x14ac:dyDescent="0.3">
      <c r="A14" s="5">
        <v>13</v>
      </c>
      <c r="B14" s="2">
        <v>1323013</v>
      </c>
      <c r="C14" s="2" t="s">
        <v>27</v>
      </c>
      <c r="D14" s="15" t="s">
        <v>1430</v>
      </c>
      <c r="E14" s="2" t="s">
        <v>1150</v>
      </c>
      <c r="F14" s="26"/>
      <c r="G14" s="26"/>
      <c r="H14" s="2"/>
      <c r="I14" s="2"/>
      <c r="J14" s="16"/>
      <c r="K14" s="16"/>
      <c r="L14" s="2"/>
      <c r="M14" s="16" t="s">
        <v>953</v>
      </c>
      <c r="N14" s="16" t="s">
        <v>1663</v>
      </c>
      <c r="O14" s="2">
        <v>8.73</v>
      </c>
      <c r="P14" s="2"/>
      <c r="Q14" s="16"/>
      <c r="R14" s="17"/>
      <c r="S14">
        <f t="shared" si="0"/>
        <v>8.73</v>
      </c>
    </row>
    <row r="15" spans="1:20" x14ac:dyDescent="0.3">
      <c r="A15" s="5">
        <v>14</v>
      </c>
      <c r="B15" s="2">
        <v>1323014</v>
      </c>
      <c r="C15" s="2" t="s">
        <v>28</v>
      </c>
      <c r="D15" s="15" t="s">
        <v>1431</v>
      </c>
      <c r="E15" s="2" t="s">
        <v>668</v>
      </c>
      <c r="F15" s="26"/>
      <c r="G15" s="26"/>
      <c r="H15" s="2"/>
      <c r="I15" s="2"/>
      <c r="J15" s="16"/>
      <c r="K15" s="16"/>
      <c r="L15" s="2"/>
      <c r="M15" s="16" t="s">
        <v>958</v>
      </c>
      <c r="N15" s="16"/>
      <c r="O15" s="2"/>
      <c r="P15" s="2"/>
      <c r="Q15" s="16"/>
      <c r="R15" s="17"/>
      <c r="S15" t="e">
        <f t="shared" si="0"/>
        <v>#DIV/0!</v>
      </c>
    </row>
    <row r="16" spans="1:20" x14ac:dyDescent="0.3">
      <c r="A16" s="5">
        <v>15</v>
      </c>
      <c r="B16" s="2">
        <v>1323015</v>
      </c>
      <c r="C16" s="2" t="s">
        <v>29</v>
      </c>
      <c r="D16" s="15" t="s">
        <v>1432</v>
      </c>
      <c r="E16" s="2" t="s">
        <v>1095</v>
      </c>
      <c r="F16" s="26">
        <v>7206610722</v>
      </c>
      <c r="G16" s="26" t="s">
        <v>1709</v>
      </c>
      <c r="H16" s="2" t="s">
        <v>1138</v>
      </c>
      <c r="I16" s="2"/>
      <c r="J16" s="16" t="s">
        <v>8</v>
      </c>
      <c r="K16" s="16"/>
      <c r="L16" s="2" t="s">
        <v>8</v>
      </c>
      <c r="M16" s="16">
        <v>7.91</v>
      </c>
      <c r="N16" s="16">
        <v>8.41</v>
      </c>
      <c r="O16" s="2"/>
      <c r="P16" s="2">
        <v>8.14</v>
      </c>
      <c r="Q16" s="16"/>
      <c r="R16" s="17"/>
      <c r="S16">
        <f t="shared" si="0"/>
        <v>8.1533333333333342</v>
      </c>
    </row>
    <row r="17" spans="1:19" x14ac:dyDescent="0.3">
      <c r="A17" s="5">
        <v>16</v>
      </c>
      <c r="B17" s="2">
        <v>1323016</v>
      </c>
      <c r="C17" s="2" t="s">
        <v>30</v>
      </c>
      <c r="D17" s="15" t="s">
        <v>618</v>
      </c>
      <c r="E17" s="2" t="s">
        <v>1096</v>
      </c>
      <c r="F17" s="26">
        <v>7206639042</v>
      </c>
      <c r="G17" s="26" t="s">
        <v>1710</v>
      </c>
      <c r="H17" s="2" t="s">
        <v>1138</v>
      </c>
      <c r="I17" s="2"/>
      <c r="J17" s="16"/>
      <c r="K17" s="16"/>
      <c r="L17" s="2" t="s">
        <v>8</v>
      </c>
      <c r="M17" s="16">
        <v>6.77</v>
      </c>
      <c r="N17" s="16">
        <v>6.95</v>
      </c>
      <c r="O17" s="2" t="s">
        <v>2209</v>
      </c>
      <c r="P17" s="2" t="s">
        <v>2250</v>
      </c>
      <c r="Q17" s="16"/>
      <c r="R17" s="17"/>
      <c r="S17">
        <f t="shared" si="0"/>
        <v>6.8599999999999994</v>
      </c>
    </row>
    <row r="18" spans="1:19" x14ac:dyDescent="0.3">
      <c r="A18" s="5">
        <v>17</v>
      </c>
      <c r="B18" s="2">
        <v>1323017</v>
      </c>
      <c r="C18" s="2" t="s">
        <v>31</v>
      </c>
      <c r="D18" s="15" t="s">
        <v>1433</v>
      </c>
      <c r="E18" s="2" t="s">
        <v>1097</v>
      </c>
      <c r="F18" s="26">
        <v>8307255025</v>
      </c>
      <c r="G18" s="26" t="s">
        <v>1711</v>
      </c>
      <c r="H18" s="2" t="s">
        <v>1138</v>
      </c>
      <c r="I18" s="2"/>
      <c r="J18" s="16" t="s">
        <v>8</v>
      </c>
      <c r="K18" s="16"/>
      <c r="L18" s="2" t="s">
        <v>8</v>
      </c>
      <c r="M18" s="16">
        <v>6.07</v>
      </c>
      <c r="N18" s="16" t="s">
        <v>1664</v>
      </c>
      <c r="O18" s="2" t="s">
        <v>2208</v>
      </c>
      <c r="P18" s="2" t="s">
        <v>2251</v>
      </c>
      <c r="Q18" s="16"/>
      <c r="R18" s="17"/>
      <c r="S18">
        <f t="shared" si="0"/>
        <v>6.07</v>
      </c>
    </row>
    <row r="19" spans="1:19" x14ac:dyDescent="0.3">
      <c r="A19" s="5">
        <v>18</v>
      </c>
      <c r="B19" s="2">
        <v>1323018</v>
      </c>
      <c r="C19" s="2" t="s">
        <v>32</v>
      </c>
      <c r="D19" s="18" t="s">
        <v>619</v>
      </c>
      <c r="E19" s="2" t="s">
        <v>1098</v>
      </c>
      <c r="F19" s="26">
        <v>7393900039</v>
      </c>
      <c r="G19" s="26" t="s">
        <v>1712</v>
      </c>
      <c r="H19" s="2" t="s">
        <v>1138</v>
      </c>
      <c r="I19" s="2"/>
      <c r="J19" s="16" t="s">
        <v>8</v>
      </c>
      <c r="K19" s="16"/>
      <c r="L19" s="2" t="s">
        <v>8</v>
      </c>
      <c r="M19" s="16">
        <v>6.75</v>
      </c>
      <c r="N19" s="16">
        <v>6.82</v>
      </c>
      <c r="O19" s="2" t="s">
        <v>2208</v>
      </c>
      <c r="P19" s="2" t="s">
        <v>2252</v>
      </c>
      <c r="Q19" s="16"/>
      <c r="R19" s="17"/>
      <c r="S19">
        <f t="shared" si="0"/>
        <v>6.7850000000000001</v>
      </c>
    </row>
    <row r="20" spans="1:19" x14ac:dyDescent="0.3">
      <c r="A20" s="5">
        <v>19</v>
      </c>
      <c r="B20" s="2">
        <v>1323019</v>
      </c>
      <c r="C20" s="2" t="s">
        <v>33</v>
      </c>
      <c r="D20" s="15" t="s">
        <v>620</v>
      </c>
      <c r="E20" s="2" t="s">
        <v>1099</v>
      </c>
      <c r="F20" s="26">
        <v>7404285548</v>
      </c>
      <c r="G20" s="26" t="s">
        <v>1713</v>
      </c>
      <c r="H20" s="2" t="s">
        <v>1138</v>
      </c>
      <c r="I20" s="2"/>
      <c r="J20" s="16" t="s">
        <v>8</v>
      </c>
      <c r="K20" s="16"/>
      <c r="L20" s="2" t="s">
        <v>8</v>
      </c>
      <c r="M20" s="16">
        <v>8.5</v>
      </c>
      <c r="N20" s="16">
        <v>9</v>
      </c>
      <c r="O20" s="2">
        <v>9.0500000000000007</v>
      </c>
      <c r="P20" s="2">
        <v>8.82</v>
      </c>
      <c r="Q20" s="16"/>
      <c r="R20" s="17"/>
      <c r="S20">
        <f t="shared" si="0"/>
        <v>8.8425000000000011</v>
      </c>
    </row>
    <row r="21" spans="1:19" x14ac:dyDescent="0.3">
      <c r="A21" s="5">
        <v>20</v>
      </c>
      <c r="B21" s="2">
        <v>1323020</v>
      </c>
      <c r="C21" s="2" t="s">
        <v>34</v>
      </c>
      <c r="D21" s="15" t="s">
        <v>703</v>
      </c>
      <c r="E21" s="2" t="s">
        <v>1151</v>
      </c>
      <c r="F21" s="26"/>
      <c r="G21" s="26"/>
      <c r="H21" s="2"/>
      <c r="I21" s="2"/>
      <c r="J21" s="16"/>
      <c r="K21" s="16"/>
      <c r="L21" s="2"/>
      <c r="M21" s="16" t="s">
        <v>958</v>
      </c>
      <c r="N21" s="16"/>
      <c r="O21" s="2"/>
      <c r="P21" s="2"/>
      <c r="Q21" s="16"/>
      <c r="R21" s="17"/>
      <c r="S21" t="e">
        <f t="shared" si="0"/>
        <v>#DIV/0!</v>
      </c>
    </row>
    <row r="22" spans="1:19" x14ac:dyDescent="0.3">
      <c r="A22" s="5">
        <v>21</v>
      </c>
      <c r="B22" s="2">
        <v>1323021</v>
      </c>
      <c r="C22" s="2" t="s">
        <v>35</v>
      </c>
      <c r="D22" s="15" t="s">
        <v>621</v>
      </c>
      <c r="E22" s="2" t="s">
        <v>1152</v>
      </c>
      <c r="F22" s="26"/>
      <c r="G22" s="26"/>
      <c r="H22" s="2" t="s">
        <v>1138</v>
      </c>
      <c r="I22" s="2"/>
      <c r="J22" s="16"/>
      <c r="K22" s="16"/>
      <c r="L22" s="2" t="s">
        <v>8</v>
      </c>
      <c r="M22" s="16" t="s">
        <v>1617</v>
      </c>
      <c r="N22" s="16" t="s">
        <v>1665</v>
      </c>
      <c r="O22" s="2"/>
      <c r="P22" s="2"/>
      <c r="Q22" s="16"/>
      <c r="R22" s="17"/>
      <c r="S22" t="e">
        <f t="shared" si="0"/>
        <v>#DIV/0!</v>
      </c>
    </row>
    <row r="23" spans="1:19" x14ac:dyDescent="0.3">
      <c r="A23" s="5">
        <v>22</v>
      </c>
      <c r="B23" s="2">
        <v>1323022</v>
      </c>
      <c r="C23" s="2" t="s">
        <v>36</v>
      </c>
      <c r="D23" s="15" t="s">
        <v>641</v>
      </c>
      <c r="E23" s="2" t="s">
        <v>1100</v>
      </c>
      <c r="F23" s="26">
        <v>7404743742</v>
      </c>
      <c r="G23" s="26" t="s">
        <v>1714</v>
      </c>
      <c r="H23" s="2" t="s">
        <v>1138</v>
      </c>
      <c r="I23" s="2"/>
      <c r="J23" s="16"/>
      <c r="K23" s="16"/>
      <c r="L23" s="2" t="s">
        <v>8</v>
      </c>
      <c r="M23" s="16">
        <v>6.91</v>
      </c>
      <c r="N23" s="16" t="s">
        <v>1666</v>
      </c>
      <c r="O23" s="2" t="s">
        <v>2208</v>
      </c>
      <c r="P23" s="2" t="s">
        <v>2253</v>
      </c>
      <c r="Q23" s="16"/>
      <c r="R23" s="17"/>
      <c r="S23">
        <f t="shared" si="0"/>
        <v>6.91</v>
      </c>
    </row>
    <row r="24" spans="1:19" x14ac:dyDescent="0.3">
      <c r="A24" s="5">
        <v>23</v>
      </c>
      <c r="B24" s="2">
        <v>1323023</v>
      </c>
      <c r="C24" s="2" t="s">
        <v>37</v>
      </c>
      <c r="D24" s="15" t="s">
        <v>622</v>
      </c>
      <c r="E24" s="2" t="s">
        <v>1101</v>
      </c>
      <c r="F24" s="26">
        <v>7419206501</v>
      </c>
      <c r="G24" s="26" t="s">
        <v>1715</v>
      </c>
      <c r="H24" s="2" t="s">
        <v>1138</v>
      </c>
      <c r="I24" s="2"/>
      <c r="J24" s="16" t="s">
        <v>1146</v>
      </c>
      <c r="K24" s="16"/>
      <c r="L24" s="2" t="s">
        <v>8</v>
      </c>
      <c r="M24" s="16">
        <v>8.18</v>
      </c>
      <c r="N24" s="16">
        <v>7.95</v>
      </c>
      <c r="O24" s="2" t="s">
        <v>2208</v>
      </c>
      <c r="P24" s="2">
        <v>7.95</v>
      </c>
      <c r="Q24" s="16"/>
      <c r="R24" s="17"/>
      <c r="S24">
        <f t="shared" si="0"/>
        <v>8.0266666666666655</v>
      </c>
    </row>
    <row r="25" spans="1:19" x14ac:dyDescent="0.3">
      <c r="A25" s="5">
        <v>24</v>
      </c>
      <c r="B25" s="2">
        <v>1323024</v>
      </c>
      <c r="C25" s="2" t="s">
        <v>941</v>
      </c>
      <c r="D25" s="15"/>
      <c r="E25" s="2"/>
      <c r="F25" s="26"/>
      <c r="G25" s="26"/>
      <c r="H25" s="2"/>
      <c r="I25" s="2"/>
      <c r="J25" s="16"/>
      <c r="K25" s="16"/>
      <c r="L25" s="2"/>
      <c r="M25" s="16"/>
      <c r="N25" s="16"/>
      <c r="O25" s="2"/>
      <c r="P25" s="2"/>
      <c r="Q25" s="16"/>
      <c r="R25" s="17"/>
      <c r="S25" t="e">
        <f t="shared" si="0"/>
        <v>#DIV/0!</v>
      </c>
    </row>
    <row r="26" spans="1:19" x14ac:dyDescent="0.3">
      <c r="A26" s="5">
        <v>25</v>
      </c>
      <c r="B26" s="2">
        <v>1323025</v>
      </c>
      <c r="C26" s="2" t="s">
        <v>38</v>
      </c>
      <c r="D26" s="15" t="s">
        <v>623</v>
      </c>
      <c r="E26" s="2" t="s">
        <v>1082</v>
      </c>
      <c r="F26" s="26">
        <v>7496018760</v>
      </c>
      <c r="G26" s="26" t="s">
        <v>1716</v>
      </c>
      <c r="H26" s="2" t="s">
        <v>1138</v>
      </c>
      <c r="I26" s="2"/>
      <c r="J26" s="16" t="s">
        <v>8</v>
      </c>
      <c r="K26" s="16"/>
      <c r="L26" s="2" t="s">
        <v>8</v>
      </c>
      <c r="M26" s="16">
        <v>6.82</v>
      </c>
      <c r="N26" s="16">
        <v>6.61</v>
      </c>
      <c r="O26" s="2" t="s">
        <v>2210</v>
      </c>
      <c r="P26" s="2" t="s">
        <v>2254</v>
      </c>
      <c r="Q26" s="16"/>
      <c r="R26" s="17"/>
      <c r="S26">
        <f t="shared" si="0"/>
        <v>6.7149999999999999</v>
      </c>
    </row>
    <row r="27" spans="1:19" x14ac:dyDescent="0.3">
      <c r="A27" s="5">
        <v>26</v>
      </c>
      <c r="B27" s="2">
        <v>1323026</v>
      </c>
      <c r="C27" s="2" t="s">
        <v>39</v>
      </c>
      <c r="D27" s="15" t="s">
        <v>624</v>
      </c>
      <c r="E27" s="2" t="s">
        <v>1102</v>
      </c>
      <c r="F27" s="26">
        <v>7500139374</v>
      </c>
      <c r="G27" s="26" t="s">
        <v>1717</v>
      </c>
      <c r="H27" s="2" t="s">
        <v>1138</v>
      </c>
      <c r="I27" s="2"/>
      <c r="J27" s="16" t="s">
        <v>8</v>
      </c>
      <c r="K27" s="16"/>
      <c r="L27" s="2" t="s">
        <v>8</v>
      </c>
      <c r="M27" s="16">
        <v>7.23</v>
      </c>
      <c r="N27" s="16">
        <v>7.55</v>
      </c>
      <c r="O27" s="2">
        <v>8.23</v>
      </c>
      <c r="P27" s="2">
        <v>6.68</v>
      </c>
      <c r="Q27" s="16"/>
      <c r="R27" s="17"/>
      <c r="S27">
        <f t="shared" si="0"/>
        <v>7.4225000000000003</v>
      </c>
    </row>
    <row r="28" spans="1:19" x14ac:dyDescent="0.3">
      <c r="A28" s="5">
        <v>27</v>
      </c>
      <c r="B28" s="2">
        <v>1323027</v>
      </c>
      <c r="C28" s="2" t="s">
        <v>40</v>
      </c>
      <c r="D28" s="15" t="s">
        <v>625</v>
      </c>
      <c r="E28" s="2" t="s">
        <v>1103</v>
      </c>
      <c r="F28" s="26">
        <v>9817026844</v>
      </c>
      <c r="G28" s="26" t="s">
        <v>1718</v>
      </c>
      <c r="H28" s="2" t="s">
        <v>1138</v>
      </c>
      <c r="I28" s="2"/>
      <c r="J28" s="16" t="s">
        <v>1145</v>
      </c>
      <c r="K28" s="16"/>
      <c r="L28" s="2" t="s">
        <v>8</v>
      </c>
      <c r="M28" s="16">
        <v>7.27</v>
      </c>
      <c r="N28" s="16" t="s">
        <v>1667</v>
      </c>
      <c r="O28" s="2" t="s">
        <v>2208</v>
      </c>
      <c r="P28" s="2" t="s">
        <v>953</v>
      </c>
      <c r="Q28" s="16"/>
      <c r="R28" s="17"/>
      <c r="S28">
        <f t="shared" si="0"/>
        <v>7.27</v>
      </c>
    </row>
    <row r="29" spans="1:19" x14ac:dyDescent="0.3">
      <c r="A29" s="5">
        <v>28</v>
      </c>
      <c r="B29" s="2">
        <v>1323028</v>
      </c>
      <c r="C29" s="2" t="s">
        <v>41</v>
      </c>
      <c r="D29" s="15" t="s">
        <v>1434</v>
      </c>
      <c r="E29" s="2" t="s">
        <v>1104</v>
      </c>
      <c r="F29" s="26">
        <v>7876863816</v>
      </c>
      <c r="G29" s="26" t="s">
        <v>1719</v>
      </c>
      <c r="H29" s="2" t="s">
        <v>1138</v>
      </c>
      <c r="I29" s="2"/>
      <c r="J29" s="16" t="s">
        <v>8</v>
      </c>
      <c r="K29" s="16"/>
      <c r="L29" s="2" t="s">
        <v>8</v>
      </c>
      <c r="M29" s="16">
        <v>6.75</v>
      </c>
      <c r="N29" s="16" t="s">
        <v>1668</v>
      </c>
      <c r="O29" s="2" t="s">
        <v>2208</v>
      </c>
      <c r="P29" s="2">
        <v>5.8</v>
      </c>
      <c r="Q29" s="16"/>
      <c r="R29" s="17"/>
      <c r="S29">
        <f t="shared" si="0"/>
        <v>6.2750000000000004</v>
      </c>
    </row>
    <row r="30" spans="1:19" x14ac:dyDescent="0.3">
      <c r="A30" s="5">
        <v>29</v>
      </c>
      <c r="B30" s="2">
        <v>1323029</v>
      </c>
      <c r="C30" s="2" t="s">
        <v>42</v>
      </c>
      <c r="D30" s="15" t="s">
        <v>626</v>
      </c>
      <c r="E30" s="2" t="s">
        <v>1105</v>
      </c>
      <c r="F30" s="26">
        <v>7973957117</v>
      </c>
      <c r="G30" s="26" t="s">
        <v>1720</v>
      </c>
      <c r="H30" s="2" t="s">
        <v>1138</v>
      </c>
      <c r="I30" s="2"/>
      <c r="J30" s="16"/>
      <c r="K30" s="16"/>
      <c r="L30" s="2" t="s">
        <v>8</v>
      </c>
      <c r="M30" s="16" t="s">
        <v>1618</v>
      </c>
      <c r="N30" s="16" t="s">
        <v>1662</v>
      </c>
      <c r="O30" s="2" t="s">
        <v>2211</v>
      </c>
      <c r="P30" s="2" t="s">
        <v>2255</v>
      </c>
      <c r="Q30" s="16"/>
      <c r="R30" s="17"/>
      <c r="S30" t="e">
        <f t="shared" si="0"/>
        <v>#DIV/0!</v>
      </c>
    </row>
    <row r="31" spans="1:19" x14ac:dyDescent="0.3">
      <c r="A31" s="5">
        <v>30</v>
      </c>
      <c r="B31" s="2">
        <v>1323030</v>
      </c>
      <c r="C31" s="2" t="s">
        <v>43</v>
      </c>
      <c r="D31" s="15" t="s">
        <v>627</v>
      </c>
      <c r="E31" s="2" t="s">
        <v>1106</v>
      </c>
      <c r="F31" s="26">
        <v>7988539214</v>
      </c>
      <c r="G31" s="26" t="s">
        <v>1721</v>
      </c>
      <c r="H31" s="2" t="s">
        <v>1138</v>
      </c>
      <c r="I31" s="2"/>
      <c r="J31" s="16" t="s">
        <v>8</v>
      </c>
      <c r="K31" s="16"/>
      <c r="L31" s="2" t="s">
        <v>8</v>
      </c>
      <c r="M31" s="16" t="s">
        <v>1619</v>
      </c>
      <c r="N31" s="16" t="s">
        <v>1669</v>
      </c>
      <c r="O31" s="2" t="s">
        <v>2208</v>
      </c>
      <c r="P31" s="2">
        <v>7.59</v>
      </c>
      <c r="Q31" s="16"/>
      <c r="R31" s="17"/>
      <c r="S31">
        <f t="shared" si="0"/>
        <v>7.59</v>
      </c>
    </row>
    <row r="32" spans="1:19" x14ac:dyDescent="0.3">
      <c r="A32" s="5">
        <v>31</v>
      </c>
      <c r="B32" s="2">
        <v>1323031</v>
      </c>
      <c r="C32" s="2" t="s">
        <v>44</v>
      </c>
      <c r="D32" s="15" t="s">
        <v>628</v>
      </c>
      <c r="E32" s="2" t="s">
        <v>1107</v>
      </c>
      <c r="F32" s="26">
        <v>7988585307</v>
      </c>
      <c r="G32" s="26" t="s">
        <v>1722</v>
      </c>
      <c r="H32" s="2" t="s">
        <v>1138</v>
      </c>
      <c r="I32" s="2"/>
      <c r="J32" s="16" t="s">
        <v>8</v>
      </c>
      <c r="K32" s="16"/>
      <c r="L32" s="2" t="s">
        <v>8</v>
      </c>
      <c r="M32" s="16">
        <v>9.36</v>
      </c>
      <c r="N32" s="16">
        <v>8.91</v>
      </c>
      <c r="O32" s="2">
        <v>8.9499999999999993</v>
      </c>
      <c r="P32" s="2">
        <v>9.32</v>
      </c>
      <c r="Q32" s="16"/>
      <c r="R32" s="17"/>
      <c r="S32">
        <f t="shared" si="0"/>
        <v>9.1349999999999998</v>
      </c>
    </row>
    <row r="33" spans="1:19" x14ac:dyDescent="0.3">
      <c r="A33" s="5">
        <v>32</v>
      </c>
      <c r="B33" s="2">
        <v>1323032</v>
      </c>
      <c r="C33" s="2" t="s">
        <v>45</v>
      </c>
      <c r="D33" s="18" t="s">
        <v>629</v>
      </c>
      <c r="E33" s="2" t="s">
        <v>1108</v>
      </c>
      <c r="F33" s="26">
        <v>8053095927</v>
      </c>
      <c r="G33" s="26" t="s">
        <v>1723</v>
      </c>
      <c r="H33" s="2" t="s">
        <v>1138</v>
      </c>
      <c r="I33" s="2"/>
      <c r="J33" s="16" t="s">
        <v>8</v>
      </c>
      <c r="K33" s="16"/>
      <c r="L33" s="2" t="s">
        <v>9</v>
      </c>
      <c r="M33" s="16">
        <v>7.32</v>
      </c>
      <c r="N33" s="16" t="s">
        <v>1662</v>
      </c>
      <c r="O33" s="2">
        <v>8.36</v>
      </c>
      <c r="P33" s="2" t="s">
        <v>954</v>
      </c>
      <c r="Q33" s="16"/>
      <c r="R33" s="17"/>
      <c r="S33">
        <f t="shared" si="0"/>
        <v>7.84</v>
      </c>
    </row>
    <row r="34" spans="1:19" x14ac:dyDescent="0.3">
      <c r="A34" s="5">
        <v>33</v>
      </c>
      <c r="B34" s="2">
        <v>1323033</v>
      </c>
      <c r="C34" s="2" t="s">
        <v>46</v>
      </c>
      <c r="D34" s="15" t="s">
        <v>1435</v>
      </c>
      <c r="E34" s="2" t="s">
        <v>1109</v>
      </c>
      <c r="F34" s="26">
        <v>8053211500</v>
      </c>
      <c r="G34" s="26" t="s">
        <v>1724</v>
      </c>
      <c r="H34" s="2" t="s">
        <v>1138</v>
      </c>
      <c r="I34" s="2"/>
      <c r="J34" s="16" t="s">
        <v>8</v>
      </c>
      <c r="K34" s="16"/>
      <c r="L34" s="2" t="s">
        <v>8</v>
      </c>
      <c r="M34" s="16">
        <v>7.32</v>
      </c>
      <c r="N34" s="16" t="s">
        <v>1663</v>
      </c>
      <c r="O34" s="2" t="s">
        <v>2208</v>
      </c>
      <c r="P34" s="2" t="s">
        <v>2253</v>
      </c>
      <c r="Q34" s="16"/>
      <c r="R34" s="17"/>
      <c r="S34">
        <f t="shared" si="0"/>
        <v>7.32</v>
      </c>
    </row>
    <row r="35" spans="1:19" x14ac:dyDescent="0.3">
      <c r="A35" s="5">
        <v>34</v>
      </c>
      <c r="B35" s="2">
        <v>1323034</v>
      </c>
      <c r="C35" s="2" t="s">
        <v>47</v>
      </c>
      <c r="D35" s="15" t="s">
        <v>1436</v>
      </c>
      <c r="E35" s="2" t="s">
        <v>1110</v>
      </c>
      <c r="F35" s="26">
        <v>8053841041</v>
      </c>
      <c r="G35" s="26" t="s">
        <v>1725</v>
      </c>
      <c r="H35" s="2" t="s">
        <v>1138</v>
      </c>
      <c r="I35" s="2"/>
      <c r="J35" s="16" t="s">
        <v>1145</v>
      </c>
      <c r="K35" s="16"/>
      <c r="L35" s="2" t="s">
        <v>8</v>
      </c>
      <c r="M35" s="16">
        <v>8.5500000000000007</v>
      </c>
      <c r="N35" s="16">
        <v>8.41</v>
      </c>
      <c r="O35" s="2">
        <v>8.27</v>
      </c>
      <c r="P35" s="2">
        <v>8.9499999999999993</v>
      </c>
      <c r="Q35" s="16"/>
      <c r="R35" s="17"/>
      <c r="S35">
        <f t="shared" si="0"/>
        <v>8.5449999999999999</v>
      </c>
    </row>
    <row r="36" spans="1:19" x14ac:dyDescent="0.3">
      <c r="A36" s="5">
        <v>35</v>
      </c>
      <c r="B36" s="2">
        <v>1323035</v>
      </c>
      <c r="C36" s="2" t="s">
        <v>48</v>
      </c>
      <c r="D36" s="2"/>
      <c r="E36" s="2"/>
      <c r="F36" s="26"/>
      <c r="G36" s="26"/>
      <c r="H36" s="2"/>
      <c r="I36" s="2"/>
      <c r="J36" s="16"/>
      <c r="K36" s="16"/>
      <c r="L36" s="2" t="s">
        <v>8</v>
      </c>
      <c r="M36" s="16"/>
      <c r="N36" s="16"/>
      <c r="O36" s="2"/>
      <c r="P36" s="2"/>
      <c r="Q36" s="16"/>
      <c r="R36" s="17"/>
      <c r="S36" t="e">
        <f t="shared" si="0"/>
        <v>#DIV/0!</v>
      </c>
    </row>
    <row r="37" spans="1:19" x14ac:dyDescent="0.3">
      <c r="A37" s="5">
        <v>36</v>
      </c>
      <c r="B37" s="2">
        <v>1323036</v>
      </c>
      <c r="C37" s="2" t="s">
        <v>49</v>
      </c>
      <c r="D37" s="15" t="s">
        <v>630</v>
      </c>
      <c r="E37" s="2" t="s">
        <v>1111</v>
      </c>
      <c r="F37" s="26">
        <v>8168091086</v>
      </c>
      <c r="G37" s="26" t="s">
        <v>1726</v>
      </c>
      <c r="H37" s="2" t="s">
        <v>1138</v>
      </c>
      <c r="I37" s="2"/>
      <c r="J37" s="16" t="s">
        <v>8</v>
      </c>
      <c r="K37" s="16"/>
      <c r="L37" s="2" t="s">
        <v>8</v>
      </c>
      <c r="M37" s="16">
        <v>7.64</v>
      </c>
      <c r="N37" s="16">
        <v>7.93</v>
      </c>
      <c r="O37" s="2">
        <v>8.09</v>
      </c>
      <c r="P37" s="2">
        <v>8</v>
      </c>
      <c r="Q37" s="16"/>
      <c r="R37" s="17"/>
      <c r="S37">
        <f t="shared" si="0"/>
        <v>7.915</v>
      </c>
    </row>
    <row r="38" spans="1:19" x14ac:dyDescent="0.3">
      <c r="A38" s="5">
        <v>37</v>
      </c>
      <c r="B38" s="2">
        <v>1323037</v>
      </c>
      <c r="C38" s="2" t="s">
        <v>50</v>
      </c>
      <c r="D38" s="15" t="s">
        <v>631</v>
      </c>
      <c r="E38" s="2" t="s">
        <v>1112</v>
      </c>
      <c r="F38" s="26">
        <v>8168105044</v>
      </c>
      <c r="G38" s="26" t="s">
        <v>1727</v>
      </c>
      <c r="H38" s="2" t="s">
        <v>1138</v>
      </c>
      <c r="I38" s="2"/>
      <c r="J38" s="16" t="s">
        <v>8</v>
      </c>
      <c r="K38" s="16"/>
      <c r="L38" s="2" t="s">
        <v>9</v>
      </c>
      <c r="M38" s="16" t="s">
        <v>1620</v>
      </c>
      <c r="N38" s="16" t="s">
        <v>1667</v>
      </c>
      <c r="O38" s="2" t="s">
        <v>2212</v>
      </c>
      <c r="P38" s="2">
        <v>7.36</v>
      </c>
      <c r="Q38" s="16"/>
      <c r="R38" s="17"/>
      <c r="S38">
        <f t="shared" si="0"/>
        <v>7.36</v>
      </c>
    </row>
    <row r="39" spans="1:19" x14ac:dyDescent="0.3">
      <c r="A39" s="5">
        <v>38</v>
      </c>
      <c r="B39" s="2">
        <v>1323038</v>
      </c>
      <c r="C39" s="2" t="s">
        <v>51</v>
      </c>
      <c r="D39" s="15" t="s">
        <v>632</v>
      </c>
      <c r="E39" s="2" t="s">
        <v>1113</v>
      </c>
      <c r="F39" s="26">
        <v>8168199269</v>
      </c>
      <c r="G39" s="26" t="s">
        <v>1728</v>
      </c>
      <c r="H39" s="2" t="s">
        <v>1138</v>
      </c>
      <c r="I39" s="2"/>
      <c r="J39" s="16" t="s">
        <v>1146</v>
      </c>
      <c r="K39" s="16"/>
      <c r="L39" s="2" t="s">
        <v>8</v>
      </c>
      <c r="M39" s="16">
        <v>6.09</v>
      </c>
      <c r="N39" s="16">
        <v>6.09</v>
      </c>
      <c r="O39" s="2" t="s">
        <v>2210</v>
      </c>
      <c r="P39" s="2">
        <v>6.3</v>
      </c>
      <c r="Q39" s="16"/>
      <c r="R39" s="17"/>
      <c r="S39">
        <f t="shared" si="0"/>
        <v>6.16</v>
      </c>
    </row>
    <row r="40" spans="1:19" x14ac:dyDescent="0.3">
      <c r="A40" s="5">
        <v>39</v>
      </c>
      <c r="B40" s="2">
        <v>1323039</v>
      </c>
      <c r="C40" s="2" t="s">
        <v>52</v>
      </c>
      <c r="D40" s="15" t="s">
        <v>1114</v>
      </c>
      <c r="E40" s="2" t="s">
        <v>1082</v>
      </c>
      <c r="F40" s="26">
        <v>8168760188</v>
      </c>
      <c r="G40" s="26" t="s">
        <v>1729</v>
      </c>
      <c r="H40" s="2" t="s">
        <v>1138</v>
      </c>
      <c r="I40" s="2"/>
      <c r="J40" s="16" t="s">
        <v>8</v>
      </c>
      <c r="K40" s="16"/>
      <c r="L40" s="2" t="s">
        <v>8</v>
      </c>
      <c r="M40" s="16">
        <v>7.45</v>
      </c>
      <c r="N40" s="16">
        <v>7.25</v>
      </c>
      <c r="O40" s="2">
        <v>7.64</v>
      </c>
      <c r="P40" s="2">
        <v>8.23</v>
      </c>
      <c r="Q40" s="16"/>
      <c r="R40" s="17"/>
      <c r="S40">
        <f t="shared" si="0"/>
        <v>7.6425000000000001</v>
      </c>
    </row>
    <row r="41" spans="1:19" x14ac:dyDescent="0.3">
      <c r="A41" s="5">
        <v>40</v>
      </c>
      <c r="B41" s="2">
        <v>1323040</v>
      </c>
      <c r="C41" s="2" t="s">
        <v>53</v>
      </c>
      <c r="D41" s="15" t="s">
        <v>633</v>
      </c>
      <c r="E41" s="2" t="s">
        <v>1115</v>
      </c>
      <c r="F41" s="26">
        <v>8221013127</v>
      </c>
      <c r="G41" s="26" t="s">
        <v>1730</v>
      </c>
      <c r="H41" s="2" t="s">
        <v>1138</v>
      </c>
      <c r="I41" s="2"/>
      <c r="J41" s="16" t="s">
        <v>8</v>
      </c>
      <c r="K41" s="16"/>
      <c r="L41" s="2" t="s">
        <v>8</v>
      </c>
      <c r="M41" s="16" t="s">
        <v>1621</v>
      </c>
      <c r="N41" s="16" t="s">
        <v>1670</v>
      </c>
      <c r="O41" s="2" t="s">
        <v>2213</v>
      </c>
      <c r="P41" s="2" t="s">
        <v>953</v>
      </c>
      <c r="Q41" s="16"/>
      <c r="R41" s="17"/>
      <c r="S41" t="e">
        <f t="shared" si="0"/>
        <v>#DIV/0!</v>
      </c>
    </row>
    <row r="42" spans="1:19" x14ac:dyDescent="0.3">
      <c r="A42" s="5">
        <v>41</v>
      </c>
      <c r="B42" s="2">
        <v>1323041</v>
      </c>
      <c r="C42" s="2" t="s">
        <v>54</v>
      </c>
      <c r="D42" s="15" t="s">
        <v>1437</v>
      </c>
      <c r="E42" s="2" t="s">
        <v>1116</v>
      </c>
      <c r="F42" s="26">
        <v>8222051432</v>
      </c>
      <c r="G42" s="26" t="s">
        <v>1731</v>
      </c>
      <c r="H42" s="2" t="s">
        <v>1138</v>
      </c>
      <c r="I42" s="2"/>
      <c r="J42" s="16" t="s">
        <v>8</v>
      </c>
      <c r="K42" s="16"/>
      <c r="L42" s="2"/>
      <c r="M42" s="16">
        <v>6.91</v>
      </c>
      <c r="N42" s="16">
        <v>6.43</v>
      </c>
      <c r="O42" s="2" t="s">
        <v>2208</v>
      </c>
      <c r="P42" s="2">
        <v>6.27</v>
      </c>
      <c r="Q42" s="16"/>
      <c r="R42" s="17"/>
      <c r="S42">
        <f t="shared" si="0"/>
        <v>6.5366666666666662</v>
      </c>
    </row>
    <row r="43" spans="1:19" x14ac:dyDescent="0.3">
      <c r="A43" s="5">
        <v>42</v>
      </c>
      <c r="B43" s="2">
        <v>1323042</v>
      </c>
      <c r="C43" s="2" t="s">
        <v>941</v>
      </c>
      <c r="D43" s="2"/>
      <c r="E43" s="2"/>
      <c r="F43" s="26"/>
      <c r="G43" s="26"/>
      <c r="H43" s="2"/>
      <c r="I43" s="2"/>
      <c r="J43" s="16"/>
      <c r="K43" s="16"/>
      <c r="L43" s="16"/>
      <c r="M43" s="16"/>
      <c r="N43" s="16"/>
      <c r="O43" s="2"/>
      <c r="P43" s="2"/>
      <c r="Q43" s="16"/>
      <c r="R43" s="17"/>
      <c r="S43" t="e">
        <f t="shared" si="0"/>
        <v>#DIV/0!</v>
      </c>
    </row>
    <row r="44" spans="1:19" x14ac:dyDescent="0.3">
      <c r="A44" s="5">
        <v>43</v>
      </c>
      <c r="B44" s="2">
        <v>1323043</v>
      </c>
      <c r="C44" s="2" t="s">
        <v>55</v>
      </c>
      <c r="D44" s="15" t="s">
        <v>678</v>
      </c>
      <c r="E44" s="2" t="s">
        <v>1117</v>
      </c>
      <c r="F44" s="26">
        <v>9812841396</v>
      </c>
      <c r="G44" s="26" t="s">
        <v>1732</v>
      </c>
      <c r="H44" s="2" t="s">
        <v>1138</v>
      </c>
      <c r="I44" s="2"/>
      <c r="J44" s="16" t="s">
        <v>8</v>
      </c>
      <c r="K44" s="16"/>
      <c r="L44" s="2" t="s">
        <v>8</v>
      </c>
      <c r="M44" s="16" t="s">
        <v>1617</v>
      </c>
      <c r="N44" s="16" t="s">
        <v>1667</v>
      </c>
      <c r="O44" s="2" t="s">
        <v>2212</v>
      </c>
      <c r="P44" s="2">
        <v>6.64</v>
      </c>
      <c r="Q44" s="16"/>
      <c r="R44" s="17"/>
      <c r="S44">
        <f t="shared" si="0"/>
        <v>6.64</v>
      </c>
    </row>
    <row r="45" spans="1:19" x14ac:dyDescent="0.3">
      <c r="A45" s="5">
        <v>44</v>
      </c>
      <c r="B45" s="2">
        <v>1323044</v>
      </c>
      <c r="C45" s="2" t="s">
        <v>56</v>
      </c>
      <c r="D45" s="15" t="s">
        <v>634</v>
      </c>
      <c r="E45" s="2" t="s">
        <v>1118</v>
      </c>
      <c r="F45" s="26">
        <v>8278476658</v>
      </c>
      <c r="G45" s="26" t="s">
        <v>1733</v>
      </c>
      <c r="H45" s="2" t="s">
        <v>1138</v>
      </c>
      <c r="I45" s="2"/>
      <c r="J45" s="16" t="s">
        <v>8</v>
      </c>
      <c r="K45" s="16"/>
      <c r="L45" s="2" t="s">
        <v>8</v>
      </c>
      <c r="M45" s="16">
        <v>8.5500000000000007</v>
      </c>
      <c r="N45" s="16">
        <v>9.18</v>
      </c>
      <c r="O45" s="2">
        <v>9.41</v>
      </c>
      <c r="P45" s="2">
        <v>9.73</v>
      </c>
      <c r="Q45" s="16"/>
      <c r="R45" s="17"/>
      <c r="S45">
        <f t="shared" si="0"/>
        <v>9.2175000000000011</v>
      </c>
    </row>
    <row r="46" spans="1:19" x14ac:dyDescent="0.3">
      <c r="A46" s="5">
        <v>45</v>
      </c>
      <c r="B46" s="2">
        <v>1323045</v>
      </c>
      <c r="C46" s="2" t="s">
        <v>57</v>
      </c>
      <c r="D46" s="15" t="s">
        <v>1438</v>
      </c>
      <c r="E46" s="2" t="s">
        <v>668</v>
      </c>
      <c r="F46" s="26">
        <v>8295988004</v>
      </c>
      <c r="G46" s="26" t="s">
        <v>1734</v>
      </c>
      <c r="H46" s="2" t="s">
        <v>1138</v>
      </c>
      <c r="I46" s="2"/>
      <c r="J46" s="16" t="s">
        <v>8</v>
      </c>
      <c r="K46" s="16"/>
      <c r="L46" s="2" t="s">
        <v>8</v>
      </c>
      <c r="M46" s="16">
        <v>7.91</v>
      </c>
      <c r="N46" s="16">
        <v>7.73</v>
      </c>
      <c r="O46" s="2" t="s">
        <v>2210</v>
      </c>
      <c r="P46" s="2">
        <v>7.05</v>
      </c>
      <c r="Q46" s="16"/>
      <c r="R46" s="17"/>
      <c r="S46">
        <f t="shared" si="0"/>
        <v>7.5633333333333335</v>
      </c>
    </row>
    <row r="47" spans="1:19" x14ac:dyDescent="0.3">
      <c r="A47" s="5">
        <v>46</v>
      </c>
      <c r="B47" s="2">
        <v>1323046</v>
      </c>
      <c r="C47" s="2" t="s">
        <v>58</v>
      </c>
      <c r="D47" s="15" t="s">
        <v>1439</v>
      </c>
      <c r="E47" s="2" t="s">
        <v>1119</v>
      </c>
      <c r="F47" s="26">
        <v>8307702591</v>
      </c>
      <c r="G47" s="26" t="s">
        <v>1735</v>
      </c>
      <c r="H47" s="2" t="s">
        <v>1138</v>
      </c>
      <c r="I47" s="2"/>
      <c r="J47" s="16" t="s">
        <v>8</v>
      </c>
      <c r="K47" s="16"/>
      <c r="L47" s="2" t="s">
        <v>8</v>
      </c>
      <c r="M47" s="16">
        <v>5.95</v>
      </c>
      <c r="N47" s="16">
        <v>6.02</v>
      </c>
      <c r="O47" s="2" t="s">
        <v>2214</v>
      </c>
      <c r="P47" s="2">
        <v>5.91</v>
      </c>
      <c r="Q47" s="16"/>
      <c r="R47" s="17"/>
      <c r="S47">
        <f t="shared" si="0"/>
        <v>5.96</v>
      </c>
    </row>
    <row r="48" spans="1:19" x14ac:dyDescent="0.3">
      <c r="A48" s="5">
        <v>47</v>
      </c>
      <c r="B48" s="2">
        <v>1323047</v>
      </c>
      <c r="C48" s="2" t="s">
        <v>59</v>
      </c>
      <c r="D48" s="18" t="s">
        <v>1440</v>
      </c>
      <c r="E48" s="2" t="s">
        <v>1120</v>
      </c>
      <c r="F48" s="26">
        <v>9671496807</v>
      </c>
      <c r="G48" s="26" t="s">
        <v>1736</v>
      </c>
      <c r="H48" s="2" t="s">
        <v>1138</v>
      </c>
      <c r="I48" s="2"/>
      <c r="J48" s="16"/>
      <c r="K48" s="16"/>
      <c r="L48" s="2" t="s">
        <v>8</v>
      </c>
      <c r="M48" s="16" t="s">
        <v>958</v>
      </c>
      <c r="N48" s="16" t="s">
        <v>958</v>
      </c>
      <c r="O48" s="2" t="s">
        <v>958</v>
      </c>
      <c r="P48" s="2" t="s">
        <v>954</v>
      </c>
      <c r="Q48" s="16"/>
      <c r="R48" s="17"/>
      <c r="S48" t="e">
        <f t="shared" si="0"/>
        <v>#DIV/0!</v>
      </c>
    </row>
    <row r="49" spans="1:19" x14ac:dyDescent="0.3">
      <c r="A49" s="5">
        <v>48</v>
      </c>
      <c r="B49" s="2">
        <v>1323048</v>
      </c>
      <c r="C49" s="2" t="s">
        <v>60</v>
      </c>
      <c r="D49" s="15" t="s">
        <v>1441</v>
      </c>
      <c r="E49" s="2" t="s">
        <v>1121</v>
      </c>
      <c r="F49" s="26">
        <v>8307521665</v>
      </c>
      <c r="G49" s="26" t="s">
        <v>1737</v>
      </c>
      <c r="H49" s="2" t="s">
        <v>1138</v>
      </c>
      <c r="I49" s="2"/>
      <c r="J49" s="16" t="s">
        <v>8</v>
      </c>
      <c r="K49" s="16"/>
      <c r="L49" s="2" t="s">
        <v>8</v>
      </c>
      <c r="M49" s="16" t="s">
        <v>1619</v>
      </c>
      <c r="N49" s="16" t="s">
        <v>1671</v>
      </c>
      <c r="O49" s="2" t="s">
        <v>953</v>
      </c>
      <c r="P49" s="2" t="s">
        <v>2256</v>
      </c>
      <c r="Q49" s="16"/>
      <c r="R49" s="17"/>
      <c r="S49" t="e">
        <f t="shared" si="0"/>
        <v>#DIV/0!</v>
      </c>
    </row>
    <row r="50" spans="1:19" x14ac:dyDescent="0.3">
      <c r="A50" s="5">
        <v>49</v>
      </c>
      <c r="B50" s="2">
        <v>1323049</v>
      </c>
      <c r="C50" s="2" t="s">
        <v>61</v>
      </c>
      <c r="D50" s="15" t="s">
        <v>635</v>
      </c>
      <c r="E50" s="2" t="s">
        <v>1122</v>
      </c>
      <c r="F50" s="26">
        <v>8307542422</v>
      </c>
      <c r="G50" s="26" t="s">
        <v>1738</v>
      </c>
      <c r="H50" s="2" t="s">
        <v>1138</v>
      </c>
      <c r="I50" s="2"/>
      <c r="J50" s="16" t="s">
        <v>8</v>
      </c>
      <c r="K50" s="16"/>
      <c r="L50" s="2" t="s">
        <v>8</v>
      </c>
      <c r="M50" s="16">
        <v>7.09</v>
      </c>
      <c r="N50" s="16" t="s">
        <v>1668</v>
      </c>
      <c r="O50" s="2" t="s">
        <v>2208</v>
      </c>
      <c r="P50" s="2">
        <v>7.07</v>
      </c>
      <c r="Q50" s="16"/>
      <c r="R50" s="17"/>
      <c r="S50">
        <f t="shared" si="0"/>
        <v>7.08</v>
      </c>
    </row>
    <row r="51" spans="1:19" x14ac:dyDescent="0.3">
      <c r="A51" s="5">
        <v>50</v>
      </c>
      <c r="B51" s="2">
        <v>1323050</v>
      </c>
      <c r="C51" s="2" t="s">
        <v>62</v>
      </c>
      <c r="D51" s="15" t="s">
        <v>1442</v>
      </c>
      <c r="E51" s="2" t="s">
        <v>1123</v>
      </c>
      <c r="F51" s="26">
        <v>8307603051</v>
      </c>
      <c r="G51" s="26" t="s">
        <v>1739</v>
      </c>
      <c r="H51" s="2" t="s">
        <v>1138</v>
      </c>
      <c r="I51" s="2"/>
      <c r="J51" s="16" t="s">
        <v>8</v>
      </c>
      <c r="K51" s="16"/>
      <c r="L51" s="2" t="s">
        <v>8</v>
      </c>
      <c r="M51" s="16" t="s">
        <v>1621</v>
      </c>
      <c r="N51" s="16" t="s">
        <v>1664</v>
      </c>
      <c r="O51" s="2" t="s">
        <v>2214</v>
      </c>
      <c r="P51" s="2">
        <v>6.64</v>
      </c>
      <c r="Q51" s="16"/>
      <c r="R51" s="17"/>
      <c r="S51">
        <f t="shared" si="0"/>
        <v>6.64</v>
      </c>
    </row>
    <row r="52" spans="1:19" x14ac:dyDescent="0.3">
      <c r="A52" s="5">
        <v>51</v>
      </c>
      <c r="B52" s="2">
        <v>1323051</v>
      </c>
      <c r="C52" s="2" t="s">
        <v>63</v>
      </c>
      <c r="D52" s="18" t="s">
        <v>636</v>
      </c>
      <c r="E52" s="2" t="s">
        <v>1124</v>
      </c>
      <c r="F52" s="26">
        <v>8307749948</v>
      </c>
      <c r="G52" s="26" t="s">
        <v>1740</v>
      </c>
      <c r="H52" s="2" t="s">
        <v>1138</v>
      </c>
      <c r="I52" s="2"/>
      <c r="J52" s="16" t="s">
        <v>8</v>
      </c>
      <c r="K52" s="16"/>
      <c r="L52" s="2" t="s">
        <v>8</v>
      </c>
      <c r="M52" s="16">
        <v>8.9499999999999993</v>
      </c>
      <c r="N52" s="16">
        <v>9</v>
      </c>
      <c r="O52" s="2">
        <v>9.09</v>
      </c>
      <c r="P52" s="2">
        <v>9</v>
      </c>
      <c r="Q52" s="16"/>
      <c r="R52" s="17"/>
      <c r="S52">
        <f t="shared" si="0"/>
        <v>9.01</v>
      </c>
    </row>
    <row r="53" spans="1:19" x14ac:dyDescent="0.3">
      <c r="A53" s="5">
        <v>52</v>
      </c>
      <c r="B53" s="2">
        <v>1323052</v>
      </c>
      <c r="C53" s="2" t="s">
        <v>64</v>
      </c>
      <c r="D53" s="15" t="s">
        <v>637</v>
      </c>
      <c r="E53" s="2" t="s">
        <v>1097</v>
      </c>
      <c r="F53" s="26">
        <v>8307983683</v>
      </c>
      <c r="G53" s="26" t="s">
        <v>1741</v>
      </c>
      <c r="H53" s="2" t="s">
        <v>1138</v>
      </c>
      <c r="I53" s="2"/>
      <c r="J53" s="16" t="s">
        <v>8</v>
      </c>
      <c r="K53" s="16"/>
      <c r="L53" s="2" t="s">
        <v>8</v>
      </c>
      <c r="M53" s="16">
        <v>8.4499999999999993</v>
      </c>
      <c r="N53" s="16">
        <v>8.5</v>
      </c>
      <c r="O53" s="2">
        <v>8.27</v>
      </c>
      <c r="P53" s="2">
        <v>9</v>
      </c>
      <c r="Q53" s="16"/>
      <c r="R53" s="17"/>
      <c r="S53">
        <f t="shared" si="0"/>
        <v>8.5549999999999997</v>
      </c>
    </row>
    <row r="54" spans="1:19" x14ac:dyDescent="0.3">
      <c r="A54" s="5">
        <v>53</v>
      </c>
      <c r="B54" s="2">
        <v>1323053</v>
      </c>
      <c r="C54" s="2" t="s">
        <v>65</v>
      </c>
      <c r="D54" s="15" t="s">
        <v>638</v>
      </c>
      <c r="E54" s="2" t="s">
        <v>1125</v>
      </c>
      <c r="F54" s="26">
        <v>8396898841</v>
      </c>
      <c r="G54" s="26" t="s">
        <v>1742</v>
      </c>
      <c r="H54" s="2" t="s">
        <v>1138</v>
      </c>
      <c r="I54" s="2"/>
      <c r="J54" s="16" t="s">
        <v>8</v>
      </c>
      <c r="K54" s="16"/>
      <c r="L54" s="2" t="s">
        <v>8</v>
      </c>
      <c r="M54" s="16" t="s">
        <v>958</v>
      </c>
      <c r="N54" s="16" t="s">
        <v>953</v>
      </c>
      <c r="O54" s="2" t="s">
        <v>953</v>
      </c>
      <c r="P54" s="2" t="s">
        <v>954</v>
      </c>
      <c r="Q54" s="16"/>
      <c r="R54" s="17"/>
      <c r="S54" t="e">
        <f t="shared" si="0"/>
        <v>#DIV/0!</v>
      </c>
    </row>
    <row r="55" spans="1:19" x14ac:dyDescent="0.3">
      <c r="A55" s="5">
        <v>54</v>
      </c>
      <c r="B55" s="2">
        <v>1323054</v>
      </c>
      <c r="C55" s="2" t="s">
        <v>66</v>
      </c>
      <c r="D55" s="15" t="s">
        <v>639</v>
      </c>
      <c r="E55" s="2" t="s">
        <v>1126</v>
      </c>
      <c r="F55" s="26">
        <v>8398916564</v>
      </c>
      <c r="G55" s="26" t="s">
        <v>1743</v>
      </c>
      <c r="H55" s="2" t="s">
        <v>1138</v>
      </c>
      <c r="I55" s="2"/>
      <c r="J55" s="16" t="s">
        <v>8</v>
      </c>
      <c r="K55" s="16"/>
      <c r="L55" s="2" t="s">
        <v>8</v>
      </c>
      <c r="M55" s="16">
        <v>7.07</v>
      </c>
      <c r="N55" s="16">
        <v>6.2</v>
      </c>
      <c r="O55" s="2" t="s">
        <v>2215</v>
      </c>
      <c r="P55" s="2" t="s">
        <v>2257</v>
      </c>
      <c r="Q55" s="16"/>
      <c r="R55" s="17"/>
      <c r="S55">
        <f t="shared" si="0"/>
        <v>6.6349999999999998</v>
      </c>
    </row>
    <row r="56" spans="1:19" x14ac:dyDescent="0.3">
      <c r="A56" s="5">
        <v>55</v>
      </c>
      <c r="B56" s="2">
        <v>1323055</v>
      </c>
      <c r="C56" s="2" t="s">
        <v>67</v>
      </c>
      <c r="D56" s="15" t="s">
        <v>640</v>
      </c>
      <c r="E56" s="2" t="s">
        <v>1127</v>
      </c>
      <c r="F56" s="26">
        <v>8570841035</v>
      </c>
      <c r="G56" s="26" t="s">
        <v>1744</v>
      </c>
      <c r="H56" s="2" t="s">
        <v>1138</v>
      </c>
      <c r="I56" s="2"/>
      <c r="J56" s="16"/>
      <c r="K56" s="16"/>
      <c r="L56" s="2" t="s">
        <v>8</v>
      </c>
      <c r="M56" s="16">
        <v>7.91</v>
      </c>
      <c r="N56" s="16">
        <v>7.82</v>
      </c>
      <c r="O56" s="2">
        <v>7.18</v>
      </c>
      <c r="P56" s="2">
        <v>7.18</v>
      </c>
      <c r="Q56" s="16"/>
      <c r="R56" s="17"/>
      <c r="S56">
        <f t="shared" si="0"/>
        <v>7.5225</v>
      </c>
    </row>
    <row r="57" spans="1:19" x14ac:dyDescent="0.3">
      <c r="A57" s="5">
        <v>56</v>
      </c>
      <c r="B57" s="2">
        <v>1323056</v>
      </c>
      <c r="C57" s="2" t="s">
        <v>941</v>
      </c>
      <c r="D57" s="2"/>
      <c r="E57" s="2"/>
      <c r="F57" s="26"/>
      <c r="G57" s="26"/>
      <c r="H57" s="2"/>
      <c r="I57" s="2"/>
      <c r="J57" s="16"/>
      <c r="K57" s="16"/>
      <c r="L57" s="2"/>
      <c r="M57" s="16"/>
      <c r="N57" s="16"/>
      <c r="O57" s="2"/>
      <c r="P57" s="2"/>
      <c r="Q57" s="16"/>
      <c r="R57" s="17"/>
      <c r="S57" t="e">
        <f t="shared" si="0"/>
        <v>#DIV/0!</v>
      </c>
    </row>
    <row r="58" spans="1:19" x14ac:dyDescent="0.3">
      <c r="A58" s="5">
        <v>57</v>
      </c>
      <c r="B58" s="2">
        <v>1323057</v>
      </c>
      <c r="C58" s="2" t="s">
        <v>68</v>
      </c>
      <c r="D58" s="15" t="s">
        <v>641</v>
      </c>
      <c r="E58" s="2" t="s">
        <v>1128</v>
      </c>
      <c r="F58" s="26">
        <v>8708011996</v>
      </c>
      <c r="G58" s="26" t="s">
        <v>1745</v>
      </c>
      <c r="H58" s="2" t="s">
        <v>1138</v>
      </c>
      <c r="I58" s="2"/>
      <c r="J58" s="16" t="s">
        <v>8</v>
      </c>
      <c r="K58" s="16"/>
      <c r="L58" s="2" t="s">
        <v>8</v>
      </c>
      <c r="M58" s="16">
        <v>7</v>
      </c>
      <c r="N58" s="16">
        <v>7.18</v>
      </c>
      <c r="O58" s="2" t="s">
        <v>2214</v>
      </c>
      <c r="P58" s="2">
        <v>7.64</v>
      </c>
      <c r="Q58" s="16"/>
      <c r="R58" s="17"/>
      <c r="S58">
        <f t="shared" si="0"/>
        <v>7.2733333333333334</v>
      </c>
    </row>
    <row r="59" spans="1:19" x14ac:dyDescent="0.3">
      <c r="A59" s="5">
        <v>58</v>
      </c>
      <c r="B59" s="2">
        <v>1323058</v>
      </c>
      <c r="C59" s="2" t="s">
        <v>69</v>
      </c>
      <c r="D59" s="15" t="s">
        <v>642</v>
      </c>
      <c r="E59" s="2" t="s">
        <v>1129</v>
      </c>
      <c r="F59" s="26">
        <v>8053910415</v>
      </c>
      <c r="G59" s="26" t="s">
        <v>1746</v>
      </c>
      <c r="H59" s="2" t="s">
        <v>1138</v>
      </c>
      <c r="I59" s="2"/>
      <c r="J59" s="16"/>
      <c r="K59" s="16"/>
      <c r="L59" s="2" t="s">
        <v>8</v>
      </c>
      <c r="M59" s="16" t="s">
        <v>1618</v>
      </c>
      <c r="N59" s="16" t="s">
        <v>1662</v>
      </c>
      <c r="O59" s="2" t="s">
        <v>954</v>
      </c>
      <c r="P59" s="2" t="s">
        <v>954</v>
      </c>
      <c r="Q59" s="16"/>
      <c r="R59" s="17"/>
      <c r="S59" t="e">
        <f t="shared" si="0"/>
        <v>#DIV/0!</v>
      </c>
    </row>
    <row r="60" spans="1:19" x14ac:dyDescent="0.3">
      <c r="A60" s="5">
        <v>59</v>
      </c>
      <c r="B60" s="2">
        <v>1323059</v>
      </c>
      <c r="C60" s="2" t="s">
        <v>70</v>
      </c>
      <c r="D60" s="15" t="s">
        <v>643</v>
      </c>
      <c r="E60" s="2" t="s">
        <v>1130</v>
      </c>
      <c r="F60" s="26">
        <v>7988616254</v>
      </c>
      <c r="G60" s="26" t="s">
        <v>1747</v>
      </c>
      <c r="H60" s="2" t="s">
        <v>1138</v>
      </c>
      <c r="I60" s="2"/>
      <c r="J60" s="16" t="s">
        <v>1146</v>
      </c>
      <c r="K60" s="16"/>
      <c r="L60" s="2" t="s">
        <v>8</v>
      </c>
      <c r="M60" s="16">
        <v>8.18</v>
      </c>
      <c r="N60" s="16">
        <v>8.18</v>
      </c>
      <c r="O60" s="2" t="s">
        <v>2216</v>
      </c>
      <c r="P60" s="2">
        <v>8.0500000000000007</v>
      </c>
      <c r="Q60" s="16"/>
      <c r="R60" s="17"/>
      <c r="S60">
        <f t="shared" si="0"/>
        <v>8.1366666666666667</v>
      </c>
    </row>
    <row r="61" spans="1:19" x14ac:dyDescent="0.3">
      <c r="A61" s="5">
        <v>60</v>
      </c>
      <c r="B61" s="2">
        <v>1323060</v>
      </c>
      <c r="C61" s="2" t="s">
        <v>71</v>
      </c>
      <c r="D61" s="15" t="s">
        <v>644</v>
      </c>
      <c r="E61" s="2" t="s">
        <v>1131</v>
      </c>
      <c r="F61" s="26">
        <v>8708418701</v>
      </c>
      <c r="G61" s="26" t="s">
        <v>1748</v>
      </c>
      <c r="H61" s="2" t="s">
        <v>1138</v>
      </c>
      <c r="I61" s="2"/>
      <c r="J61" s="16" t="s">
        <v>1145</v>
      </c>
      <c r="K61" s="16"/>
      <c r="L61" s="2" t="s">
        <v>8</v>
      </c>
      <c r="M61" s="16">
        <v>7.27</v>
      </c>
      <c r="N61" s="16">
        <v>7.95</v>
      </c>
      <c r="O61" s="2">
        <v>7.14</v>
      </c>
      <c r="P61" s="2">
        <v>7.75</v>
      </c>
      <c r="Q61" s="16"/>
      <c r="R61" s="17"/>
      <c r="S61">
        <f t="shared" si="0"/>
        <v>7.5274999999999999</v>
      </c>
    </row>
    <row r="62" spans="1:19" x14ac:dyDescent="0.3">
      <c r="A62" s="5">
        <v>61</v>
      </c>
      <c r="B62" s="2">
        <v>1323061</v>
      </c>
      <c r="C62" s="2" t="s">
        <v>72</v>
      </c>
      <c r="D62" s="15" t="s">
        <v>625</v>
      </c>
      <c r="E62" s="2" t="s">
        <v>1128</v>
      </c>
      <c r="F62" s="26">
        <v>8814827548</v>
      </c>
      <c r="G62" s="26" t="s">
        <v>1749</v>
      </c>
      <c r="H62" s="2" t="s">
        <v>1138</v>
      </c>
      <c r="I62" s="2"/>
      <c r="J62" s="16" t="s">
        <v>8</v>
      </c>
      <c r="K62" s="16"/>
      <c r="L62" s="2" t="s">
        <v>8</v>
      </c>
      <c r="M62" s="16" t="s">
        <v>1622</v>
      </c>
      <c r="N62" s="16" t="s">
        <v>1672</v>
      </c>
      <c r="O62" s="2" t="s">
        <v>954</v>
      </c>
      <c r="P62" s="2" t="s">
        <v>954</v>
      </c>
      <c r="Q62" s="16"/>
      <c r="R62" s="17"/>
      <c r="S62" t="e">
        <f t="shared" si="0"/>
        <v>#DIV/0!</v>
      </c>
    </row>
    <row r="63" spans="1:19" x14ac:dyDescent="0.3">
      <c r="A63" s="5">
        <v>62</v>
      </c>
      <c r="B63" s="2">
        <v>1323062</v>
      </c>
      <c r="C63" s="2" t="s">
        <v>73</v>
      </c>
      <c r="D63" s="15" t="s">
        <v>645</v>
      </c>
      <c r="E63" s="2" t="s">
        <v>1132</v>
      </c>
      <c r="F63" s="26">
        <v>8816884548</v>
      </c>
      <c r="G63" s="26" t="s">
        <v>1750</v>
      </c>
      <c r="H63" s="2" t="s">
        <v>1138</v>
      </c>
      <c r="I63" s="2"/>
      <c r="J63" s="16" t="s">
        <v>1146</v>
      </c>
      <c r="K63" s="16"/>
      <c r="L63" s="2" t="s">
        <v>8</v>
      </c>
      <c r="M63" s="16">
        <v>7.36</v>
      </c>
      <c r="N63" s="16">
        <v>8.0500000000000007</v>
      </c>
      <c r="O63" s="2">
        <v>7.64</v>
      </c>
      <c r="P63" s="2">
        <v>8.14</v>
      </c>
      <c r="Q63" s="16"/>
      <c r="R63" s="17"/>
      <c r="S63">
        <f t="shared" si="0"/>
        <v>7.7975000000000003</v>
      </c>
    </row>
    <row r="64" spans="1:19" x14ac:dyDescent="0.3">
      <c r="A64" s="5">
        <v>63</v>
      </c>
      <c r="B64" s="2">
        <v>1323063</v>
      </c>
      <c r="C64" s="2" t="s">
        <v>74</v>
      </c>
      <c r="D64" s="15" t="s">
        <v>1443</v>
      </c>
      <c r="E64" s="2" t="s">
        <v>1125</v>
      </c>
      <c r="F64" s="26">
        <v>8950212534</v>
      </c>
      <c r="G64" s="26" t="s">
        <v>1751</v>
      </c>
      <c r="H64" s="2" t="s">
        <v>1138</v>
      </c>
      <c r="I64" s="2"/>
      <c r="J64" s="16"/>
      <c r="K64" s="16"/>
      <c r="L64" s="2" t="s">
        <v>8</v>
      </c>
      <c r="M64" s="16">
        <v>5.98</v>
      </c>
      <c r="N64" s="16" t="s">
        <v>1673</v>
      </c>
      <c r="O64" s="2" t="s">
        <v>2217</v>
      </c>
      <c r="P64" s="2" t="s">
        <v>953</v>
      </c>
      <c r="Q64" s="16"/>
      <c r="R64" s="17"/>
      <c r="S64">
        <f t="shared" si="0"/>
        <v>5.98</v>
      </c>
    </row>
    <row r="65" spans="1:19" x14ac:dyDescent="0.3">
      <c r="A65" s="5">
        <v>64</v>
      </c>
      <c r="B65" s="2">
        <v>1323064</v>
      </c>
      <c r="C65" s="2" t="s">
        <v>75</v>
      </c>
      <c r="D65" s="15" t="s">
        <v>646</v>
      </c>
      <c r="E65" s="2" t="s">
        <v>1133</v>
      </c>
      <c r="F65" s="26">
        <v>8950229941</v>
      </c>
      <c r="G65" s="26" t="s">
        <v>1752</v>
      </c>
      <c r="H65" s="2" t="s">
        <v>1138</v>
      </c>
      <c r="I65" s="2"/>
      <c r="J65" s="16"/>
      <c r="K65" s="16"/>
      <c r="L65" s="2" t="s">
        <v>8</v>
      </c>
      <c r="M65" s="16">
        <v>6.09</v>
      </c>
      <c r="N65" s="16" t="s">
        <v>1673</v>
      </c>
      <c r="O65" s="2" t="s">
        <v>2218</v>
      </c>
      <c r="P65" s="2" t="s">
        <v>954</v>
      </c>
      <c r="Q65" s="16"/>
      <c r="R65" s="17"/>
      <c r="S65">
        <f t="shared" si="0"/>
        <v>6.09</v>
      </c>
    </row>
    <row r="66" spans="1:19" x14ac:dyDescent="0.3">
      <c r="A66" s="5">
        <v>65</v>
      </c>
      <c r="B66" s="2">
        <v>1323065</v>
      </c>
      <c r="C66" s="2" t="s">
        <v>76</v>
      </c>
      <c r="D66" s="15" t="s">
        <v>647</v>
      </c>
      <c r="E66" s="2" t="s">
        <v>1134</v>
      </c>
      <c r="F66" s="26">
        <v>8950548142</v>
      </c>
      <c r="G66" s="26" t="s">
        <v>1753</v>
      </c>
      <c r="H66" s="2" t="s">
        <v>1138</v>
      </c>
      <c r="I66" s="2"/>
      <c r="J66" s="16" t="s">
        <v>1145</v>
      </c>
      <c r="K66" s="16"/>
      <c r="L66" s="2" t="s">
        <v>8</v>
      </c>
      <c r="M66" s="16">
        <v>8</v>
      </c>
      <c r="N66" s="16">
        <v>9.4499999999999993</v>
      </c>
      <c r="O66" s="2">
        <v>8.32</v>
      </c>
      <c r="P66" s="2">
        <v>9.27</v>
      </c>
      <c r="Q66" s="16"/>
      <c r="R66" s="17"/>
      <c r="S66">
        <f t="shared" ref="S66:S129" si="1">AVERAGE(M66:P66)</f>
        <v>8.76</v>
      </c>
    </row>
    <row r="67" spans="1:19" x14ac:dyDescent="0.3">
      <c r="A67" s="5">
        <v>66</v>
      </c>
      <c r="B67" s="2">
        <v>1323066</v>
      </c>
      <c r="C67" s="2" t="s">
        <v>77</v>
      </c>
      <c r="D67" s="15" t="s">
        <v>1444</v>
      </c>
      <c r="E67" s="2" t="s">
        <v>1082</v>
      </c>
      <c r="F67" s="26">
        <v>8950667283</v>
      </c>
      <c r="G67" s="26" t="s">
        <v>1754</v>
      </c>
      <c r="H67" s="2" t="s">
        <v>1138</v>
      </c>
      <c r="I67" s="2"/>
      <c r="J67" s="16" t="s">
        <v>8</v>
      </c>
      <c r="K67" s="16"/>
      <c r="L67" s="2" t="s">
        <v>8</v>
      </c>
      <c r="M67" s="16">
        <v>8.5500000000000007</v>
      </c>
      <c r="N67" s="16">
        <v>8.86</v>
      </c>
      <c r="O67" s="2">
        <v>8.18</v>
      </c>
      <c r="P67" s="2">
        <v>8.91</v>
      </c>
      <c r="Q67" s="16"/>
      <c r="R67" s="17"/>
      <c r="S67">
        <f t="shared" si="1"/>
        <v>8.625</v>
      </c>
    </row>
    <row r="68" spans="1:19" x14ac:dyDescent="0.3">
      <c r="A68" s="5">
        <v>67</v>
      </c>
      <c r="B68" s="2">
        <v>1323067</v>
      </c>
      <c r="C68" s="2" t="s">
        <v>78</v>
      </c>
      <c r="D68" s="15" t="s">
        <v>648</v>
      </c>
      <c r="E68" s="2" t="s">
        <v>1135</v>
      </c>
      <c r="F68" s="26">
        <v>8950877990</v>
      </c>
      <c r="G68" s="26" t="s">
        <v>1755</v>
      </c>
      <c r="H68" s="2" t="s">
        <v>1138</v>
      </c>
      <c r="I68" s="2"/>
      <c r="J68" s="16" t="s">
        <v>1145</v>
      </c>
      <c r="K68" s="16"/>
      <c r="L68" s="2" t="s">
        <v>8</v>
      </c>
      <c r="M68" s="16">
        <v>7.68</v>
      </c>
      <c r="N68" s="16">
        <v>7.64</v>
      </c>
      <c r="O68" s="2">
        <v>7.77</v>
      </c>
      <c r="P68" s="2">
        <v>7.86</v>
      </c>
      <c r="Q68" s="16"/>
      <c r="R68" s="17"/>
      <c r="S68">
        <f t="shared" si="1"/>
        <v>7.7374999999999998</v>
      </c>
    </row>
    <row r="69" spans="1:19" x14ac:dyDescent="0.3">
      <c r="A69" s="5">
        <v>68</v>
      </c>
      <c r="B69" s="2">
        <v>1323068</v>
      </c>
      <c r="C69" s="2" t="s">
        <v>79</v>
      </c>
      <c r="D69" s="15" t="s">
        <v>649</v>
      </c>
      <c r="E69" s="2" t="s">
        <v>963</v>
      </c>
      <c r="F69" s="26">
        <v>9017595727</v>
      </c>
      <c r="G69" s="26" t="s">
        <v>1756</v>
      </c>
      <c r="H69" s="2" t="s">
        <v>1138</v>
      </c>
      <c r="I69" s="2"/>
      <c r="J69" s="16" t="s">
        <v>1146</v>
      </c>
      <c r="K69" s="16"/>
      <c r="L69" s="2" t="s">
        <v>8</v>
      </c>
      <c r="M69" s="16">
        <v>6.91</v>
      </c>
      <c r="N69" s="16">
        <v>6.09</v>
      </c>
      <c r="O69" s="2" t="s">
        <v>2219</v>
      </c>
      <c r="P69" s="2" t="s">
        <v>2249</v>
      </c>
      <c r="Q69" s="16"/>
      <c r="R69" s="17"/>
      <c r="S69">
        <f t="shared" si="1"/>
        <v>6.5</v>
      </c>
    </row>
    <row r="70" spans="1:19" x14ac:dyDescent="0.3">
      <c r="A70" s="5">
        <v>69</v>
      </c>
      <c r="B70" s="2">
        <v>1323069</v>
      </c>
      <c r="C70" s="2" t="s">
        <v>941</v>
      </c>
      <c r="D70" s="2"/>
      <c r="E70" s="2"/>
      <c r="F70" s="26"/>
      <c r="G70" s="26"/>
      <c r="H70" s="2"/>
      <c r="I70" s="2"/>
      <c r="J70" s="16"/>
      <c r="K70" s="16"/>
      <c r="L70" s="2"/>
      <c r="M70" s="16"/>
      <c r="N70" s="16"/>
      <c r="O70" s="2"/>
      <c r="P70" s="2"/>
      <c r="Q70" s="16"/>
      <c r="R70" s="17"/>
      <c r="S70" t="e">
        <f t="shared" si="1"/>
        <v>#DIV/0!</v>
      </c>
    </row>
    <row r="71" spans="1:19" x14ac:dyDescent="0.3">
      <c r="A71" s="5">
        <v>70</v>
      </c>
      <c r="B71" s="2">
        <v>1323070</v>
      </c>
      <c r="C71" s="2" t="s">
        <v>80</v>
      </c>
      <c r="D71" s="15" t="s">
        <v>650</v>
      </c>
      <c r="E71" s="2" t="s">
        <v>1136</v>
      </c>
      <c r="F71" s="26"/>
      <c r="G71" s="26"/>
      <c r="H71" s="2" t="s">
        <v>1138</v>
      </c>
      <c r="I71" s="2"/>
      <c r="J71" s="16"/>
      <c r="K71" s="16"/>
      <c r="L71" s="2" t="s">
        <v>8</v>
      </c>
      <c r="M71" s="16">
        <v>6.95</v>
      </c>
      <c r="N71" s="16">
        <v>6.59</v>
      </c>
      <c r="O71" s="2" t="s">
        <v>954</v>
      </c>
      <c r="P71" s="2"/>
      <c r="Q71" s="16"/>
      <c r="R71" s="17"/>
      <c r="S71">
        <f t="shared" si="1"/>
        <v>6.77</v>
      </c>
    </row>
    <row r="72" spans="1:19" x14ac:dyDescent="0.3">
      <c r="A72" s="5">
        <v>71</v>
      </c>
      <c r="B72" s="2">
        <v>1323071</v>
      </c>
      <c r="C72" s="2" t="s">
        <v>81</v>
      </c>
      <c r="D72" s="15" t="s">
        <v>641</v>
      </c>
      <c r="E72" s="2" t="s">
        <v>1137</v>
      </c>
      <c r="F72" s="26">
        <v>9885802000</v>
      </c>
      <c r="G72" s="26" t="s">
        <v>1757</v>
      </c>
      <c r="H72" s="2" t="s">
        <v>1138</v>
      </c>
      <c r="I72" s="2"/>
      <c r="J72" s="16"/>
      <c r="K72" s="16"/>
      <c r="L72" s="2" t="s">
        <v>8</v>
      </c>
      <c r="M72" s="16">
        <v>6.86</v>
      </c>
      <c r="N72" s="16" t="s">
        <v>1668</v>
      </c>
      <c r="O72" s="2" t="s">
        <v>2214</v>
      </c>
      <c r="P72" s="2" t="s">
        <v>954</v>
      </c>
      <c r="Q72" s="16"/>
      <c r="R72" s="17"/>
      <c r="S72">
        <f t="shared" si="1"/>
        <v>6.86</v>
      </c>
    </row>
    <row r="73" spans="1:19" x14ac:dyDescent="0.3">
      <c r="A73" s="5">
        <v>72</v>
      </c>
      <c r="B73" s="2">
        <v>1323072</v>
      </c>
      <c r="C73" s="2" t="s">
        <v>82</v>
      </c>
      <c r="D73" s="15" t="s">
        <v>779</v>
      </c>
      <c r="E73" s="2" t="s">
        <v>1153</v>
      </c>
      <c r="F73" s="26">
        <v>9050214683</v>
      </c>
      <c r="G73" s="26" t="s">
        <v>1758</v>
      </c>
      <c r="H73" s="2" t="s">
        <v>1138</v>
      </c>
      <c r="I73" s="2"/>
      <c r="J73" s="16" t="s">
        <v>8</v>
      </c>
      <c r="K73" s="16"/>
      <c r="L73" s="2" t="s">
        <v>8</v>
      </c>
      <c r="M73" s="16">
        <v>6.34</v>
      </c>
      <c r="N73" s="16" t="s">
        <v>1674</v>
      </c>
      <c r="O73" s="2" t="s">
        <v>953</v>
      </c>
      <c r="P73" s="2" t="s">
        <v>2258</v>
      </c>
      <c r="Q73" s="16"/>
      <c r="R73" s="17"/>
      <c r="S73">
        <f t="shared" si="1"/>
        <v>6.34</v>
      </c>
    </row>
    <row r="74" spans="1:19" x14ac:dyDescent="0.3">
      <c r="A74" s="5">
        <v>73</v>
      </c>
      <c r="B74" s="2">
        <v>1323073</v>
      </c>
      <c r="C74" s="2" t="s">
        <v>83</v>
      </c>
      <c r="D74" s="15" t="s">
        <v>1445</v>
      </c>
      <c r="E74" s="2" t="s">
        <v>1154</v>
      </c>
      <c r="F74" s="26"/>
      <c r="G74" s="26"/>
      <c r="H74" s="2" t="s">
        <v>1138</v>
      </c>
      <c r="I74" s="2"/>
      <c r="J74" s="16"/>
      <c r="K74" s="16"/>
      <c r="L74" s="2" t="s">
        <v>8</v>
      </c>
      <c r="M74" s="16">
        <v>7.68</v>
      </c>
      <c r="N74" s="16">
        <v>7.43</v>
      </c>
      <c r="O74" s="2" t="s">
        <v>954</v>
      </c>
      <c r="P74" s="2"/>
      <c r="Q74" s="16"/>
      <c r="R74" s="17"/>
      <c r="S74">
        <f t="shared" si="1"/>
        <v>7.5549999999999997</v>
      </c>
    </row>
    <row r="75" spans="1:19" x14ac:dyDescent="0.3">
      <c r="A75" s="5">
        <v>74</v>
      </c>
      <c r="B75" s="2">
        <v>1323074</v>
      </c>
      <c r="C75" s="2" t="s">
        <v>941</v>
      </c>
      <c r="D75" s="15" t="s">
        <v>1446</v>
      </c>
      <c r="E75" s="2" t="s">
        <v>1155</v>
      </c>
      <c r="F75" s="26">
        <v>7027172903</v>
      </c>
      <c r="G75" s="26" t="s">
        <v>1759</v>
      </c>
      <c r="H75" s="2" t="s">
        <v>1138</v>
      </c>
      <c r="I75" s="2"/>
      <c r="J75" s="16"/>
      <c r="K75" s="16"/>
      <c r="L75" s="2"/>
      <c r="M75" s="16">
        <v>6.66</v>
      </c>
      <c r="N75" s="16" t="s">
        <v>1665</v>
      </c>
      <c r="O75" s="2"/>
      <c r="P75" s="2" t="s">
        <v>954</v>
      </c>
      <c r="Q75" s="16"/>
      <c r="R75" s="17"/>
      <c r="S75">
        <f t="shared" si="1"/>
        <v>6.66</v>
      </c>
    </row>
    <row r="76" spans="1:19" x14ac:dyDescent="0.3">
      <c r="A76" s="5">
        <v>75</v>
      </c>
      <c r="B76" s="2">
        <v>1323075</v>
      </c>
      <c r="C76" s="2" t="s">
        <v>84</v>
      </c>
      <c r="D76" s="15" t="s">
        <v>1447</v>
      </c>
      <c r="E76" s="2" t="s">
        <v>1082</v>
      </c>
      <c r="F76" s="26"/>
      <c r="G76" s="26"/>
      <c r="H76" s="2"/>
      <c r="I76" s="2"/>
      <c r="J76" s="16"/>
      <c r="K76" s="16"/>
      <c r="L76" s="2"/>
      <c r="M76" s="16">
        <v>7</v>
      </c>
      <c r="N76" s="16" t="s">
        <v>1665</v>
      </c>
      <c r="O76" s="2"/>
      <c r="P76" s="2"/>
      <c r="Q76" s="16"/>
      <c r="R76" s="17"/>
      <c r="S76">
        <f t="shared" si="1"/>
        <v>7</v>
      </c>
    </row>
    <row r="77" spans="1:19" x14ac:dyDescent="0.3">
      <c r="A77" s="5">
        <v>76</v>
      </c>
      <c r="B77" s="2">
        <v>1323076</v>
      </c>
      <c r="C77" s="2" t="s">
        <v>85</v>
      </c>
      <c r="D77" s="2"/>
      <c r="E77" s="2"/>
      <c r="F77" s="26"/>
      <c r="G77" s="26"/>
      <c r="H77" s="2"/>
      <c r="I77" s="2"/>
      <c r="J77" s="16"/>
      <c r="K77" s="16"/>
      <c r="L77" s="2"/>
      <c r="M77" s="16"/>
      <c r="N77" s="16"/>
      <c r="O77" s="2"/>
      <c r="P77" s="2"/>
      <c r="Q77" s="16"/>
      <c r="R77" s="17"/>
      <c r="S77" t="e">
        <f t="shared" si="1"/>
        <v>#DIV/0!</v>
      </c>
    </row>
    <row r="78" spans="1:19" x14ac:dyDescent="0.3">
      <c r="A78" s="5">
        <v>77</v>
      </c>
      <c r="B78" s="2">
        <v>1323077</v>
      </c>
      <c r="C78" s="2" t="s">
        <v>86</v>
      </c>
      <c r="D78" s="15" t="s">
        <v>1448</v>
      </c>
      <c r="E78" s="2" t="s">
        <v>1156</v>
      </c>
      <c r="F78" s="26">
        <v>9153874994</v>
      </c>
      <c r="G78" s="26" t="s">
        <v>1760</v>
      </c>
      <c r="H78" s="2" t="s">
        <v>1138</v>
      </c>
      <c r="I78" s="2"/>
      <c r="J78" s="16" t="s">
        <v>8</v>
      </c>
      <c r="K78" s="16"/>
      <c r="L78" s="2" t="s">
        <v>8</v>
      </c>
      <c r="M78" s="16">
        <v>8.5500000000000007</v>
      </c>
      <c r="N78" s="16">
        <v>9.09</v>
      </c>
      <c r="O78" s="2">
        <v>8.5</v>
      </c>
      <c r="P78" s="2">
        <v>9.18</v>
      </c>
      <c r="Q78" s="16"/>
      <c r="R78" s="17"/>
      <c r="S78">
        <f t="shared" si="1"/>
        <v>8.83</v>
      </c>
    </row>
    <row r="79" spans="1:19" x14ac:dyDescent="0.3">
      <c r="A79" s="5">
        <v>78</v>
      </c>
      <c r="B79" s="2">
        <v>1323078</v>
      </c>
      <c r="C79" s="2" t="s">
        <v>87</v>
      </c>
      <c r="D79" s="15" t="s">
        <v>651</v>
      </c>
      <c r="E79" s="2" t="s">
        <v>1157</v>
      </c>
      <c r="F79" s="26">
        <v>9258370702</v>
      </c>
      <c r="G79" s="26" t="s">
        <v>1761</v>
      </c>
      <c r="H79" s="2" t="s">
        <v>1138</v>
      </c>
      <c r="I79" s="2"/>
      <c r="J79" s="16"/>
      <c r="K79" s="16"/>
      <c r="L79" s="2" t="s">
        <v>8</v>
      </c>
      <c r="M79" s="16">
        <v>6.48</v>
      </c>
      <c r="N79" s="16" t="s">
        <v>1673</v>
      </c>
      <c r="O79" s="2" t="s">
        <v>2212</v>
      </c>
      <c r="P79" s="2">
        <v>6.5</v>
      </c>
      <c r="Q79" s="16"/>
      <c r="R79" s="17"/>
      <c r="S79">
        <f t="shared" si="1"/>
        <v>6.49</v>
      </c>
    </row>
    <row r="80" spans="1:19" x14ac:dyDescent="0.3">
      <c r="A80" s="5">
        <v>79</v>
      </c>
      <c r="B80" s="2">
        <v>1323079</v>
      </c>
      <c r="C80" s="2" t="s">
        <v>88</v>
      </c>
      <c r="D80" s="15" t="s">
        <v>1449</v>
      </c>
      <c r="E80" s="2" t="s">
        <v>1158</v>
      </c>
      <c r="F80" s="26">
        <v>9258620589</v>
      </c>
      <c r="G80" s="26" t="s">
        <v>1762</v>
      </c>
      <c r="H80" s="2" t="s">
        <v>1138</v>
      </c>
      <c r="I80" s="2"/>
      <c r="J80" s="16" t="s">
        <v>8</v>
      </c>
      <c r="K80" s="16"/>
      <c r="L80" s="2" t="s">
        <v>8</v>
      </c>
      <c r="M80" s="16">
        <v>7.95</v>
      </c>
      <c r="N80" s="16">
        <v>8.86</v>
      </c>
      <c r="O80" s="2">
        <v>8.82</v>
      </c>
      <c r="P80" s="2">
        <v>8.91</v>
      </c>
      <c r="Q80" s="16"/>
      <c r="R80" s="17"/>
      <c r="S80">
        <f t="shared" si="1"/>
        <v>8.6349999999999998</v>
      </c>
    </row>
    <row r="81" spans="1:19" x14ac:dyDescent="0.3">
      <c r="A81" s="5">
        <v>80</v>
      </c>
      <c r="B81" s="2">
        <v>1323080</v>
      </c>
      <c r="C81" s="2" t="s">
        <v>89</v>
      </c>
      <c r="D81" s="15" t="s">
        <v>652</v>
      </c>
      <c r="E81" s="2" t="s">
        <v>1159</v>
      </c>
      <c r="F81" s="26">
        <v>9350756736</v>
      </c>
      <c r="G81" s="26" t="s">
        <v>1763</v>
      </c>
      <c r="H81" s="2" t="s">
        <v>1138</v>
      </c>
      <c r="I81" s="2"/>
      <c r="J81" s="16" t="s">
        <v>8</v>
      </c>
      <c r="K81" s="16"/>
      <c r="L81" s="2" t="s">
        <v>8</v>
      </c>
      <c r="M81" s="16">
        <v>6</v>
      </c>
      <c r="N81" s="16" t="s">
        <v>1662</v>
      </c>
      <c r="O81" s="2" t="s">
        <v>953</v>
      </c>
      <c r="P81" s="2" t="s">
        <v>954</v>
      </c>
      <c r="Q81" s="16"/>
      <c r="R81" s="17"/>
      <c r="S81">
        <f t="shared" si="1"/>
        <v>6</v>
      </c>
    </row>
    <row r="82" spans="1:19" x14ac:dyDescent="0.3">
      <c r="A82" s="5">
        <v>81</v>
      </c>
      <c r="B82" s="2">
        <v>1323081</v>
      </c>
      <c r="C82" s="2" t="s">
        <v>90</v>
      </c>
      <c r="D82" s="18" t="s">
        <v>653</v>
      </c>
      <c r="E82" s="2" t="s">
        <v>1160</v>
      </c>
      <c r="F82" s="26"/>
      <c r="G82" s="26"/>
      <c r="H82" s="2"/>
      <c r="I82" s="2"/>
      <c r="J82" s="16"/>
      <c r="K82" s="16"/>
      <c r="L82" s="2" t="s">
        <v>8</v>
      </c>
      <c r="M82" s="16" t="s">
        <v>1623</v>
      </c>
      <c r="N82" s="16" t="s">
        <v>1675</v>
      </c>
      <c r="O82" s="2"/>
      <c r="P82" s="2"/>
      <c r="Q82" s="16"/>
      <c r="R82" s="17"/>
      <c r="S82" t="e">
        <f t="shared" si="1"/>
        <v>#DIV/0!</v>
      </c>
    </row>
    <row r="83" spans="1:19" x14ac:dyDescent="0.3">
      <c r="A83" s="5">
        <v>82</v>
      </c>
      <c r="B83" s="2">
        <v>1323082</v>
      </c>
      <c r="C83" s="2" t="s">
        <v>91</v>
      </c>
      <c r="D83" s="15" t="s">
        <v>654</v>
      </c>
      <c r="E83" s="2" t="s">
        <v>1161</v>
      </c>
      <c r="F83" s="26">
        <v>9306396810</v>
      </c>
      <c r="G83" s="26" t="s">
        <v>1764</v>
      </c>
      <c r="H83" s="2" t="s">
        <v>1139</v>
      </c>
      <c r="I83" s="2"/>
      <c r="J83" s="16" t="s">
        <v>8</v>
      </c>
      <c r="K83" s="16"/>
      <c r="L83" s="2" t="s">
        <v>8</v>
      </c>
      <c r="M83" s="16" t="s">
        <v>1624</v>
      </c>
      <c r="N83" s="16" t="s">
        <v>1676</v>
      </c>
      <c r="O83" s="2">
        <v>6.95</v>
      </c>
      <c r="P83" s="2">
        <v>8.18</v>
      </c>
      <c r="Q83" s="16"/>
      <c r="R83" s="17"/>
      <c r="S83">
        <f t="shared" si="1"/>
        <v>7.5649999999999995</v>
      </c>
    </row>
    <row r="84" spans="1:19" x14ac:dyDescent="0.3">
      <c r="A84" s="5">
        <v>83</v>
      </c>
      <c r="B84" s="2">
        <v>1323083</v>
      </c>
      <c r="C84" s="2" t="s">
        <v>92</v>
      </c>
      <c r="D84" s="15" t="s">
        <v>655</v>
      </c>
      <c r="E84" s="2" t="s">
        <v>1162</v>
      </c>
      <c r="F84" s="26">
        <v>9306483856</v>
      </c>
      <c r="G84" s="26" t="s">
        <v>1765</v>
      </c>
      <c r="H84" s="2" t="s">
        <v>1139</v>
      </c>
      <c r="I84" s="2"/>
      <c r="J84" s="16" t="s">
        <v>8</v>
      </c>
      <c r="K84" s="16"/>
      <c r="L84" s="2" t="s">
        <v>8</v>
      </c>
      <c r="M84" s="16">
        <v>7.23</v>
      </c>
      <c r="N84" s="16" t="s">
        <v>1677</v>
      </c>
      <c r="O84" s="2">
        <v>7.64</v>
      </c>
      <c r="P84" s="2">
        <v>7.73</v>
      </c>
      <c r="Q84" s="16"/>
      <c r="R84" s="17"/>
      <c r="S84">
        <f t="shared" si="1"/>
        <v>7.5333333333333341</v>
      </c>
    </row>
    <row r="85" spans="1:19" x14ac:dyDescent="0.3">
      <c r="A85" s="5">
        <v>84</v>
      </c>
      <c r="B85" s="2">
        <v>1323084</v>
      </c>
      <c r="C85" s="2" t="s">
        <v>93</v>
      </c>
      <c r="D85" s="15" t="s">
        <v>656</v>
      </c>
      <c r="E85" s="2" t="s">
        <v>1163</v>
      </c>
      <c r="F85" s="26">
        <v>9306526975</v>
      </c>
      <c r="G85" s="26" t="s">
        <v>1766</v>
      </c>
      <c r="H85" s="2" t="s">
        <v>1139</v>
      </c>
      <c r="I85" s="2"/>
      <c r="J85" s="16" t="s">
        <v>8</v>
      </c>
      <c r="K85" s="16"/>
      <c r="L85" s="2" t="s">
        <v>8</v>
      </c>
      <c r="M85" s="16">
        <v>7.32</v>
      </c>
      <c r="N85" s="16">
        <v>7.73</v>
      </c>
      <c r="O85" s="2">
        <v>8.59</v>
      </c>
      <c r="P85" s="2">
        <v>8.86</v>
      </c>
      <c r="Q85" s="16"/>
      <c r="R85" s="17"/>
      <c r="S85">
        <f t="shared" si="1"/>
        <v>8.125</v>
      </c>
    </row>
    <row r="86" spans="1:19" x14ac:dyDescent="0.3">
      <c r="A86" s="5">
        <v>85</v>
      </c>
      <c r="B86" s="2">
        <v>1323085</v>
      </c>
      <c r="C86" s="2" t="s">
        <v>94</v>
      </c>
      <c r="D86" s="15" t="s">
        <v>1450</v>
      </c>
      <c r="E86" s="2" t="s">
        <v>1164</v>
      </c>
      <c r="F86" s="26">
        <v>9806882008</v>
      </c>
      <c r="G86" s="26" t="s">
        <v>1767</v>
      </c>
      <c r="H86" s="2" t="s">
        <v>1139</v>
      </c>
      <c r="I86" s="2"/>
      <c r="J86" s="16" t="s">
        <v>1146</v>
      </c>
      <c r="K86" s="16"/>
      <c r="L86" s="2" t="s">
        <v>8</v>
      </c>
      <c r="M86" s="16">
        <v>6.73</v>
      </c>
      <c r="N86" s="16">
        <v>7.73</v>
      </c>
      <c r="O86" s="2">
        <v>7.41</v>
      </c>
      <c r="P86" s="2">
        <v>7.43</v>
      </c>
      <c r="Q86" s="16"/>
      <c r="R86" s="17"/>
      <c r="S86">
        <f t="shared" si="1"/>
        <v>7.3250000000000002</v>
      </c>
    </row>
    <row r="87" spans="1:19" x14ac:dyDescent="0.3">
      <c r="A87" s="5">
        <v>86</v>
      </c>
      <c r="B87" s="2">
        <v>1323086</v>
      </c>
      <c r="C87" s="2" t="s">
        <v>95</v>
      </c>
      <c r="D87" s="15" t="s">
        <v>657</v>
      </c>
      <c r="E87" s="2" t="s">
        <v>1165</v>
      </c>
      <c r="F87" s="26">
        <v>9306906734</v>
      </c>
      <c r="G87" s="26" t="s">
        <v>1768</v>
      </c>
      <c r="H87" s="2" t="s">
        <v>1139</v>
      </c>
      <c r="I87" s="2"/>
      <c r="J87" s="16" t="s">
        <v>1145</v>
      </c>
      <c r="K87" s="16"/>
      <c r="L87" s="2" t="s">
        <v>8</v>
      </c>
      <c r="M87" s="16">
        <v>6.57</v>
      </c>
      <c r="N87" s="16">
        <v>7.36</v>
      </c>
      <c r="O87" s="2">
        <v>7.09</v>
      </c>
      <c r="P87" s="2">
        <v>7</v>
      </c>
      <c r="Q87" s="16"/>
      <c r="R87" s="17"/>
      <c r="S87">
        <f t="shared" si="1"/>
        <v>7.0049999999999999</v>
      </c>
    </row>
    <row r="88" spans="1:19" x14ac:dyDescent="0.3">
      <c r="A88" s="5">
        <v>87</v>
      </c>
      <c r="B88" s="2">
        <v>1323087</v>
      </c>
      <c r="C88" s="2" t="s">
        <v>96</v>
      </c>
      <c r="D88" s="15" t="s">
        <v>658</v>
      </c>
      <c r="E88" s="2" t="s">
        <v>1166</v>
      </c>
      <c r="F88" s="26">
        <v>8053048981</v>
      </c>
      <c r="G88" s="26" t="s">
        <v>1769</v>
      </c>
      <c r="H88" s="2" t="s">
        <v>1139</v>
      </c>
      <c r="I88" s="2"/>
      <c r="J88" s="16" t="s">
        <v>1145</v>
      </c>
      <c r="K88" s="16"/>
      <c r="L88" s="2" t="s">
        <v>8</v>
      </c>
      <c r="M88" s="16">
        <v>6.52</v>
      </c>
      <c r="N88" s="16">
        <v>6.73</v>
      </c>
      <c r="O88" s="2">
        <v>7.36</v>
      </c>
      <c r="P88" s="2">
        <v>6.48</v>
      </c>
      <c r="Q88" s="16"/>
      <c r="R88" s="17"/>
      <c r="S88">
        <f t="shared" si="1"/>
        <v>6.7725</v>
      </c>
    </row>
    <row r="89" spans="1:19" x14ac:dyDescent="0.3">
      <c r="A89" s="5">
        <v>88</v>
      </c>
      <c r="B89" s="2">
        <v>1323088</v>
      </c>
      <c r="C89" s="2" t="s">
        <v>97</v>
      </c>
      <c r="D89" s="15" t="s">
        <v>1451</v>
      </c>
      <c r="E89" s="2" t="s">
        <v>668</v>
      </c>
      <c r="F89" s="26">
        <v>9350090426</v>
      </c>
      <c r="G89" s="26" t="s">
        <v>1770</v>
      </c>
      <c r="H89" s="2" t="s">
        <v>1139</v>
      </c>
      <c r="I89" s="2"/>
      <c r="J89" s="16" t="s">
        <v>8</v>
      </c>
      <c r="K89" s="16"/>
      <c r="L89" s="2" t="s">
        <v>8</v>
      </c>
      <c r="M89" s="16">
        <v>5.93</v>
      </c>
      <c r="N89" s="16">
        <v>6.25</v>
      </c>
      <c r="O89" s="2" t="s">
        <v>2220</v>
      </c>
      <c r="P89" s="2" t="s">
        <v>2259</v>
      </c>
      <c r="Q89" s="16"/>
      <c r="R89" s="17"/>
      <c r="S89">
        <f t="shared" si="1"/>
        <v>6.09</v>
      </c>
    </row>
    <row r="90" spans="1:19" x14ac:dyDescent="0.3">
      <c r="A90" s="5">
        <v>89</v>
      </c>
      <c r="B90" s="2">
        <v>1323089</v>
      </c>
      <c r="C90" s="2" t="s">
        <v>98</v>
      </c>
      <c r="D90" s="15" t="s">
        <v>1452</v>
      </c>
      <c r="E90" s="2" t="s">
        <v>878</v>
      </c>
      <c r="F90" s="26"/>
      <c r="G90" s="26"/>
      <c r="H90" s="2"/>
      <c r="I90" s="2"/>
      <c r="J90" s="16"/>
      <c r="K90" s="16"/>
      <c r="L90" s="2" t="s">
        <v>8</v>
      </c>
      <c r="M90" s="16">
        <v>6.3</v>
      </c>
      <c r="N90" s="16" t="s">
        <v>1662</v>
      </c>
      <c r="O90" s="2"/>
      <c r="P90" s="2"/>
      <c r="Q90" s="16"/>
      <c r="R90" s="17"/>
      <c r="S90">
        <f t="shared" si="1"/>
        <v>6.3</v>
      </c>
    </row>
    <row r="91" spans="1:19" x14ac:dyDescent="0.3">
      <c r="A91" s="5">
        <v>90</v>
      </c>
      <c r="B91" s="2">
        <v>1323090</v>
      </c>
      <c r="C91" s="2" t="s">
        <v>99</v>
      </c>
      <c r="D91" s="15" t="s">
        <v>659</v>
      </c>
      <c r="E91" s="2" t="s">
        <v>1167</v>
      </c>
      <c r="F91" s="26">
        <v>9416291170</v>
      </c>
      <c r="G91" s="26" t="s">
        <v>1771</v>
      </c>
      <c r="H91" s="2" t="s">
        <v>1139</v>
      </c>
      <c r="I91" s="2"/>
      <c r="J91" s="16" t="s">
        <v>8</v>
      </c>
      <c r="K91" s="16"/>
      <c r="L91" s="2" t="s">
        <v>8</v>
      </c>
      <c r="M91" s="16">
        <v>8.86</v>
      </c>
      <c r="N91" s="16">
        <v>9.64</v>
      </c>
      <c r="O91" s="2">
        <v>9.41</v>
      </c>
      <c r="P91" s="2">
        <v>9.0500000000000007</v>
      </c>
      <c r="Q91" s="16"/>
      <c r="R91" s="17"/>
      <c r="S91">
        <f t="shared" si="1"/>
        <v>9.24</v>
      </c>
    </row>
    <row r="92" spans="1:19" x14ac:dyDescent="0.3">
      <c r="A92" s="5">
        <v>91</v>
      </c>
      <c r="B92" s="2">
        <v>1323091</v>
      </c>
      <c r="C92" s="2" t="s">
        <v>100</v>
      </c>
      <c r="D92" s="15" t="s">
        <v>660</v>
      </c>
      <c r="E92" s="2" t="s">
        <v>1168</v>
      </c>
      <c r="F92" s="26">
        <v>9416461113</v>
      </c>
      <c r="G92" s="26" t="s">
        <v>1772</v>
      </c>
      <c r="H92" s="2" t="s">
        <v>1139</v>
      </c>
      <c r="I92" s="2"/>
      <c r="J92" s="16" t="s">
        <v>1145</v>
      </c>
      <c r="K92" s="16"/>
      <c r="L92" s="2" t="s">
        <v>8</v>
      </c>
      <c r="M92" s="16">
        <v>7.41</v>
      </c>
      <c r="N92" s="16">
        <v>8.14</v>
      </c>
      <c r="O92" s="2">
        <v>8.4499999999999993</v>
      </c>
      <c r="P92" s="2">
        <v>8.27</v>
      </c>
      <c r="Q92" s="16"/>
      <c r="R92" s="17"/>
      <c r="S92">
        <f t="shared" si="1"/>
        <v>8.067499999999999</v>
      </c>
    </row>
    <row r="93" spans="1:19" x14ac:dyDescent="0.3">
      <c r="A93" s="5">
        <v>92</v>
      </c>
      <c r="B93" s="2">
        <v>1323092</v>
      </c>
      <c r="C93" s="2" t="s">
        <v>101</v>
      </c>
      <c r="D93" s="15" t="s">
        <v>661</v>
      </c>
      <c r="E93" s="2" t="s">
        <v>668</v>
      </c>
      <c r="F93" s="26">
        <v>7082371844</v>
      </c>
      <c r="G93" s="26" t="s">
        <v>1773</v>
      </c>
      <c r="H93" s="2" t="s">
        <v>1139</v>
      </c>
      <c r="I93" s="2"/>
      <c r="J93" s="16" t="s">
        <v>1145</v>
      </c>
      <c r="K93" s="16"/>
      <c r="L93" s="2" t="s">
        <v>8</v>
      </c>
      <c r="M93" s="16">
        <v>6.39</v>
      </c>
      <c r="N93" s="16">
        <v>7.32</v>
      </c>
      <c r="O93" s="2">
        <v>7.36</v>
      </c>
      <c r="P93" s="2">
        <v>6.45</v>
      </c>
      <c r="Q93" s="16"/>
      <c r="R93" s="17"/>
      <c r="S93">
        <f t="shared" si="1"/>
        <v>6.88</v>
      </c>
    </row>
    <row r="94" spans="1:19" x14ac:dyDescent="0.3">
      <c r="A94" s="5">
        <v>93</v>
      </c>
      <c r="B94" s="2">
        <v>1323093</v>
      </c>
      <c r="C94" s="2" t="s">
        <v>102</v>
      </c>
      <c r="D94" s="15" t="s">
        <v>662</v>
      </c>
      <c r="E94" s="2" t="s">
        <v>1169</v>
      </c>
      <c r="F94" s="26">
        <v>9416904526</v>
      </c>
      <c r="G94" s="26" t="s">
        <v>1774</v>
      </c>
      <c r="H94" s="2" t="s">
        <v>1139</v>
      </c>
      <c r="I94" s="2"/>
      <c r="J94" s="16" t="s">
        <v>1145</v>
      </c>
      <c r="K94" s="16"/>
      <c r="L94" s="2" t="s">
        <v>8</v>
      </c>
      <c r="M94" s="16">
        <v>5.48</v>
      </c>
      <c r="N94" s="16">
        <v>6.05</v>
      </c>
      <c r="O94" s="2">
        <v>6.27</v>
      </c>
      <c r="P94" s="2" t="s">
        <v>2249</v>
      </c>
      <c r="Q94" s="16"/>
      <c r="R94" s="17"/>
      <c r="S94">
        <f t="shared" si="1"/>
        <v>5.9333333333333336</v>
      </c>
    </row>
    <row r="95" spans="1:19" x14ac:dyDescent="0.3">
      <c r="A95" s="5">
        <v>94</v>
      </c>
      <c r="B95" s="2">
        <v>1323094</v>
      </c>
      <c r="C95" s="2" t="s">
        <v>103</v>
      </c>
      <c r="D95" s="15" t="s">
        <v>663</v>
      </c>
      <c r="E95" s="2" t="s">
        <v>1170</v>
      </c>
      <c r="F95" s="26">
        <v>9466411285</v>
      </c>
      <c r="G95" s="26" t="s">
        <v>1775</v>
      </c>
      <c r="H95" s="2" t="s">
        <v>1139</v>
      </c>
      <c r="I95" s="2"/>
      <c r="J95" s="16" t="s">
        <v>1146</v>
      </c>
      <c r="K95" s="16"/>
      <c r="L95" s="2" t="s">
        <v>8</v>
      </c>
      <c r="M95" s="16">
        <v>7.86</v>
      </c>
      <c r="N95" s="16">
        <v>8.41</v>
      </c>
      <c r="O95" s="2">
        <v>8.73</v>
      </c>
      <c r="P95" s="2">
        <v>7.91</v>
      </c>
      <c r="Q95" s="16"/>
      <c r="R95" s="17"/>
      <c r="S95">
        <f t="shared" si="1"/>
        <v>8.2274999999999991</v>
      </c>
    </row>
    <row r="96" spans="1:19" x14ac:dyDescent="0.3">
      <c r="A96" s="5">
        <v>95</v>
      </c>
      <c r="B96" s="2">
        <v>1323095</v>
      </c>
      <c r="C96" s="2" t="s">
        <v>104</v>
      </c>
      <c r="D96" s="15" t="s">
        <v>664</v>
      </c>
      <c r="E96" s="2" t="s">
        <v>1171</v>
      </c>
      <c r="F96" s="26">
        <v>9416264031</v>
      </c>
      <c r="G96" s="26" t="s">
        <v>1776</v>
      </c>
      <c r="H96" s="2" t="s">
        <v>1139</v>
      </c>
      <c r="I96" s="2"/>
      <c r="J96" s="16" t="s">
        <v>1146</v>
      </c>
      <c r="K96" s="16"/>
      <c r="L96" s="2" t="s">
        <v>8</v>
      </c>
      <c r="M96" s="16" t="s">
        <v>1625</v>
      </c>
      <c r="N96" s="16" t="s">
        <v>1673</v>
      </c>
      <c r="O96" s="2">
        <v>5.64</v>
      </c>
      <c r="P96" s="2" t="s">
        <v>2260</v>
      </c>
      <c r="Q96" s="16"/>
      <c r="R96" s="17"/>
      <c r="S96">
        <f t="shared" si="1"/>
        <v>5.64</v>
      </c>
    </row>
    <row r="97" spans="1:19" x14ac:dyDescent="0.3">
      <c r="A97" s="5">
        <v>96</v>
      </c>
      <c r="B97" s="2">
        <v>1323096</v>
      </c>
      <c r="C97" s="2" t="s">
        <v>105</v>
      </c>
      <c r="D97" s="15" t="s">
        <v>665</v>
      </c>
      <c r="E97" s="2" t="s">
        <v>1172</v>
      </c>
      <c r="F97" s="26">
        <v>9518202144</v>
      </c>
      <c r="G97" s="26" t="s">
        <v>1777</v>
      </c>
      <c r="H97" s="2" t="s">
        <v>1139</v>
      </c>
      <c r="I97" s="2"/>
      <c r="J97" s="16" t="s">
        <v>8</v>
      </c>
      <c r="K97" s="16"/>
      <c r="L97" s="2" t="s">
        <v>8</v>
      </c>
      <c r="M97" s="16">
        <v>7.14</v>
      </c>
      <c r="N97" s="16">
        <v>6.75</v>
      </c>
      <c r="O97" s="2">
        <v>7</v>
      </c>
      <c r="P97" s="2">
        <v>6.93</v>
      </c>
      <c r="Q97" s="16"/>
      <c r="R97" s="17"/>
      <c r="S97">
        <f t="shared" si="1"/>
        <v>6.9550000000000001</v>
      </c>
    </row>
    <row r="98" spans="1:19" x14ac:dyDescent="0.3">
      <c r="A98" s="5">
        <v>97</v>
      </c>
      <c r="B98" s="2">
        <v>1323097</v>
      </c>
      <c r="C98" s="2" t="s">
        <v>106</v>
      </c>
      <c r="D98" s="15" t="s">
        <v>666</v>
      </c>
      <c r="E98" s="2" t="s">
        <v>1173</v>
      </c>
      <c r="F98" s="26">
        <v>8699832140</v>
      </c>
      <c r="G98" s="26" t="s">
        <v>1778</v>
      </c>
      <c r="H98" s="2" t="s">
        <v>1139</v>
      </c>
      <c r="I98" s="2"/>
      <c r="J98" s="16" t="s">
        <v>1145</v>
      </c>
      <c r="K98" s="16"/>
      <c r="L98" s="2" t="s">
        <v>8</v>
      </c>
      <c r="M98" s="16">
        <v>7.66</v>
      </c>
      <c r="N98" s="16">
        <v>8.41</v>
      </c>
      <c r="O98" s="2">
        <v>8.23</v>
      </c>
      <c r="P98" s="2">
        <v>8.4499999999999993</v>
      </c>
      <c r="Q98" s="16"/>
      <c r="R98" s="17"/>
      <c r="S98">
        <f t="shared" si="1"/>
        <v>8.1875</v>
      </c>
    </row>
    <row r="99" spans="1:19" x14ac:dyDescent="0.3">
      <c r="A99" s="5">
        <v>98</v>
      </c>
      <c r="B99" s="2">
        <v>1323098</v>
      </c>
      <c r="C99" s="2" t="s">
        <v>107</v>
      </c>
      <c r="D99" s="15" t="s">
        <v>639</v>
      </c>
      <c r="E99" s="2" t="s">
        <v>1163</v>
      </c>
      <c r="F99" s="26"/>
      <c r="G99" s="26"/>
      <c r="H99" s="2"/>
      <c r="I99" s="2"/>
      <c r="J99" s="16"/>
      <c r="K99" s="16"/>
      <c r="L99" s="2"/>
      <c r="M99" s="16" t="s">
        <v>958</v>
      </c>
      <c r="N99" s="16"/>
      <c r="O99" s="2"/>
      <c r="P99" s="2"/>
      <c r="Q99" s="16"/>
      <c r="R99" s="17"/>
      <c r="S99" t="e">
        <f t="shared" si="1"/>
        <v>#DIV/0!</v>
      </c>
    </row>
    <row r="100" spans="1:19" x14ac:dyDescent="0.3">
      <c r="A100" s="5">
        <v>99</v>
      </c>
      <c r="B100" s="2">
        <v>1323099</v>
      </c>
      <c r="C100" s="2" t="s">
        <v>108</v>
      </c>
      <c r="D100" s="2" t="s">
        <v>1453</v>
      </c>
      <c r="E100" s="2" t="s">
        <v>1125</v>
      </c>
      <c r="F100" s="26"/>
      <c r="G100" s="26"/>
      <c r="H100" s="2"/>
      <c r="I100" s="2"/>
      <c r="J100" s="16"/>
      <c r="K100" s="16"/>
      <c r="L100" s="2"/>
      <c r="M100" s="16" t="s">
        <v>1626</v>
      </c>
      <c r="N100" s="16" t="s">
        <v>1663</v>
      </c>
      <c r="O100" s="2"/>
      <c r="P100" s="2"/>
      <c r="Q100" s="16"/>
      <c r="R100" s="17"/>
      <c r="S100" t="e">
        <f t="shared" si="1"/>
        <v>#DIV/0!</v>
      </c>
    </row>
    <row r="101" spans="1:19" x14ac:dyDescent="0.3">
      <c r="A101" s="5">
        <v>100</v>
      </c>
      <c r="B101" s="2">
        <v>1323100</v>
      </c>
      <c r="C101" s="2" t="s">
        <v>109</v>
      </c>
      <c r="D101" s="18" t="s">
        <v>779</v>
      </c>
      <c r="E101" s="2" t="s">
        <v>1174</v>
      </c>
      <c r="F101" s="26">
        <v>9588139944</v>
      </c>
      <c r="G101" s="26" t="s">
        <v>1779</v>
      </c>
      <c r="H101" s="2" t="s">
        <v>1139</v>
      </c>
      <c r="I101" s="2"/>
      <c r="J101" s="16" t="s">
        <v>8</v>
      </c>
      <c r="K101" s="16"/>
      <c r="L101" s="2" t="s">
        <v>8</v>
      </c>
      <c r="M101" s="16">
        <v>6.82</v>
      </c>
      <c r="N101" s="16">
        <v>7.36</v>
      </c>
      <c r="O101" s="2">
        <v>7.16</v>
      </c>
      <c r="P101" s="2">
        <v>7.55</v>
      </c>
      <c r="Q101" s="16"/>
      <c r="R101" s="17"/>
      <c r="S101">
        <f t="shared" si="1"/>
        <v>7.2225000000000001</v>
      </c>
    </row>
    <row r="102" spans="1:19" x14ac:dyDescent="0.3">
      <c r="A102" s="5">
        <v>101</v>
      </c>
      <c r="B102" s="2">
        <v>1323101</v>
      </c>
      <c r="C102" s="2" t="s">
        <v>110</v>
      </c>
      <c r="D102" s="15" t="s">
        <v>667</v>
      </c>
      <c r="E102" s="2" t="s">
        <v>1130</v>
      </c>
      <c r="F102" s="26">
        <v>9671038771</v>
      </c>
      <c r="G102" s="26" t="s">
        <v>1780</v>
      </c>
      <c r="H102" s="2" t="s">
        <v>1139</v>
      </c>
      <c r="I102" s="2"/>
      <c r="J102" s="16" t="s">
        <v>8</v>
      </c>
      <c r="K102" s="16"/>
      <c r="L102" s="2" t="s">
        <v>8</v>
      </c>
      <c r="M102" s="16">
        <v>7.23</v>
      </c>
      <c r="N102" s="16">
        <v>8.59</v>
      </c>
      <c r="O102" s="2">
        <v>8.36</v>
      </c>
      <c r="P102" s="2">
        <v>8.86</v>
      </c>
      <c r="Q102" s="16"/>
      <c r="R102" s="17"/>
      <c r="S102">
        <f t="shared" si="1"/>
        <v>8.26</v>
      </c>
    </row>
    <row r="103" spans="1:19" x14ac:dyDescent="0.3">
      <c r="A103" s="5">
        <v>102</v>
      </c>
      <c r="B103" s="2">
        <v>1323102</v>
      </c>
      <c r="C103" s="2" t="s">
        <v>111</v>
      </c>
      <c r="D103" s="15" t="s">
        <v>668</v>
      </c>
      <c r="E103" s="2" t="s">
        <v>1128</v>
      </c>
      <c r="F103" s="26"/>
      <c r="G103" s="26"/>
      <c r="H103" s="2"/>
      <c r="I103" s="2"/>
      <c r="J103" s="16"/>
      <c r="K103" s="16"/>
      <c r="L103" s="2" t="s">
        <v>8</v>
      </c>
      <c r="M103" s="16">
        <v>6.36</v>
      </c>
      <c r="N103" s="16" t="s">
        <v>1678</v>
      </c>
      <c r="O103" s="2"/>
      <c r="P103" s="2"/>
      <c r="Q103" s="16"/>
      <c r="R103" s="17"/>
      <c r="S103">
        <f t="shared" si="1"/>
        <v>6.36</v>
      </c>
    </row>
    <row r="104" spans="1:19" x14ac:dyDescent="0.3">
      <c r="A104" s="5">
        <v>103</v>
      </c>
      <c r="B104" s="2">
        <v>1323103</v>
      </c>
      <c r="C104" s="2" t="s">
        <v>112</v>
      </c>
      <c r="D104" s="15" t="s">
        <v>669</v>
      </c>
      <c r="E104" s="2" t="s">
        <v>613</v>
      </c>
      <c r="F104" s="26">
        <v>9728610748</v>
      </c>
      <c r="G104" s="26" t="s">
        <v>1781</v>
      </c>
      <c r="H104" s="2" t="s">
        <v>1139</v>
      </c>
      <c r="I104" s="2"/>
      <c r="J104" s="16" t="s">
        <v>1146</v>
      </c>
      <c r="K104" s="16"/>
      <c r="L104" s="2" t="s">
        <v>8</v>
      </c>
      <c r="M104" s="16">
        <v>5.89</v>
      </c>
      <c r="N104" s="16">
        <v>6.27</v>
      </c>
      <c r="O104" s="2">
        <v>6.64</v>
      </c>
      <c r="P104" s="2" t="s">
        <v>2253</v>
      </c>
      <c r="Q104" s="16"/>
      <c r="R104" s="17"/>
      <c r="S104">
        <f t="shared" si="1"/>
        <v>6.2666666666666666</v>
      </c>
    </row>
    <row r="105" spans="1:19" x14ac:dyDescent="0.3">
      <c r="A105" s="5">
        <v>104</v>
      </c>
      <c r="B105" s="2">
        <v>1323104</v>
      </c>
      <c r="C105" s="2" t="s">
        <v>113</v>
      </c>
      <c r="D105" s="15" t="s">
        <v>1454</v>
      </c>
      <c r="E105" s="2" t="s">
        <v>1175</v>
      </c>
      <c r="F105" s="26">
        <v>9761616164</v>
      </c>
      <c r="G105" s="26" t="s">
        <v>1782</v>
      </c>
      <c r="H105" s="2" t="s">
        <v>1139</v>
      </c>
      <c r="I105" s="2"/>
      <c r="J105" s="16" t="s">
        <v>1146</v>
      </c>
      <c r="K105" s="16"/>
      <c r="L105" s="2" t="s">
        <v>8</v>
      </c>
      <c r="M105" s="16">
        <v>7.14</v>
      </c>
      <c r="N105" s="16">
        <v>7.27</v>
      </c>
      <c r="O105" s="2">
        <v>7.32</v>
      </c>
      <c r="P105" s="2">
        <v>8.18</v>
      </c>
      <c r="Q105" s="16"/>
      <c r="R105" s="17"/>
      <c r="S105">
        <f t="shared" si="1"/>
        <v>7.4775</v>
      </c>
    </row>
    <row r="106" spans="1:19" x14ac:dyDescent="0.3">
      <c r="A106" s="5">
        <v>105</v>
      </c>
      <c r="B106" s="2">
        <v>1323105</v>
      </c>
      <c r="C106" s="2" t="s">
        <v>114</v>
      </c>
      <c r="D106" s="15" t="s">
        <v>670</v>
      </c>
      <c r="E106" s="2" t="s">
        <v>1176</v>
      </c>
      <c r="F106" s="26">
        <v>9813283886</v>
      </c>
      <c r="G106" s="26" t="s">
        <v>1783</v>
      </c>
      <c r="H106" s="2" t="s">
        <v>1139</v>
      </c>
      <c r="I106" s="2"/>
      <c r="J106" s="16" t="s">
        <v>1146</v>
      </c>
      <c r="K106" s="16"/>
      <c r="L106" s="2" t="s">
        <v>8</v>
      </c>
      <c r="M106" s="16">
        <v>6.18</v>
      </c>
      <c r="N106" s="16">
        <v>7.18</v>
      </c>
      <c r="O106" s="2">
        <v>7.05</v>
      </c>
      <c r="P106" s="2">
        <v>6.8</v>
      </c>
      <c r="Q106" s="16"/>
      <c r="R106" s="17"/>
      <c r="S106">
        <f t="shared" si="1"/>
        <v>6.8025000000000002</v>
      </c>
    </row>
    <row r="107" spans="1:19" x14ac:dyDescent="0.3">
      <c r="A107" s="5">
        <v>106</v>
      </c>
      <c r="B107" s="2">
        <v>1323106</v>
      </c>
      <c r="C107" s="2" t="s">
        <v>115</v>
      </c>
      <c r="D107" s="18" t="s">
        <v>671</v>
      </c>
      <c r="E107" s="2" t="s">
        <v>1177</v>
      </c>
      <c r="F107" s="26">
        <v>8708564493</v>
      </c>
      <c r="G107" s="26" t="s">
        <v>1784</v>
      </c>
      <c r="H107" s="2" t="s">
        <v>1139</v>
      </c>
      <c r="I107" s="2"/>
      <c r="J107" s="16"/>
      <c r="K107" s="16"/>
      <c r="L107" s="2" t="s">
        <v>8</v>
      </c>
      <c r="M107" s="16">
        <v>5.75</v>
      </c>
      <c r="N107" s="16" t="s">
        <v>1679</v>
      </c>
      <c r="O107" s="2" t="s">
        <v>953</v>
      </c>
      <c r="P107" s="2">
        <v>5.89</v>
      </c>
      <c r="Q107" s="16"/>
      <c r="R107" s="17"/>
      <c r="S107">
        <f t="shared" si="1"/>
        <v>5.82</v>
      </c>
    </row>
    <row r="108" spans="1:19" x14ac:dyDescent="0.3">
      <c r="A108" s="5">
        <v>107</v>
      </c>
      <c r="B108" s="2">
        <v>1323107</v>
      </c>
      <c r="C108" s="2" t="s">
        <v>116</v>
      </c>
      <c r="D108" s="15" t="s">
        <v>956</v>
      </c>
      <c r="E108" s="2" t="s">
        <v>1178</v>
      </c>
      <c r="F108" s="26">
        <v>9813863531</v>
      </c>
      <c r="G108" s="26" t="s">
        <v>1785</v>
      </c>
      <c r="H108" s="2" t="s">
        <v>1139</v>
      </c>
      <c r="I108" s="2"/>
      <c r="J108" s="16" t="s">
        <v>8</v>
      </c>
      <c r="K108" s="16"/>
      <c r="L108" s="2" t="s">
        <v>8</v>
      </c>
      <c r="M108" s="16">
        <v>7.41</v>
      </c>
      <c r="N108" s="16">
        <v>8</v>
      </c>
      <c r="O108" s="2">
        <v>7.68</v>
      </c>
      <c r="P108" s="2">
        <v>8</v>
      </c>
      <c r="Q108" s="16"/>
      <c r="R108" s="17"/>
      <c r="S108">
        <f t="shared" si="1"/>
        <v>7.7725</v>
      </c>
    </row>
    <row r="109" spans="1:19" x14ac:dyDescent="0.3">
      <c r="A109" s="5">
        <v>108</v>
      </c>
      <c r="B109" s="2">
        <v>1323108</v>
      </c>
      <c r="C109" s="2" t="s">
        <v>117</v>
      </c>
      <c r="D109" s="15" t="s">
        <v>1455</v>
      </c>
      <c r="E109" s="2" t="s">
        <v>1179</v>
      </c>
      <c r="F109" s="26">
        <v>9816325218</v>
      </c>
      <c r="G109" s="26" t="s">
        <v>1786</v>
      </c>
      <c r="H109" s="2" t="s">
        <v>1139</v>
      </c>
      <c r="I109" s="2"/>
      <c r="J109" s="16" t="s">
        <v>1146</v>
      </c>
      <c r="K109" s="16"/>
      <c r="L109" s="2" t="s">
        <v>8</v>
      </c>
      <c r="M109" s="16">
        <v>5.98</v>
      </c>
      <c r="N109" s="16">
        <v>5.95</v>
      </c>
      <c r="O109" s="2" t="s">
        <v>954</v>
      </c>
      <c r="P109" s="2" t="s">
        <v>953</v>
      </c>
      <c r="Q109" s="16"/>
      <c r="R109" s="17"/>
      <c r="S109">
        <f t="shared" si="1"/>
        <v>5.9649999999999999</v>
      </c>
    </row>
    <row r="110" spans="1:19" x14ac:dyDescent="0.3">
      <c r="A110" s="5">
        <v>109</v>
      </c>
      <c r="B110" s="2">
        <v>1323109</v>
      </c>
      <c r="C110" s="2" t="s">
        <v>118</v>
      </c>
      <c r="D110" s="15" t="s">
        <v>1456</v>
      </c>
      <c r="E110" s="2" t="s">
        <v>1180</v>
      </c>
      <c r="F110" s="26">
        <v>9817051738</v>
      </c>
      <c r="G110" s="26" t="s">
        <v>1787</v>
      </c>
      <c r="H110" s="2" t="s">
        <v>1139</v>
      </c>
      <c r="I110" s="2"/>
      <c r="J110" s="16" t="s">
        <v>1146</v>
      </c>
      <c r="K110" s="16"/>
      <c r="L110" s="2" t="s">
        <v>8</v>
      </c>
      <c r="M110" s="16" t="s">
        <v>958</v>
      </c>
      <c r="N110" s="16" t="s">
        <v>1673</v>
      </c>
      <c r="O110" s="2" t="s">
        <v>954</v>
      </c>
      <c r="P110" s="2" t="s">
        <v>2261</v>
      </c>
      <c r="Q110" s="16"/>
      <c r="R110" s="17"/>
      <c r="S110" t="e">
        <f t="shared" si="1"/>
        <v>#DIV/0!</v>
      </c>
    </row>
    <row r="111" spans="1:19" x14ac:dyDescent="0.3">
      <c r="A111" s="5">
        <v>110</v>
      </c>
      <c r="B111" s="2">
        <v>1323110</v>
      </c>
      <c r="C111" s="2" t="s">
        <v>119</v>
      </c>
      <c r="D111" s="15" t="s">
        <v>1457</v>
      </c>
      <c r="E111" s="2" t="s">
        <v>1181</v>
      </c>
      <c r="F111" s="26">
        <v>9817374543</v>
      </c>
      <c r="G111" s="26" t="s">
        <v>1788</v>
      </c>
      <c r="H111" s="2" t="s">
        <v>1139</v>
      </c>
      <c r="I111" s="2"/>
      <c r="J111" s="16" t="s">
        <v>1145</v>
      </c>
      <c r="K111" s="16"/>
      <c r="L111" s="2" t="s">
        <v>8</v>
      </c>
      <c r="M111" s="16" t="s">
        <v>1627</v>
      </c>
      <c r="N111" s="16" t="s">
        <v>1678</v>
      </c>
      <c r="O111" s="2">
        <v>7.23</v>
      </c>
      <c r="P111" s="2">
        <v>7.91</v>
      </c>
      <c r="Q111" s="16"/>
      <c r="R111" s="17"/>
      <c r="S111">
        <f t="shared" si="1"/>
        <v>7.57</v>
      </c>
    </row>
    <row r="112" spans="1:19" x14ac:dyDescent="0.3">
      <c r="A112" s="5">
        <v>111</v>
      </c>
      <c r="B112" s="2">
        <v>1323111</v>
      </c>
      <c r="C112" s="2" t="s">
        <v>120</v>
      </c>
      <c r="D112" s="15" t="s">
        <v>672</v>
      </c>
      <c r="E112" s="2" t="s">
        <v>1097</v>
      </c>
      <c r="F112" s="26">
        <v>9817675764</v>
      </c>
      <c r="G112" s="26" t="s">
        <v>1789</v>
      </c>
      <c r="H112" s="2" t="s">
        <v>1139</v>
      </c>
      <c r="I112" s="2"/>
      <c r="J112" s="16" t="s">
        <v>1146</v>
      </c>
      <c r="K112" s="16"/>
      <c r="L112" s="2" t="s">
        <v>8</v>
      </c>
      <c r="M112" s="16">
        <v>6.3</v>
      </c>
      <c r="N112" s="16">
        <v>5.66</v>
      </c>
      <c r="O112" s="2" t="s">
        <v>2218</v>
      </c>
      <c r="P112" s="2">
        <v>6</v>
      </c>
      <c r="Q112" s="16"/>
      <c r="R112" s="17"/>
      <c r="S112">
        <f t="shared" si="1"/>
        <v>5.9866666666666672</v>
      </c>
    </row>
    <row r="113" spans="1:19" x14ac:dyDescent="0.3">
      <c r="A113" s="5">
        <v>112</v>
      </c>
      <c r="B113" s="2">
        <v>1323112</v>
      </c>
      <c r="C113" s="2" t="s">
        <v>121</v>
      </c>
      <c r="D113" s="15" t="s">
        <v>1458</v>
      </c>
      <c r="E113" s="2" t="s">
        <v>1182</v>
      </c>
      <c r="F113" s="26">
        <v>9034580894</v>
      </c>
      <c r="G113" s="26" t="s">
        <v>1790</v>
      </c>
      <c r="H113" s="2" t="s">
        <v>1139</v>
      </c>
      <c r="I113" s="2"/>
      <c r="J113" s="16" t="s">
        <v>8</v>
      </c>
      <c r="K113" s="16"/>
      <c r="L113" s="2" t="s">
        <v>8</v>
      </c>
      <c r="M113" s="16">
        <v>5.86</v>
      </c>
      <c r="N113" s="16">
        <v>5.77</v>
      </c>
      <c r="O113" s="2" t="s">
        <v>2218</v>
      </c>
      <c r="P113" s="2">
        <v>6.25</v>
      </c>
      <c r="Q113" s="16"/>
      <c r="R113" s="17"/>
      <c r="S113">
        <f t="shared" si="1"/>
        <v>5.96</v>
      </c>
    </row>
    <row r="114" spans="1:19" x14ac:dyDescent="0.3">
      <c r="A114" s="5">
        <v>113</v>
      </c>
      <c r="B114" s="2">
        <v>1323113</v>
      </c>
      <c r="C114" s="2" t="s">
        <v>122</v>
      </c>
      <c r="D114" s="15" t="s">
        <v>673</v>
      </c>
      <c r="E114" s="2" t="s">
        <v>1183</v>
      </c>
      <c r="F114" s="26">
        <v>9416466539</v>
      </c>
      <c r="G114" s="26" t="s">
        <v>1791</v>
      </c>
      <c r="H114" s="2" t="s">
        <v>1139</v>
      </c>
      <c r="I114" s="2"/>
      <c r="J114" s="16" t="s">
        <v>8</v>
      </c>
      <c r="K114" s="16"/>
      <c r="L114" s="2" t="s">
        <v>8</v>
      </c>
      <c r="M114" s="16">
        <v>9.4499999999999993</v>
      </c>
      <c r="N114" s="16">
        <v>9.23</v>
      </c>
      <c r="O114" s="2">
        <v>8.77</v>
      </c>
      <c r="P114" s="2">
        <v>9</v>
      </c>
      <c r="Q114" s="16"/>
      <c r="R114" s="17"/>
      <c r="S114">
        <f t="shared" si="1"/>
        <v>9.1125000000000007</v>
      </c>
    </row>
    <row r="115" spans="1:19" x14ac:dyDescent="0.3">
      <c r="A115" s="5">
        <v>114</v>
      </c>
      <c r="B115" s="2">
        <v>1323114</v>
      </c>
      <c r="C115" s="2" t="s">
        <v>123</v>
      </c>
      <c r="D115" s="15" t="s">
        <v>957</v>
      </c>
      <c r="E115" s="2" t="s">
        <v>1184</v>
      </c>
      <c r="F115" s="26">
        <v>9896088313</v>
      </c>
      <c r="G115" s="26" t="s">
        <v>1792</v>
      </c>
      <c r="H115" s="2" t="s">
        <v>1139</v>
      </c>
      <c r="I115" s="2"/>
      <c r="J115" s="16" t="s">
        <v>8</v>
      </c>
      <c r="K115" s="16"/>
      <c r="L115" s="2" t="s">
        <v>8</v>
      </c>
      <c r="M115" s="16">
        <v>9.18</v>
      </c>
      <c r="N115" s="16">
        <v>8.77</v>
      </c>
      <c r="O115" s="2">
        <v>9.0500000000000007</v>
      </c>
      <c r="P115" s="2">
        <v>8.91</v>
      </c>
      <c r="Q115" s="16"/>
      <c r="R115" s="17"/>
      <c r="S115">
        <f t="shared" si="1"/>
        <v>8.9774999999999991</v>
      </c>
    </row>
    <row r="116" spans="1:19" x14ac:dyDescent="0.3">
      <c r="A116" s="5">
        <v>115</v>
      </c>
      <c r="B116" s="2">
        <v>1323115</v>
      </c>
      <c r="C116" s="2" t="s">
        <v>124</v>
      </c>
      <c r="D116" s="15" t="s">
        <v>674</v>
      </c>
      <c r="E116" s="2" t="s">
        <v>1185</v>
      </c>
      <c r="F116" s="26">
        <v>9896756257</v>
      </c>
      <c r="G116" s="26" t="s">
        <v>1793</v>
      </c>
      <c r="H116" s="2" t="s">
        <v>1139</v>
      </c>
      <c r="I116" s="2"/>
      <c r="J116" s="16" t="s">
        <v>1146</v>
      </c>
      <c r="K116" s="16"/>
      <c r="L116" s="2" t="s">
        <v>8</v>
      </c>
      <c r="M116" s="16">
        <v>7.77</v>
      </c>
      <c r="N116" s="16">
        <v>7.64</v>
      </c>
      <c r="O116" s="2">
        <v>7.32</v>
      </c>
      <c r="P116" s="2">
        <v>7.25</v>
      </c>
      <c r="Q116" s="16"/>
      <c r="R116" s="17"/>
      <c r="S116">
        <f t="shared" si="1"/>
        <v>7.4950000000000001</v>
      </c>
    </row>
    <row r="117" spans="1:19" x14ac:dyDescent="0.3">
      <c r="A117" s="5">
        <v>116</v>
      </c>
      <c r="B117" s="2">
        <v>1323116</v>
      </c>
      <c r="C117" s="2" t="s">
        <v>125</v>
      </c>
      <c r="D117" s="15" t="s">
        <v>675</v>
      </c>
      <c r="E117" s="2" t="s">
        <v>1186</v>
      </c>
      <c r="F117" s="26">
        <v>9991023968</v>
      </c>
      <c r="G117" s="26" t="s">
        <v>1794</v>
      </c>
      <c r="H117" s="2" t="s">
        <v>1139</v>
      </c>
      <c r="I117" s="2"/>
      <c r="J117" s="16" t="s">
        <v>8</v>
      </c>
      <c r="K117" s="16"/>
      <c r="L117" s="2" t="s">
        <v>8</v>
      </c>
      <c r="M117" s="16">
        <v>8.09</v>
      </c>
      <c r="N117" s="16">
        <v>8.18</v>
      </c>
      <c r="O117" s="2">
        <v>8.32</v>
      </c>
      <c r="P117" s="2">
        <v>8.91</v>
      </c>
      <c r="Q117" s="16"/>
      <c r="R117" s="17"/>
      <c r="S117">
        <f t="shared" si="1"/>
        <v>8.375</v>
      </c>
    </row>
    <row r="118" spans="1:19" x14ac:dyDescent="0.3">
      <c r="A118" s="5">
        <v>117</v>
      </c>
      <c r="B118" s="2">
        <v>1323117</v>
      </c>
      <c r="C118" s="2" t="s">
        <v>126</v>
      </c>
      <c r="D118" s="15" t="s">
        <v>1459</v>
      </c>
      <c r="E118" s="2" t="s">
        <v>1187</v>
      </c>
      <c r="F118" s="26">
        <v>9991930049</v>
      </c>
      <c r="G118" s="26" t="s">
        <v>1795</v>
      </c>
      <c r="H118" s="2" t="s">
        <v>1139</v>
      </c>
      <c r="I118" s="2"/>
      <c r="J118" s="16" t="s">
        <v>1145</v>
      </c>
      <c r="K118" s="16"/>
      <c r="L118" s="2" t="s">
        <v>8</v>
      </c>
      <c r="M118" s="16">
        <v>6.59</v>
      </c>
      <c r="N118" s="16">
        <v>6.86</v>
      </c>
      <c r="O118" s="2" t="s">
        <v>2221</v>
      </c>
      <c r="P118" s="2">
        <v>6.27</v>
      </c>
      <c r="Q118" s="16"/>
      <c r="R118" s="17"/>
      <c r="S118">
        <f t="shared" si="1"/>
        <v>6.5733333333333333</v>
      </c>
    </row>
    <row r="119" spans="1:19" x14ac:dyDescent="0.3">
      <c r="A119" s="5">
        <v>118</v>
      </c>
      <c r="B119" s="2">
        <v>1323118</v>
      </c>
      <c r="C119" s="2" t="s">
        <v>127</v>
      </c>
      <c r="D119" s="15" t="s">
        <v>1460</v>
      </c>
      <c r="E119" s="2" t="s">
        <v>1188</v>
      </c>
      <c r="F119" s="26">
        <v>9992163523</v>
      </c>
      <c r="G119" s="26" t="s">
        <v>1796</v>
      </c>
      <c r="H119" s="2" t="s">
        <v>1139</v>
      </c>
      <c r="I119" s="2"/>
      <c r="J119" s="16" t="s">
        <v>1145</v>
      </c>
      <c r="K119" s="16"/>
      <c r="L119" s="2" t="s">
        <v>8</v>
      </c>
      <c r="M119" s="16">
        <v>7.45</v>
      </c>
      <c r="N119" s="16">
        <v>8.36</v>
      </c>
      <c r="O119" s="2">
        <v>7.59</v>
      </c>
      <c r="P119" s="2">
        <v>8</v>
      </c>
      <c r="Q119" s="16"/>
      <c r="R119" s="17"/>
      <c r="S119">
        <f t="shared" si="1"/>
        <v>7.85</v>
      </c>
    </row>
    <row r="120" spans="1:19" x14ac:dyDescent="0.3">
      <c r="A120" s="5">
        <v>119</v>
      </c>
      <c r="B120" s="2">
        <v>1323119</v>
      </c>
      <c r="C120" s="2" t="s">
        <v>128</v>
      </c>
      <c r="D120" s="15" t="s">
        <v>1461</v>
      </c>
      <c r="E120" s="2" t="s">
        <v>1189</v>
      </c>
      <c r="F120" s="26"/>
      <c r="G120" s="26"/>
      <c r="H120" s="2"/>
      <c r="I120" s="2"/>
      <c r="J120" s="16"/>
      <c r="K120" s="16"/>
      <c r="L120" s="2"/>
      <c r="M120" s="16" t="s">
        <v>954</v>
      </c>
      <c r="N120" s="16"/>
      <c r="O120" s="2"/>
      <c r="P120" s="2"/>
      <c r="Q120" s="16"/>
      <c r="R120" s="17"/>
      <c r="S120" t="e">
        <f t="shared" si="1"/>
        <v>#DIV/0!</v>
      </c>
    </row>
    <row r="121" spans="1:19" x14ac:dyDescent="0.3">
      <c r="A121" s="5">
        <v>120</v>
      </c>
      <c r="B121" s="2">
        <v>1323120</v>
      </c>
      <c r="C121" s="2" t="s">
        <v>129</v>
      </c>
      <c r="D121" s="15" t="s">
        <v>1129</v>
      </c>
      <c r="E121" s="2" t="s">
        <v>1190</v>
      </c>
      <c r="F121" s="26"/>
      <c r="G121" s="26"/>
      <c r="H121" s="2"/>
      <c r="I121" s="2"/>
      <c r="J121" s="16"/>
      <c r="K121" s="16"/>
      <c r="L121" s="2"/>
      <c r="M121" s="16" t="s">
        <v>1626</v>
      </c>
      <c r="N121" s="16" t="s">
        <v>1662</v>
      </c>
      <c r="O121" s="2"/>
      <c r="P121" s="2"/>
      <c r="Q121" s="16"/>
      <c r="R121" s="17"/>
      <c r="S121" t="e">
        <f t="shared" si="1"/>
        <v>#DIV/0!</v>
      </c>
    </row>
    <row r="122" spans="1:19" x14ac:dyDescent="0.3">
      <c r="A122" s="5">
        <v>121</v>
      </c>
      <c r="B122" s="2">
        <v>1323121</v>
      </c>
      <c r="C122" s="2" t="s">
        <v>130</v>
      </c>
      <c r="D122" s="2" t="s">
        <v>1462</v>
      </c>
      <c r="E122" s="2" t="s">
        <v>1166</v>
      </c>
      <c r="F122" s="26"/>
      <c r="G122" s="26"/>
      <c r="H122" s="2"/>
      <c r="I122" s="2"/>
      <c r="J122" s="16"/>
      <c r="K122" s="16"/>
      <c r="L122" s="2"/>
      <c r="M122" s="16">
        <v>8.09</v>
      </c>
      <c r="N122" s="16" t="s">
        <v>1663</v>
      </c>
      <c r="O122" s="2"/>
      <c r="P122" s="2"/>
      <c r="Q122" s="16"/>
      <c r="R122" s="17"/>
      <c r="S122">
        <f t="shared" si="1"/>
        <v>8.09</v>
      </c>
    </row>
    <row r="123" spans="1:19" x14ac:dyDescent="0.3">
      <c r="A123" s="5">
        <v>122</v>
      </c>
      <c r="B123" s="2">
        <v>1323122</v>
      </c>
      <c r="C123" s="2" t="s">
        <v>131</v>
      </c>
      <c r="D123" s="15" t="s">
        <v>1463</v>
      </c>
      <c r="E123" s="2" t="s">
        <v>1191</v>
      </c>
      <c r="F123" s="26"/>
      <c r="G123" s="26"/>
      <c r="H123" s="2"/>
      <c r="I123" s="2"/>
      <c r="J123" s="16"/>
      <c r="K123" s="16"/>
      <c r="L123" s="2" t="s">
        <v>8</v>
      </c>
      <c r="M123" s="16">
        <v>5.77</v>
      </c>
      <c r="N123" s="16">
        <v>5.91</v>
      </c>
      <c r="O123" s="2"/>
      <c r="P123" s="2"/>
      <c r="Q123" s="16"/>
      <c r="R123" s="17"/>
      <c r="S123">
        <f t="shared" si="1"/>
        <v>5.84</v>
      </c>
    </row>
    <row r="124" spans="1:19" x14ac:dyDescent="0.3">
      <c r="A124" s="5">
        <v>123</v>
      </c>
      <c r="B124" s="2">
        <v>1323123</v>
      </c>
      <c r="C124" s="2" t="s">
        <v>132</v>
      </c>
      <c r="D124" s="15" t="s">
        <v>676</v>
      </c>
      <c r="E124" s="2" t="s">
        <v>1192</v>
      </c>
      <c r="F124" s="26">
        <v>8708579612</v>
      </c>
      <c r="G124" s="26" t="s">
        <v>1797</v>
      </c>
      <c r="H124" s="2" t="s">
        <v>1139</v>
      </c>
      <c r="I124" s="2"/>
      <c r="J124" s="16" t="s">
        <v>1145</v>
      </c>
      <c r="K124" s="16"/>
      <c r="L124" s="2" t="s">
        <v>8</v>
      </c>
      <c r="M124" s="16">
        <v>7.73</v>
      </c>
      <c r="N124" s="16">
        <v>8.82</v>
      </c>
      <c r="O124" s="2">
        <v>8.09</v>
      </c>
      <c r="P124" s="2">
        <v>8.18</v>
      </c>
      <c r="Q124" s="16"/>
      <c r="R124" s="17"/>
      <c r="S124">
        <f t="shared" si="1"/>
        <v>8.2050000000000001</v>
      </c>
    </row>
    <row r="125" spans="1:19" x14ac:dyDescent="0.3">
      <c r="A125" s="5">
        <v>124</v>
      </c>
      <c r="B125" s="2">
        <v>1323124</v>
      </c>
      <c r="C125" s="2" t="s">
        <v>133</v>
      </c>
      <c r="D125" s="15" t="s">
        <v>1464</v>
      </c>
      <c r="E125" s="2" t="s">
        <v>1193</v>
      </c>
      <c r="F125" s="26">
        <v>8860801395</v>
      </c>
      <c r="G125" s="26" t="s">
        <v>1798</v>
      </c>
      <c r="H125" s="2" t="s">
        <v>1139</v>
      </c>
      <c r="I125" s="2"/>
      <c r="J125" s="16" t="s">
        <v>1145</v>
      </c>
      <c r="K125" s="16"/>
      <c r="L125" s="2" t="s">
        <v>8</v>
      </c>
      <c r="M125" s="16">
        <v>8.09</v>
      </c>
      <c r="N125" s="16">
        <v>8.59</v>
      </c>
      <c r="O125" s="2">
        <v>8.5</v>
      </c>
      <c r="P125" s="2">
        <v>8.4499999999999993</v>
      </c>
      <c r="Q125" s="16"/>
      <c r="R125" s="17"/>
      <c r="S125">
        <f t="shared" si="1"/>
        <v>8.4074999999999989</v>
      </c>
    </row>
    <row r="126" spans="1:19" x14ac:dyDescent="0.3">
      <c r="A126" s="5">
        <v>125</v>
      </c>
      <c r="B126" s="2">
        <v>1323125</v>
      </c>
      <c r="C126" s="2" t="s">
        <v>134</v>
      </c>
      <c r="D126" s="15" t="s">
        <v>677</v>
      </c>
      <c r="E126" s="2" t="s">
        <v>1194</v>
      </c>
      <c r="F126" s="26">
        <v>9588706474</v>
      </c>
      <c r="G126" s="26" t="s">
        <v>1799</v>
      </c>
      <c r="H126" s="2" t="s">
        <v>1139</v>
      </c>
      <c r="I126" s="2"/>
      <c r="J126" s="16" t="s">
        <v>8</v>
      </c>
      <c r="K126" s="16"/>
      <c r="L126" s="2" t="s">
        <v>8</v>
      </c>
      <c r="M126" s="16" t="s">
        <v>958</v>
      </c>
      <c r="N126" s="16" t="s">
        <v>958</v>
      </c>
      <c r="O126" s="2" t="s">
        <v>958</v>
      </c>
      <c r="P126" s="2" t="s">
        <v>958</v>
      </c>
      <c r="Q126" s="16"/>
      <c r="R126" s="17"/>
      <c r="S126" t="e">
        <f t="shared" si="1"/>
        <v>#DIV/0!</v>
      </c>
    </row>
    <row r="127" spans="1:19" x14ac:dyDescent="0.3">
      <c r="A127" s="5">
        <v>126</v>
      </c>
      <c r="B127" s="2">
        <v>1323126</v>
      </c>
      <c r="C127" s="2" t="s">
        <v>135</v>
      </c>
      <c r="D127" s="15" t="s">
        <v>1465</v>
      </c>
      <c r="E127" s="2" t="s">
        <v>964</v>
      </c>
      <c r="F127" s="26">
        <v>7206667117</v>
      </c>
      <c r="G127" s="26" t="s">
        <v>1800</v>
      </c>
      <c r="H127" s="2" t="s">
        <v>1139</v>
      </c>
      <c r="I127" s="2"/>
      <c r="J127" s="16" t="s">
        <v>8</v>
      </c>
      <c r="K127" s="16"/>
      <c r="L127" s="2" t="s">
        <v>8</v>
      </c>
      <c r="M127" s="16" t="s">
        <v>958</v>
      </c>
      <c r="N127" s="16" t="s">
        <v>953</v>
      </c>
      <c r="O127" s="2" t="s">
        <v>2222</v>
      </c>
      <c r="P127" s="2" t="s">
        <v>954</v>
      </c>
      <c r="Q127" s="16"/>
      <c r="R127" s="17"/>
      <c r="S127" t="e">
        <f t="shared" si="1"/>
        <v>#DIV/0!</v>
      </c>
    </row>
    <row r="128" spans="1:19" x14ac:dyDescent="0.3">
      <c r="A128" s="5">
        <v>127</v>
      </c>
      <c r="B128" s="2">
        <v>1323127</v>
      </c>
      <c r="C128" s="2" t="s">
        <v>136</v>
      </c>
      <c r="D128" s="15" t="s">
        <v>625</v>
      </c>
      <c r="E128" s="2" t="s">
        <v>1195</v>
      </c>
      <c r="F128" s="26">
        <v>7404564065</v>
      </c>
      <c r="G128" s="26" t="s">
        <v>1801</v>
      </c>
      <c r="H128" s="2" t="s">
        <v>1139</v>
      </c>
      <c r="I128" s="2"/>
      <c r="J128" s="16" t="s">
        <v>1146</v>
      </c>
      <c r="K128" s="16"/>
      <c r="L128" s="2" t="s">
        <v>8</v>
      </c>
      <c r="M128" s="16">
        <v>6.07</v>
      </c>
      <c r="N128" s="16" t="s">
        <v>1664</v>
      </c>
      <c r="O128" s="2" t="s">
        <v>2218</v>
      </c>
      <c r="P128" s="2">
        <v>5.68</v>
      </c>
      <c r="Q128" s="16"/>
      <c r="R128" s="17"/>
      <c r="S128">
        <f t="shared" si="1"/>
        <v>5.875</v>
      </c>
    </row>
    <row r="129" spans="1:19" x14ac:dyDescent="0.3">
      <c r="A129" s="5">
        <v>128</v>
      </c>
      <c r="B129" s="2">
        <v>1323128</v>
      </c>
      <c r="C129" s="2" t="s">
        <v>137</v>
      </c>
      <c r="D129" s="15" t="s">
        <v>678</v>
      </c>
      <c r="E129" s="2" t="s">
        <v>1097</v>
      </c>
      <c r="F129" s="26">
        <v>7900014583</v>
      </c>
      <c r="G129" s="26" t="s">
        <v>1802</v>
      </c>
      <c r="H129" s="2" t="s">
        <v>1139</v>
      </c>
      <c r="I129" s="2"/>
      <c r="J129" s="16" t="s">
        <v>8</v>
      </c>
      <c r="K129" s="16"/>
      <c r="L129" s="2" t="s">
        <v>8</v>
      </c>
      <c r="M129" s="16">
        <v>6.73</v>
      </c>
      <c r="N129" s="16">
        <v>5.98</v>
      </c>
      <c r="O129" s="2">
        <v>6.23</v>
      </c>
      <c r="P129" s="2">
        <v>5.98</v>
      </c>
      <c r="Q129" s="16"/>
      <c r="R129" s="17"/>
      <c r="S129">
        <f t="shared" si="1"/>
        <v>6.23</v>
      </c>
    </row>
    <row r="130" spans="1:19" x14ac:dyDescent="0.3">
      <c r="A130" s="5">
        <v>129</v>
      </c>
      <c r="B130" s="2">
        <v>1323129</v>
      </c>
      <c r="C130" s="2" t="s">
        <v>138</v>
      </c>
      <c r="D130" s="15" t="s">
        <v>1466</v>
      </c>
      <c r="E130" s="2" t="s">
        <v>1196</v>
      </c>
      <c r="F130" s="26"/>
      <c r="G130" s="26"/>
      <c r="H130" s="2"/>
      <c r="I130" s="2"/>
      <c r="J130" s="16"/>
      <c r="K130" s="16"/>
      <c r="L130" s="2"/>
      <c r="M130" s="16" t="s">
        <v>958</v>
      </c>
      <c r="N130" s="16"/>
      <c r="O130" s="2"/>
      <c r="P130" s="2"/>
      <c r="Q130" s="16"/>
      <c r="R130" s="17"/>
      <c r="S130" t="e">
        <f t="shared" ref="S130:S193" si="2">AVERAGE(M130:P130)</f>
        <v>#DIV/0!</v>
      </c>
    </row>
    <row r="131" spans="1:19" x14ac:dyDescent="0.3">
      <c r="A131" s="5">
        <v>130</v>
      </c>
      <c r="B131" s="2">
        <v>1323130</v>
      </c>
      <c r="C131" s="2" t="s">
        <v>139</v>
      </c>
      <c r="D131" s="15" t="s">
        <v>679</v>
      </c>
      <c r="E131" s="2" t="s">
        <v>1082</v>
      </c>
      <c r="F131" s="26">
        <v>8295770509</v>
      </c>
      <c r="G131" s="26" t="s">
        <v>1803</v>
      </c>
      <c r="H131" s="2" t="s">
        <v>1139</v>
      </c>
      <c r="I131" s="2"/>
      <c r="J131" s="16" t="s">
        <v>8</v>
      </c>
      <c r="K131" s="16"/>
      <c r="L131" s="2" t="s">
        <v>8</v>
      </c>
      <c r="M131" s="16">
        <v>9.0500000000000007</v>
      </c>
      <c r="N131" s="16">
        <v>9.18</v>
      </c>
      <c r="O131" s="2">
        <v>9.18</v>
      </c>
      <c r="P131" s="2">
        <v>9</v>
      </c>
      <c r="Q131" s="16"/>
      <c r="R131" s="17"/>
      <c r="S131">
        <f t="shared" si="2"/>
        <v>9.1024999999999991</v>
      </c>
    </row>
    <row r="132" spans="1:19" x14ac:dyDescent="0.3">
      <c r="A132" s="5">
        <v>131</v>
      </c>
      <c r="B132" s="2">
        <v>1323131</v>
      </c>
      <c r="C132" s="2" t="s">
        <v>140</v>
      </c>
      <c r="D132" s="15" t="s">
        <v>680</v>
      </c>
      <c r="E132" s="2" t="s">
        <v>1174</v>
      </c>
      <c r="F132" s="26">
        <v>8572066760</v>
      </c>
      <c r="G132" s="26" t="s">
        <v>1804</v>
      </c>
      <c r="H132" s="2" t="s">
        <v>1139</v>
      </c>
      <c r="I132" s="2"/>
      <c r="J132" s="16" t="s">
        <v>8</v>
      </c>
      <c r="K132" s="16"/>
      <c r="L132" s="2" t="s">
        <v>8</v>
      </c>
      <c r="M132" s="16" t="s">
        <v>1628</v>
      </c>
      <c r="N132" s="16">
        <v>5.95</v>
      </c>
      <c r="O132" s="2">
        <v>6.73</v>
      </c>
      <c r="P132" s="2" t="s">
        <v>2262</v>
      </c>
      <c r="Q132" s="16"/>
      <c r="R132" s="17"/>
      <c r="S132">
        <f t="shared" si="2"/>
        <v>6.34</v>
      </c>
    </row>
    <row r="133" spans="1:19" x14ac:dyDescent="0.3">
      <c r="A133" s="5">
        <v>132</v>
      </c>
      <c r="B133" s="2">
        <v>1323132</v>
      </c>
      <c r="C133" s="2" t="s">
        <v>141</v>
      </c>
      <c r="D133" s="15" t="s">
        <v>681</v>
      </c>
      <c r="E133" s="2" t="s">
        <v>1197</v>
      </c>
      <c r="F133" s="26">
        <v>8813082298</v>
      </c>
      <c r="G133" s="26" t="s">
        <v>1805</v>
      </c>
      <c r="H133" s="2" t="s">
        <v>1139</v>
      </c>
      <c r="I133" s="2"/>
      <c r="J133" s="16" t="s">
        <v>8</v>
      </c>
      <c r="K133" s="16"/>
      <c r="L133" s="2" t="s">
        <v>8</v>
      </c>
      <c r="M133" s="16">
        <v>9.4499999999999993</v>
      </c>
      <c r="N133" s="16">
        <v>9.64</v>
      </c>
      <c r="O133" s="2">
        <v>9.91</v>
      </c>
      <c r="P133" s="2">
        <v>9.09</v>
      </c>
      <c r="Q133" s="16"/>
      <c r="R133" s="17"/>
      <c r="S133">
        <f t="shared" si="2"/>
        <v>9.5225000000000009</v>
      </c>
    </row>
    <row r="134" spans="1:19" x14ac:dyDescent="0.3">
      <c r="A134" s="5">
        <v>133</v>
      </c>
      <c r="B134" s="2">
        <v>1323133</v>
      </c>
      <c r="C134" s="2" t="s">
        <v>142</v>
      </c>
      <c r="D134" s="15" t="s">
        <v>643</v>
      </c>
      <c r="E134" s="2" t="s">
        <v>668</v>
      </c>
      <c r="F134" s="26">
        <v>8930085322</v>
      </c>
      <c r="G134" s="26" t="s">
        <v>1806</v>
      </c>
      <c r="H134" s="2" t="s">
        <v>1139</v>
      </c>
      <c r="I134" s="2"/>
      <c r="J134" s="16" t="s">
        <v>1145</v>
      </c>
      <c r="K134" s="16"/>
      <c r="L134" s="2" t="s">
        <v>8</v>
      </c>
      <c r="M134" s="16">
        <v>8</v>
      </c>
      <c r="N134" s="16">
        <v>8.41</v>
      </c>
      <c r="O134" s="2">
        <v>8.77</v>
      </c>
      <c r="P134" s="2">
        <v>8.4499999999999993</v>
      </c>
      <c r="Q134" s="16"/>
      <c r="R134" s="17"/>
      <c r="S134">
        <f t="shared" si="2"/>
        <v>8.4074999999999989</v>
      </c>
    </row>
    <row r="135" spans="1:19" x14ac:dyDescent="0.3">
      <c r="A135" s="5">
        <v>134</v>
      </c>
      <c r="B135" s="2">
        <v>1323134</v>
      </c>
      <c r="C135" s="2" t="s">
        <v>143</v>
      </c>
      <c r="D135" s="15" t="s">
        <v>682</v>
      </c>
      <c r="E135" s="2" t="s">
        <v>964</v>
      </c>
      <c r="F135" s="26">
        <v>9050823718</v>
      </c>
      <c r="G135" s="26" t="s">
        <v>1807</v>
      </c>
      <c r="H135" s="2" t="s">
        <v>1139</v>
      </c>
      <c r="I135" s="2"/>
      <c r="J135" s="16" t="s">
        <v>8</v>
      </c>
      <c r="K135" s="16"/>
      <c r="L135" s="2" t="s">
        <v>8</v>
      </c>
      <c r="M135" s="16">
        <v>6.41</v>
      </c>
      <c r="N135" s="16">
        <v>6.32</v>
      </c>
      <c r="O135" s="2">
        <v>7.09</v>
      </c>
      <c r="P135" s="2">
        <v>6.43</v>
      </c>
      <c r="Q135" s="16"/>
      <c r="R135" s="17"/>
      <c r="S135">
        <f t="shared" si="2"/>
        <v>6.5625</v>
      </c>
    </row>
    <row r="136" spans="1:19" x14ac:dyDescent="0.3">
      <c r="A136" s="5">
        <v>135</v>
      </c>
      <c r="B136" s="2">
        <v>1323135</v>
      </c>
      <c r="C136" s="2" t="s">
        <v>144</v>
      </c>
      <c r="D136" s="15" t="s">
        <v>683</v>
      </c>
      <c r="E136" s="2" t="s">
        <v>1113</v>
      </c>
      <c r="F136" s="26">
        <v>8168468731</v>
      </c>
      <c r="G136" s="26" t="s">
        <v>1808</v>
      </c>
      <c r="H136" s="2" t="s">
        <v>1139</v>
      </c>
      <c r="I136" s="2"/>
      <c r="J136" s="16" t="s">
        <v>8</v>
      </c>
      <c r="K136" s="16"/>
      <c r="L136" s="2" t="s">
        <v>8</v>
      </c>
      <c r="M136" s="16" t="s">
        <v>1628</v>
      </c>
      <c r="N136" s="16" t="s">
        <v>1678</v>
      </c>
      <c r="O136" s="2">
        <v>7.05</v>
      </c>
      <c r="P136" s="2">
        <v>6.5</v>
      </c>
      <c r="Q136" s="16"/>
      <c r="R136" s="17"/>
      <c r="S136">
        <f t="shared" si="2"/>
        <v>6.7750000000000004</v>
      </c>
    </row>
    <row r="137" spans="1:19" x14ac:dyDescent="0.3">
      <c r="A137" s="5">
        <v>136</v>
      </c>
      <c r="B137" s="2">
        <v>1323136</v>
      </c>
      <c r="C137" s="2" t="s">
        <v>145</v>
      </c>
      <c r="D137" s="15" t="s">
        <v>1467</v>
      </c>
      <c r="E137" s="2" t="s">
        <v>1198</v>
      </c>
      <c r="F137" s="26">
        <v>9317909741</v>
      </c>
      <c r="G137" s="26" t="s">
        <v>1809</v>
      </c>
      <c r="H137" s="2" t="s">
        <v>1139</v>
      </c>
      <c r="I137" s="2"/>
      <c r="J137" s="16" t="s">
        <v>8</v>
      </c>
      <c r="K137" s="16"/>
      <c r="L137" s="2" t="s">
        <v>8</v>
      </c>
      <c r="M137" s="16">
        <v>6.73</v>
      </c>
      <c r="N137" s="16" t="s">
        <v>1677</v>
      </c>
      <c r="O137" s="2">
        <v>7.64</v>
      </c>
      <c r="P137" s="2" t="s">
        <v>2250</v>
      </c>
      <c r="Q137" s="16"/>
      <c r="R137" s="17"/>
      <c r="S137">
        <f t="shared" si="2"/>
        <v>7.1850000000000005</v>
      </c>
    </row>
    <row r="138" spans="1:19" x14ac:dyDescent="0.3">
      <c r="A138" s="5">
        <v>137</v>
      </c>
      <c r="B138" s="2">
        <v>1323137</v>
      </c>
      <c r="C138" s="2" t="s">
        <v>146</v>
      </c>
      <c r="D138" s="15" t="s">
        <v>1468</v>
      </c>
      <c r="E138" s="2" t="s">
        <v>1199</v>
      </c>
      <c r="F138" s="26">
        <v>9350618617</v>
      </c>
      <c r="G138" s="26" t="s">
        <v>1810</v>
      </c>
      <c r="H138" s="2" t="s">
        <v>1139</v>
      </c>
      <c r="I138" s="2"/>
      <c r="J138" s="16"/>
      <c r="K138" s="16"/>
      <c r="L138" s="2" t="s">
        <v>8</v>
      </c>
      <c r="M138" s="16" t="s">
        <v>1629</v>
      </c>
      <c r="N138" s="16" t="s">
        <v>1678</v>
      </c>
      <c r="O138" s="2" t="s">
        <v>2223</v>
      </c>
      <c r="P138" s="2">
        <v>6.09</v>
      </c>
      <c r="Q138" s="16"/>
      <c r="R138" s="17"/>
      <c r="S138">
        <f t="shared" si="2"/>
        <v>6.09</v>
      </c>
    </row>
    <row r="139" spans="1:19" x14ac:dyDescent="0.3">
      <c r="A139" s="5">
        <v>138</v>
      </c>
      <c r="B139" s="2">
        <v>1323138</v>
      </c>
      <c r="C139" s="2" t="s">
        <v>147</v>
      </c>
      <c r="D139" s="15" t="s">
        <v>684</v>
      </c>
      <c r="E139" s="2" t="s">
        <v>1200</v>
      </c>
      <c r="F139" s="26">
        <v>9416682415</v>
      </c>
      <c r="G139" s="26" t="s">
        <v>1811</v>
      </c>
      <c r="H139" s="2" t="s">
        <v>1139</v>
      </c>
      <c r="I139" s="2"/>
      <c r="J139" s="16" t="s">
        <v>8</v>
      </c>
      <c r="K139" s="16"/>
      <c r="L139" s="2" t="s">
        <v>8</v>
      </c>
      <c r="M139" s="16">
        <v>7.59</v>
      </c>
      <c r="N139" s="16">
        <v>7.55</v>
      </c>
      <c r="O139" s="2" t="s">
        <v>953</v>
      </c>
      <c r="P139" s="2">
        <v>7.86</v>
      </c>
      <c r="Q139" s="16"/>
      <c r="R139" s="17"/>
      <c r="S139">
        <f t="shared" si="2"/>
        <v>7.666666666666667</v>
      </c>
    </row>
    <row r="140" spans="1:19" x14ac:dyDescent="0.3">
      <c r="A140" s="5">
        <v>139</v>
      </c>
      <c r="B140" s="2">
        <v>1323139</v>
      </c>
      <c r="C140" s="2" t="s">
        <v>148</v>
      </c>
      <c r="D140" s="18" t="s">
        <v>1469</v>
      </c>
      <c r="E140" s="2" t="s">
        <v>1113</v>
      </c>
      <c r="F140" s="26"/>
      <c r="G140" s="26"/>
      <c r="H140" s="2"/>
      <c r="I140" s="2"/>
      <c r="J140" s="16"/>
      <c r="K140" s="16"/>
      <c r="L140" s="2"/>
      <c r="M140" s="16" t="s">
        <v>1626</v>
      </c>
      <c r="N140" s="16" t="s">
        <v>1680</v>
      </c>
      <c r="O140" s="2"/>
      <c r="P140" s="2"/>
      <c r="Q140" s="16"/>
      <c r="R140" s="17"/>
      <c r="S140" t="e">
        <f t="shared" si="2"/>
        <v>#DIV/0!</v>
      </c>
    </row>
    <row r="141" spans="1:19" x14ac:dyDescent="0.3">
      <c r="A141" s="5">
        <v>140</v>
      </c>
      <c r="B141" s="2">
        <v>1323140</v>
      </c>
      <c r="C141" s="2" t="s">
        <v>149</v>
      </c>
      <c r="D141" s="15" t="s">
        <v>1470</v>
      </c>
      <c r="E141" s="2" t="s">
        <v>1201</v>
      </c>
      <c r="F141" s="26">
        <v>9813072199</v>
      </c>
      <c r="G141" s="26" t="s">
        <v>1812</v>
      </c>
      <c r="H141" s="2" t="s">
        <v>1139</v>
      </c>
      <c r="I141" s="2"/>
      <c r="J141" s="16" t="s">
        <v>1146</v>
      </c>
      <c r="K141" s="16"/>
      <c r="L141" s="2" t="s">
        <v>8</v>
      </c>
      <c r="M141" s="16">
        <v>6.45</v>
      </c>
      <c r="N141" s="16">
        <v>7.02</v>
      </c>
      <c r="O141" s="2">
        <v>7.36</v>
      </c>
      <c r="P141" s="2">
        <v>7.02</v>
      </c>
      <c r="Q141" s="16"/>
      <c r="R141" s="17"/>
      <c r="S141">
        <f t="shared" si="2"/>
        <v>6.9624999999999995</v>
      </c>
    </row>
    <row r="142" spans="1:19" x14ac:dyDescent="0.3">
      <c r="A142" s="5">
        <v>141</v>
      </c>
      <c r="B142" s="2">
        <v>1323141</v>
      </c>
      <c r="C142" s="2" t="s">
        <v>150</v>
      </c>
      <c r="D142" s="15" t="s">
        <v>685</v>
      </c>
      <c r="E142" s="2" t="s">
        <v>1038</v>
      </c>
      <c r="F142" s="26">
        <v>9818959320</v>
      </c>
      <c r="G142" s="26" t="s">
        <v>1813</v>
      </c>
      <c r="H142" s="2" t="s">
        <v>1139</v>
      </c>
      <c r="I142" s="2"/>
      <c r="J142" s="16" t="s">
        <v>1146</v>
      </c>
      <c r="K142" s="16"/>
      <c r="L142" s="2" t="s">
        <v>8</v>
      </c>
      <c r="M142" s="16">
        <v>5.48</v>
      </c>
      <c r="N142" s="16">
        <v>6.55</v>
      </c>
      <c r="O142" s="2" t="s">
        <v>2221</v>
      </c>
      <c r="P142" s="2" t="s">
        <v>2250</v>
      </c>
      <c r="Q142" s="16"/>
      <c r="R142" s="17"/>
      <c r="S142">
        <f t="shared" si="2"/>
        <v>6.0150000000000006</v>
      </c>
    </row>
    <row r="143" spans="1:19" x14ac:dyDescent="0.3">
      <c r="A143" s="5">
        <v>142</v>
      </c>
      <c r="B143" s="2">
        <v>1323142</v>
      </c>
      <c r="C143" s="2" t="s">
        <v>151</v>
      </c>
      <c r="D143" s="15" t="s">
        <v>686</v>
      </c>
      <c r="E143" s="2" t="s">
        <v>1202</v>
      </c>
      <c r="F143" s="26">
        <v>9896535013</v>
      </c>
      <c r="G143" s="26" t="s">
        <v>1814</v>
      </c>
      <c r="H143" s="2" t="s">
        <v>1139</v>
      </c>
      <c r="I143" s="2"/>
      <c r="J143" s="16" t="s">
        <v>1146</v>
      </c>
      <c r="K143" s="16"/>
      <c r="L143" s="2" t="s">
        <v>8</v>
      </c>
      <c r="M143" s="16">
        <v>8.77</v>
      </c>
      <c r="N143" s="16">
        <v>9.0500000000000007</v>
      </c>
      <c r="O143" s="2">
        <v>9.0500000000000007</v>
      </c>
      <c r="P143" s="2">
        <v>8.73</v>
      </c>
      <c r="Q143" s="16"/>
      <c r="R143" s="17"/>
      <c r="S143">
        <f t="shared" si="2"/>
        <v>8.9</v>
      </c>
    </row>
    <row r="144" spans="1:19" x14ac:dyDescent="0.3">
      <c r="A144" s="5">
        <v>143</v>
      </c>
      <c r="B144" s="2">
        <v>1323143</v>
      </c>
      <c r="C144" s="2" t="s">
        <v>152</v>
      </c>
      <c r="D144" s="15" t="s">
        <v>687</v>
      </c>
      <c r="E144" s="2" t="s">
        <v>1203</v>
      </c>
      <c r="F144" s="26">
        <v>8278112112</v>
      </c>
      <c r="G144" s="26" t="s">
        <v>1815</v>
      </c>
      <c r="H144" s="2" t="s">
        <v>1139</v>
      </c>
      <c r="I144" s="2"/>
      <c r="J144" s="16" t="s">
        <v>1145</v>
      </c>
      <c r="K144" s="16"/>
      <c r="L144" s="2" t="s">
        <v>8</v>
      </c>
      <c r="M144" s="16">
        <v>8.36</v>
      </c>
      <c r="N144" s="16">
        <v>8.77</v>
      </c>
      <c r="O144" s="2">
        <v>9.0500000000000007</v>
      </c>
      <c r="P144" s="2">
        <v>9.09</v>
      </c>
      <c r="Q144" s="16"/>
      <c r="R144" s="17"/>
      <c r="S144">
        <f t="shared" si="2"/>
        <v>8.817499999999999</v>
      </c>
    </row>
    <row r="145" spans="1:19" x14ac:dyDescent="0.3">
      <c r="A145" s="5">
        <v>144</v>
      </c>
      <c r="B145" s="2">
        <v>1323144</v>
      </c>
      <c r="C145" s="2" t="s">
        <v>153</v>
      </c>
      <c r="D145" s="15" t="s">
        <v>688</v>
      </c>
      <c r="E145" s="2" t="s">
        <v>1204</v>
      </c>
      <c r="F145" s="26">
        <v>8307452896</v>
      </c>
      <c r="G145" s="26" t="s">
        <v>1816</v>
      </c>
      <c r="H145" s="2" t="s">
        <v>1139</v>
      </c>
      <c r="I145" s="2"/>
      <c r="J145" s="16" t="s">
        <v>1146</v>
      </c>
      <c r="K145" s="16"/>
      <c r="L145" s="2" t="s">
        <v>8</v>
      </c>
      <c r="M145" s="16">
        <v>6.5</v>
      </c>
      <c r="N145" s="16">
        <v>8.09</v>
      </c>
      <c r="O145" s="2">
        <v>7.95</v>
      </c>
      <c r="P145" s="2">
        <v>8.09</v>
      </c>
      <c r="Q145" s="16"/>
      <c r="R145" s="17"/>
      <c r="S145">
        <f t="shared" si="2"/>
        <v>7.6574999999999998</v>
      </c>
    </row>
    <row r="146" spans="1:19" x14ac:dyDescent="0.3">
      <c r="A146" s="5">
        <v>145</v>
      </c>
      <c r="B146" s="2">
        <v>1323145</v>
      </c>
      <c r="C146" s="2" t="s">
        <v>154</v>
      </c>
      <c r="D146" s="15" t="s">
        <v>1471</v>
      </c>
      <c r="E146" s="2" t="s">
        <v>1090</v>
      </c>
      <c r="F146" s="26">
        <v>9053609211</v>
      </c>
      <c r="G146" s="26" t="s">
        <v>1817</v>
      </c>
      <c r="H146" s="2" t="s">
        <v>1139</v>
      </c>
      <c r="I146" s="2"/>
      <c r="J146" s="16" t="s">
        <v>8</v>
      </c>
      <c r="K146" s="16"/>
      <c r="L146" s="2" t="s">
        <v>8</v>
      </c>
      <c r="M146" s="16">
        <v>7.02</v>
      </c>
      <c r="N146" s="16">
        <v>6.95</v>
      </c>
      <c r="O146" s="2">
        <v>7.77</v>
      </c>
      <c r="P146" s="2">
        <v>7.91</v>
      </c>
      <c r="Q146" s="16"/>
      <c r="R146" s="17"/>
      <c r="S146">
        <f t="shared" si="2"/>
        <v>7.4124999999999996</v>
      </c>
    </row>
    <row r="147" spans="1:19" x14ac:dyDescent="0.3">
      <c r="A147" s="5">
        <v>146</v>
      </c>
      <c r="B147" s="2">
        <v>1323146</v>
      </c>
      <c r="C147" s="2" t="s">
        <v>155</v>
      </c>
      <c r="D147" s="15" t="s">
        <v>1472</v>
      </c>
      <c r="E147" s="2" t="s">
        <v>1205</v>
      </c>
      <c r="F147" s="26">
        <v>9034642504</v>
      </c>
      <c r="G147" s="26" t="s">
        <v>1818</v>
      </c>
      <c r="H147" s="2" t="s">
        <v>1139</v>
      </c>
      <c r="I147" s="2"/>
      <c r="J147" s="16" t="s">
        <v>8</v>
      </c>
      <c r="K147" s="16"/>
      <c r="L147" s="2" t="s">
        <v>8</v>
      </c>
      <c r="M147" s="16">
        <v>7.16</v>
      </c>
      <c r="N147" s="16">
        <v>7.23</v>
      </c>
      <c r="O147" s="2" t="s">
        <v>2224</v>
      </c>
      <c r="P147" s="2">
        <v>7.18</v>
      </c>
      <c r="Q147" s="16"/>
      <c r="R147" s="17"/>
      <c r="S147">
        <f t="shared" si="2"/>
        <v>7.19</v>
      </c>
    </row>
    <row r="148" spans="1:19" x14ac:dyDescent="0.3">
      <c r="A148" s="5">
        <v>147</v>
      </c>
      <c r="B148" s="2">
        <v>1323147</v>
      </c>
      <c r="C148" s="2" t="s">
        <v>156</v>
      </c>
      <c r="D148" s="15" t="s">
        <v>629</v>
      </c>
      <c r="E148" s="2" t="s">
        <v>1206</v>
      </c>
      <c r="F148" s="26">
        <v>9817757835</v>
      </c>
      <c r="G148" s="26" t="s">
        <v>1819</v>
      </c>
      <c r="H148" s="2" t="s">
        <v>1139</v>
      </c>
      <c r="I148" s="2"/>
      <c r="J148" s="16" t="s">
        <v>8</v>
      </c>
      <c r="K148" s="16"/>
      <c r="L148" s="2" t="s">
        <v>8</v>
      </c>
      <c r="M148" s="16">
        <v>8.5500000000000007</v>
      </c>
      <c r="N148" s="16">
        <v>8.82</v>
      </c>
      <c r="O148" s="2">
        <v>8.5500000000000007</v>
      </c>
      <c r="P148" s="2">
        <v>8.59</v>
      </c>
      <c r="Q148" s="16"/>
      <c r="R148" s="17"/>
      <c r="S148">
        <f t="shared" si="2"/>
        <v>8.6275000000000013</v>
      </c>
    </row>
    <row r="149" spans="1:19" x14ac:dyDescent="0.3">
      <c r="A149" s="5">
        <v>148</v>
      </c>
      <c r="B149" s="2">
        <v>1323148</v>
      </c>
      <c r="C149" s="2" t="s">
        <v>157</v>
      </c>
      <c r="D149" s="15" t="s">
        <v>689</v>
      </c>
      <c r="E149" s="2" t="s">
        <v>1207</v>
      </c>
      <c r="F149" s="26">
        <v>7027038933</v>
      </c>
      <c r="G149" s="26" t="s">
        <v>1820</v>
      </c>
      <c r="H149" s="2" t="s">
        <v>1139</v>
      </c>
      <c r="I149" s="2"/>
      <c r="J149" s="16" t="s">
        <v>8</v>
      </c>
      <c r="K149" s="16"/>
      <c r="L149" s="2" t="s">
        <v>8</v>
      </c>
      <c r="M149" s="16">
        <v>6.73</v>
      </c>
      <c r="N149" s="16">
        <v>6.64</v>
      </c>
      <c r="O149" s="2">
        <v>6.57</v>
      </c>
      <c r="P149" s="2" t="s">
        <v>2263</v>
      </c>
      <c r="Q149" s="16"/>
      <c r="R149" s="17"/>
      <c r="S149">
        <f t="shared" si="2"/>
        <v>6.6466666666666674</v>
      </c>
    </row>
    <row r="150" spans="1:19" x14ac:dyDescent="0.3">
      <c r="A150" s="5">
        <v>149</v>
      </c>
      <c r="B150" s="2">
        <v>1323149</v>
      </c>
      <c r="C150" s="2" t="s">
        <v>158</v>
      </c>
      <c r="D150" s="15" t="s">
        <v>672</v>
      </c>
      <c r="E150" s="2" t="s">
        <v>1124</v>
      </c>
      <c r="F150" s="26">
        <v>9306644522</v>
      </c>
      <c r="G150" s="26" t="s">
        <v>1821</v>
      </c>
      <c r="H150" s="2" t="s">
        <v>1139</v>
      </c>
      <c r="I150" s="2"/>
      <c r="J150" s="16" t="s">
        <v>8</v>
      </c>
      <c r="K150" s="16"/>
      <c r="L150" s="2" t="s">
        <v>8</v>
      </c>
      <c r="M150" s="16">
        <v>6.45</v>
      </c>
      <c r="N150" s="16" t="s">
        <v>1678</v>
      </c>
      <c r="O150" s="2" t="s">
        <v>953</v>
      </c>
      <c r="P150" s="2">
        <v>6.02</v>
      </c>
      <c r="Q150" s="16"/>
      <c r="R150" s="17"/>
      <c r="S150">
        <f t="shared" si="2"/>
        <v>6.2349999999999994</v>
      </c>
    </row>
    <row r="151" spans="1:19" x14ac:dyDescent="0.3">
      <c r="A151" s="5">
        <v>150</v>
      </c>
      <c r="B151" s="2">
        <v>1323150</v>
      </c>
      <c r="C151" s="2" t="s">
        <v>159</v>
      </c>
      <c r="D151" s="15" t="s">
        <v>690</v>
      </c>
      <c r="E151" s="2" t="s">
        <v>1208</v>
      </c>
      <c r="F151" s="26">
        <v>7082658280</v>
      </c>
      <c r="G151" s="26" t="s">
        <v>1822</v>
      </c>
      <c r="H151" s="2" t="s">
        <v>1139</v>
      </c>
      <c r="I151" s="2"/>
      <c r="J151" s="16"/>
      <c r="K151" s="16"/>
      <c r="L151" s="2" t="s">
        <v>8</v>
      </c>
      <c r="M151" s="16" t="s">
        <v>958</v>
      </c>
      <c r="N151" s="16" t="s">
        <v>953</v>
      </c>
      <c r="O151" s="2" t="s">
        <v>953</v>
      </c>
      <c r="P151" s="2" t="s">
        <v>954</v>
      </c>
      <c r="Q151" s="16"/>
      <c r="R151" s="17"/>
      <c r="S151" t="e">
        <f t="shared" si="2"/>
        <v>#DIV/0!</v>
      </c>
    </row>
    <row r="152" spans="1:19" x14ac:dyDescent="0.3">
      <c r="A152" s="5">
        <v>151</v>
      </c>
      <c r="B152" s="2">
        <v>1323151</v>
      </c>
      <c r="C152" s="2" t="s">
        <v>160</v>
      </c>
      <c r="D152" s="15" t="s">
        <v>1473</v>
      </c>
      <c r="E152" s="2" t="s">
        <v>1192</v>
      </c>
      <c r="F152" s="26">
        <v>7082722013</v>
      </c>
      <c r="G152" s="26" t="s">
        <v>1823</v>
      </c>
      <c r="H152" s="2" t="s">
        <v>1139</v>
      </c>
      <c r="I152" s="2"/>
      <c r="J152" s="16" t="s">
        <v>8</v>
      </c>
      <c r="K152" s="16"/>
      <c r="L152" s="2" t="s">
        <v>8</v>
      </c>
      <c r="M152" s="16">
        <v>6.68</v>
      </c>
      <c r="N152" s="16">
        <v>7.36</v>
      </c>
      <c r="O152" s="2">
        <v>6.27</v>
      </c>
      <c r="P152" s="2">
        <v>6.7</v>
      </c>
      <c r="Q152" s="16"/>
      <c r="R152" s="17"/>
      <c r="S152">
        <f t="shared" si="2"/>
        <v>6.7524999999999995</v>
      </c>
    </row>
    <row r="153" spans="1:19" x14ac:dyDescent="0.3">
      <c r="A153" s="5">
        <v>152</v>
      </c>
      <c r="B153" s="2">
        <v>1323152</v>
      </c>
      <c r="C153" s="2" t="s">
        <v>161</v>
      </c>
      <c r="D153" s="15" t="s">
        <v>691</v>
      </c>
      <c r="E153" s="2" t="s">
        <v>1209</v>
      </c>
      <c r="F153" s="26">
        <v>6398878216</v>
      </c>
      <c r="G153" s="26" t="s">
        <v>1824</v>
      </c>
      <c r="H153" s="2" t="s">
        <v>1139</v>
      </c>
      <c r="I153" s="2"/>
      <c r="J153" s="16" t="s">
        <v>1146</v>
      </c>
      <c r="K153" s="16"/>
      <c r="L153" s="2" t="s">
        <v>8</v>
      </c>
      <c r="M153" s="16">
        <v>8.4499999999999993</v>
      </c>
      <c r="N153" s="16">
        <v>8.5</v>
      </c>
      <c r="O153" s="2">
        <v>8.41</v>
      </c>
      <c r="P153" s="2">
        <v>8.82</v>
      </c>
      <c r="Q153" s="16"/>
      <c r="R153" s="17"/>
      <c r="S153">
        <f t="shared" si="2"/>
        <v>8.5449999999999999</v>
      </c>
    </row>
    <row r="154" spans="1:19" x14ac:dyDescent="0.3">
      <c r="A154" s="5">
        <v>153</v>
      </c>
      <c r="B154" s="2">
        <v>1323153</v>
      </c>
      <c r="C154" s="2" t="s">
        <v>162</v>
      </c>
      <c r="D154" s="18" t="s">
        <v>1474</v>
      </c>
      <c r="E154" s="2" t="s">
        <v>1210</v>
      </c>
      <c r="F154" s="26"/>
      <c r="G154" s="26"/>
      <c r="H154" s="2"/>
      <c r="I154" s="2"/>
      <c r="J154" s="16"/>
      <c r="K154" s="16"/>
      <c r="L154" s="2"/>
      <c r="M154" s="16">
        <v>9.14</v>
      </c>
      <c r="N154" s="16" t="s">
        <v>1663</v>
      </c>
      <c r="O154" s="2"/>
      <c r="P154" s="2"/>
      <c r="Q154" s="16"/>
      <c r="R154" s="17"/>
      <c r="S154">
        <f t="shared" si="2"/>
        <v>9.14</v>
      </c>
    </row>
    <row r="155" spans="1:19" x14ac:dyDescent="0.3">
      <c r="A155" s="5">
        <v>154</v>
      </c>
      <c r="B155" s="2">
        <v>1323154</v>
      </c>
      <c r="C155" s="2" t="s">
        <v>163</v>
      </c>
      <c r="D155" s="15" t="s">
        <v>692</v>
      </c>
      <c r="E155" s="2" t="s">
        <v>1211</v>
      </c>
      <c r="F155" s="26">
        <v>8570914248</v>
      </c>
      <c r="G155" s="26" t="s">
        <v>1825</v>
      </c>
      <c r="H155" s="2" t="s">
        <v>1139</v>
      </c>
      <c r="I155" s="2"/>
      <c r="J155" s="16" t="s">
        <v>1146</v>
      </c>
      <c r="K155" s="16"/>
      <c r="L155" s="2" t="s">
        <v>8</v>
      </c>
      <c r="M155" s="16">
        <v>6.41</v>
      </c>
      <c r="N155" s="16">
        <v>6.82</v>
      </c>
      <c r="O155" s="2">
        <v>7.09</v>
      </c>
      <c r="P155" s="2">
        <v>6.23</v>
      </c>
      <c r="Q155" s="16"/>
      <c r="R155" s="17"/>
      <c r="S155">
        <f t="shared" si="2"/>
        <v>6.6375000000000002</v>
      </c>
    </row>
    <row r="156" spans="1:19" x14ac:dyDescent="0.3">
      <c r="A156" s="5">
        <v>155</v>
      </c>
      <c r="B156" s="2">
        <v>1323155</v>
      </c>
      <c r="C156" s="2" t="s">
        <v>164</v>
      </c>
      <c r="D156" s="15" t="s">
        <v>1475</v>
      </c>
      <c r="E156" s="2" t="s">
        <v>1212</v>
      </c>
      <c r="F156" s="26">
        <v>9050633210</v>
      </c>
      <c r="G156" s="26" t="s">
        <v>1826</v>
      </c>
      <c r="H156" s="2" t="s">
        <v>1139</v>
      </c>
      <c r="I156" s="2"/>
      <c r="J156" s="16" t="s">
        <v>1146</v>
      </c>
      <c r="K156" s="16"/>
      <c r="L156" s="2" t="s">
        <v>8</v>
      </c>
      <c r="M156" s="16">
        <v>6.7</v>
      </c>
      <c r="N156" s="16">
        <v>7.45</v>
      </c>
      <c r="O156" s="2" t="s">
        <v>2208</v>
      </c>
      <c r="P156" s="2" t="s">
        <v>2250</v>
      </c>
      <c r="Q156" s="16"/>
      <c r="R156" s="17"/>
      <c r="S156">
        <f t="shared" si="2"/>
        <v>7.0750000000000002</v>
      </c>
    </row>
    <row r="157" spans="1:19" x14ac:dyDescent="0.3">
      <c r="A157" s="5">
        <v>156</v>
      </c>
      <c r="B157" s="2">
        <v>1323156</v>
      </c>
      <c r="C157" s="2" t="s">
        <v>165</v>
      </c>
      <c r="D157" s="15" t="s">
        <v>641</v>
      </c>
      <c r="E157" s="2" t="s">
        <v>1213</v>
      </c>
      <c r="F157" s="26">
        <v>9306125455</v>
      </c>
      <c r="G157" s="26" t="s">
        <v>1827</v>
      </c>
      <c r="H157" s="2" t="s">
        <v>1139</v>
      </c>
      <c r="I157" s="2"/>
      <c r="J157" s="16" t="s">
        <v>8</v>
      </c>
      <c r="K157" s="16"/>
      <c r="L157" s="2" t="s">
        <v>8</v>
      </c>
      <c r="M157" s="16">
        <v>6.16</v>
      </c>
      <c r="N157" s="16">
        <v>6.5</v>
      </c>
      <c r="O157" s="2" t="s">
        <v>953</v>
      </c>
      <c r="P157" s="2" t="s">
        <v>2264</v>
      </c>
      <c r="Q157" s="16"/>
      <c r="R157" s="17"/>
      <c r="S157">
        <f t="shared" si="2"/>
        <v>6.33</v>
      </c>
    </row>
    <row r="158" spans="1:19" x14ac:dyDescent="0.3">
      <c r="A158" s="5">
        <v>157</v>
      </c>
      <c r="B158" s="2">
        <v>1323157</v>
      </c>
      <c r="C158" s="2" t="s">
        <v>166</v>
      </c>
      <c r="D158" s="15" t="s">
        <v>1476</v>
      </c>
      <c r="E158" s="2" t="s">
        <v>1214</v>
      </c>
      <c r="F158" s="26">
        <v>9992851877</v>
      </c>
      <c r="G158" s="26" t="s">
        <v>1828</v>
      </c>
      <c r="H158" s="2" t="s">
        <v>1139</v>
      </c>
      <c r="I158" s="2"/>
      <c r="J158" s="16" t="s">
        <v>8</v>
      </c>
      <c r="K158" s="16"/>
      <c r="L158" s="2" t="s">
        <v>8</v>
      </c>
      <c r="M158" s="16">
        <v>8.5500000000000007</v>
      </c>
      <c r="N158" s="16">
        <v>9.27</v>
      </c>
      <c r="O158" s="2">
        <v>8.86</v>
      </c>
      <c r="P158" s="2">
        <v>8.68</v>
      </c>
      <c r="Q158" s="16"/>
      <c r="R158" s="17"/>
      <c r="S158">
        <f t="shared" si="2"/>
        <v>8.84</v>
      </c>
    </row>
    <row r="159" spans="1:19" x14ac:dyDescent="0.3">
      <c r="A159" s="5">
        <v>158</v>
      </c>
      <c r="B159" s="2">
        <v>1323158</v>
      </c>
      <c r="C159" s="2" t="s">
        <v>167</v>
      </c>
      <c r="D159" s="15" t="s">
        <v>1477</v>
      </c>
      <c r="E159" s="2" t="s">
        <v>1215</v>
      </c>
      <c r="F159" s="26">
        <v>7082562639</v>
      </c>
      <c r="G159" s="26" t="s">
        <v>1829</v>
      </c>
      <c r="H159" s="2" t="s">
        <v>1139</v>
      </c>
      <c r="I159" s="2"/>
      <c r="J159" s="16" t="s">
        <v>1145</v>
      </c>
      <c r="K159" s="16"/>
      <c r="L159" s="2" t="s">
        <v>8</v>
      </c>
      <c r="M159" s="16">
        <v>7.77</v>
      </c>
      <c r="N159" s="16">
        <v>7.68</v>
      </c>
      <c r="O159" s="2">
        <v>8.14</v>
      </c>
      <c r="P159" s="2">
        <v>8.5</v>
      </c>
      <c r="Q159" s="16"/>
      <c r="R159" s="17"/>
      <c r="S159">
        <f t="shared" si="2"/>
        <v>8.0225000000000009</v>
      </c>
    </row>
    <row r="160" spans="1:19" x14ac:dyDescent="0.3">
      <c r="A160" s="5">
        <v>159</v>
      </c>
      <c r="B160" s="2">
        <v>1323159</v>
      </c>
      <c r="C160" s="2" t="s">
        <v>168</v>
      </c>
      <c r="D160" s="15" t="s">
        <v>693</v>
      </c>
      <c r="E160" s="2" t="s">
        <v>1216</v>
      </c>
      <c r="F160" s="26">
        <v>8222829961</v>
      </c>
      <c r="G160" s="26" t="s">
        <v>1830</v>
      </c>
      <c r="H160" s="2" t="s">
        <v>1139</v>
      </c>
      <c r="I160" s="2"/>
      <c r="J160" s="16" t="s">
        <v>8</v>
      </c>
      <c r="K160" s="16"/>
      <c r="L160" s="2" t="s">
        <v>8</v>
      </c>
      <c r="M160" s="16">
        <v>5.98</v>
      </c>
      <c r="N160" s="16">
        <v>6.39</v>
      </c>
      <c r="O160" s="2" t="s">
        <v>953</v>
      </c>
      <c r="P160" s="2" t="s">
        <v>2265</v>
      </c>
      <c r="Q160" s="16"/>
      <c r="R160" s="17"/>
      <c r="S160">
        <f t="shared" si="2"/>
        <v>6.1850000000000005</v>
      </c>
    </row>
    <row r="161" spans="1:19" x14ac:dyDescent="0.3">
      <c r="A161" s="5">
        <v>160</v>
      </c>
      <c r="B161" s="2">
        <v>1323160</v>
      </c>
      <c r="C161" s="2" t="s">
        <v>169</v>
      </c>
      <c r="D161" s="15" t="s">
        <v>694</v>
      </c>
      <c r="E161" s="2" t="s">
        <v>1217</v>
      </c>
      <c r="F161" s="26">
        <v>7404808033</v>
      </c>
      <c r="G161" s="26" t="s">
        <v>1831</v>
      </c>
      <c r="H161" s="2" t="s">
        <v>1139</v>
      </c>
      <c r="I161" s="2"/>
      <c r="J161" s="16" t="s">
        <v>1145</v>
      </c>
      <c r="K161" s="16"/>
      <c r="L161" s="2" t="s">
        <v>8</v>
      </c>
      <c r="M161" s="16">
        <v>6.41</v>
      </c>
      <c r="N161" s="16">
        <v>6.73</v>
      </c>
      <c r="O161" s="2">
        <v>7.14</v>
      </c>
      <c r="P161" s="2">
        <v>6.91</v>
      </c>
      <c r="Q161" s="16"/>
      <c r="R161" s="17"/>
      <c r="S161">
        <f t="shared" si="2"/>
        <v>6.7975000000000003</v>
      </c>
    </row>
    <row r="162" spans="1:19" x14ac:dyDescent="0.3">
      <c r="A162" s="5">
        <v>161</v>
      </c>
      <c r="B162" s="2">
        <v>1323161</v>
      </c>
      <c r="C162" s="2" t="s">
        <v>170</v>
      </c>
      <c r="D162" s="15" t="s">
        <v>695</v>
      </c>
      <c r="E162" s="2" t="s">
        <v>1218</v>
      </c>
      <c r="F162" s="26">
        <v>6204996033</v>
      </c>
      <c r="G162" s="26" t="s">
        <v>1832</v>
      </c>
      <c r="H162" s="2" t="s">
        <v>1140</v>
      </c>
      <c r="I162" s="2"/>
      <c r="J162" s="16" t="s">
        <v>1146</v>
      </c>
      <c r="K162" s="16"/>
      <c r="L162" s="2" t="s">
        <v>926</v>
      </c>
      <c r="M162" s="16">
        <v>6.89</v>
      </c>
      <c r="N162" s="16">
        <v>7.5</v>
      </c>
      <c r="O162" s="2">
        <v>8.32</v>
      </c>
      <c r="P162" s="2">
        <v>8.36</v>
      </c>
      <c r="Q162" s="16"/>
      <c r="R162" s="17"/>
      <c r="S162">
        <f t="shared" si="2"/>
        <v>7.7675000000000001</v>
      </c>
    </row>
    <row r="163" spans="1:19" x14ac:dyDescent="0.3">
      <c r="A163" s="5">
        <v>162</v>
      </c>
      <c r="B163" s="2">
        <v>1323162</v>
      </c>
      <c r="C163" s="2" t="s">
        <v>171</v>
      </c>
      <c r="D163" s="15" t="s">
        <v>696</v>
      </c>
      <c r="E163" s="2" t="s">
        <v>1128</v>
      </c>
      <c r="F163" s="26">
        <v>7015421545</v>
      </c>
      <c r="G163" s="26" t="s">
        <v>1833</v>
      </c>
      <c r="H163" s="2" t="s">
        <v>1140</v>
      </c>
      <c r="I163" s="2"/>
      <c r="J163" s="16"/>
      <c r="K163" s="16"/>
      <c r="L163" s="2" t="s">
        <v>926</v>
      </c>
      <c r="M163" s="16">
        <v>5.98</v>
      </c>
      <c r="N163" s="16" t="s">
        <v>1670</v>
      </c>
      <c r="O163" s="2" t="s">
        <v>953</v>
      </c>
      <c r="P163" s="2">
        <v>6.41</v>
      </c>
      <c r="Q163" s="16"/>
      <c r="R163" s="17"/>
      <c r="S163">
        <f t="shared" si="2"/>
        <v>6.1950000000000003</v>
      </c>
    </row>
    <row r="164" spans="1:19" x14ac:dyDescent="0.3">
      <c r="A164" s="5">
        <v>163</v>
      </c>
      <c r="B164" s="2">
        <v>1323163</v>
      </c>
      <c r="C164" s="2" t="s">
        <v>172</v>
      </c>
      <c r="D164" s="15" t="s">
        <v>697</v>
      </c>
      <c r="E164" s="2" t="s">
        <v>1219</v>
      </c>
      <c r="F164" s="26">
        <v>7015743950</v>
      </c>
      <c r="G164" s="26" t="s">
        <v>1834</v>
      </c>
      <c r="H164" s="2" t="s">
        <v>1140</v>
      </c>
      <c r="I164" s="2"/>
      <c r="J164" s="16" t="s">
        <v>1146</v>
      </c>
      <c r="K164" s="16"/>
      <c r="L164" s="2" t="s">
        <v>926</v>
      </c>
      <c r="M164" s="16">
        <v>7.91</v>
      </c>
      <c r="N164" s="16" t="s">
        <v>1667</v>
      </c>
      <c r="O164" s="2">
        <v>8.4499999999999993</v>
      </c>
      <c r="P164" s="2">
        <v>9</v>
      </c>
      <c r="Q164" s="16"/>
      <c r="R164" s="17"/>
      <c r="S164">
        <f t="shared" si="2"/>
        <v>8.4533333333333331</v>
      </c>
    </row>
    <row r="165" spans="1:19" x14ac:dyDescent="0.3">
      <c r="A165" s="5">
        <v>164</v>
      </c>
      <c r="B165" s="2">
        <v>1323164</v>
      </c>
      <c r="C165" s="2" t="s">
        <v>173</v>
      </c>
      <c r="D165" s="15" t="s">
        <v>1478</v>
      </c>
      <c r="E165" s="2" t="s">
        <v>1220</v>
      </c>
      <c r="F165" s="26">
        <v>7037249070</v>
      </c>
      <c r="G165" s="26" t="s">
        <v>1835</v>
      </c>
      <c r="H165" s="2" t="s">
        <v>1140</v>
      </c>
      <c r="I165" s="2"/>
      <c r="J165" s="16" t="s">
        <v>1146</v>
      </c>
      <c r="K165" s="16"/>
      <c r="L165" s="2" t="s">
        <v>926</v>
      </c>
      <c r="M165" s="16">
        <v>7.32</v>
      </c>
      <c r="N165" s="16">
        <v>7.82</v>
      </c>
      <c r="O165" s="2">
        <v>7.91</v>
      </c>
      <c r="P165" s="2">
        <v>7.86</v>
      </c>
      <c r="Q165" s="16"/>
      <c r="R165" s="17"/>
      <c r="S165">
        <f t="shared" si="2"/>
        <v>7.7275</v>
      </c>
    </row>
    <row r="166" spans="1:19" x14ac:dyDescent="0.3">
      <c r="A166" s="5">
        <v>165</v>
      </c>
      <c r="B166" s="2">
        <v>1323165</v>
      </c>
      <c r="C166" s="2" t="s">
        <v>174</v>
      </c>
      <c r="D166" s="15" t="s">
        <v>727</v>
      </c>
      <c r="E166" s="2" t="s">
        <v>1090</v>
      </c>
      <c r="F166" s="26">
        <v>7027961344</v>
      </c>
      <c r="G166" s="26" t="s">
        <v>1836</v>
      </c>
      <c r="H166" s="2" t="s">
        <v>1140</v>
      </c>
      <c r="I166" s="2"/>
      <c r="J166" s="16" t="s">
        <v>1146</v>
      </c>
      <c r="K166" s="16"/>
      <c r="L166" s="2" t="s">
        <v>926</v>
      </c>
      <c r="M166" s="16">
        <v>6.91</v>
      </c>
      <c r="N166" s="16">
        <v>6.84</v>
      </c>
      <c r="O166" s="2">
        <v>7.09</v>
      </c>
      <c r="P166" s="2">
        <v>7.45</v>
      </c>
      <c r="Q166" s="16"/>
      <c r="R166" s="17"/>
      <c r="S166">
        <f t="shared" si="2"/>
        <v>7.0724999999999998</v>
      </c>
    </row>
    <row r="167" spans="1:19" x14ac:dyDescent="0.3">
      <c r="A167" s="5">
        <v>166</v>
      </c>
      <c r="B167" s="2">
        <v>1323166</v>
      </c>
      <c r="C167" s="2" t="s">
        <v>175</v>
      </c>
      <c r="D167" s="15" t="s">
        <v>1479</v>
      </c>
      <c r="E167" s="2" t="s">
        <v>1090</v>
      </c>
      <c r="F167" s="26">
        <v>9588101275</v>
      </c>
      <c r="G167" s="26" t="s">
        <v>1837</v>
      </c>
      <c r="H167" s="2" t="s">
        <v>1140</v>
      </c>
      <c r="I167" s="2"/>
      <c r="J167" s="16" t="s">
        <v>1146</v>
      </c>
      <c r="K167" s="16"/>
      <c r="L167" s="2" t="s">
        <v>926</v>
      </c>
      <c r="M167" s="16">
        <v>7.73</v>
      </c>
      <c r="N167" s="16">
        <v>8.5</v>
      </c>
      <c r="O167" s="2">
        <v>8.82</v>
      </c>
      <c r="P167" s="2">
        <v>8.77</v>
      </c>
      <c r="Q167" s="16"/>
      <c r="R167" s="17"/>
      <c r="S167">
        <f t="shared" si="2"/>
        <v>8.4550000000000001</v>
      </c>
    </row>
    <row r="168" spans="1:19" x14ac:dyDescent="0.3">
      <c r="A168" s="5">
        <v>167</v>
      </c>
      <c r="B168" s="2">
        <v>1323167</v>
      </c>
      <c r="C168" s="2" t="s">
        <v>176</v>
      </c>
      <c r="D168" s="18" t="s">
        <v>1480</v>
      </c>
      <c r="E168" s="2" t="s">
        <v>1221</v>
      </c>
      <c r="F168" s="26">
        <v>7206968574</v>
      </c>
      <c r="G168" s="26" t="s">
        <v>1838</v>
      </c>
      <c r="H168" s="2" t="s">
        <v>1140</v>
      </c>
      <c r="I168" s="2"/>
      <c r="J168" s="16" t="s">
        <v>1146</v>
      </c>
      <c r="K168" s="16"/>
      <c r="L168" s="2" t="s">
        <v>926</v>
      </c>
      <c r="M168" s="16">
        <v>5.89</v>
      </c>
      <c r="N168" s="16">
        <v>5.64</v>
      </c>
      <c r="O168" s="2">
        <v>7.68</v>
      </c>
      <c r="P168" s="2">
        <v>6.32</v>
      </c>
      <c r="Q168" s="16"/>
      <c r="R168" s="17"/>
      <c r="S168">
        <f t="shared" si="2"/>
        <v>6.3825000000000003</v>
      </c>
    </row>
    <row r="169" spans="1:19" x14ac:dyDescent="0.3">
      <c r="A169" s="5">
        <v>168</v>
      </c>
      <c r="B169" s="2">
        <v>1323168</v>
      </c>
      <c r="C169" s="2" t="s">
        <v>177</v>
      </c>
      <c r="D169" s="15" t="s">
        <v>1481</v>
      </c>
      <c r="E169" s="2" t="s">
        <v>1222</v>
      </c>
      <c r="F169" s="26"/>
      <c r="G169" s="26"/>
      <c r="H169" s="2"/>
      <c r="I169" s="2"/>
      <c r="J169" s="16"/>
      <c r="K169" s="16"/>
      <c r="L169" s="2"/>
      <c r="M169" s="16" t="s">
        <v>954</v>
      </c>
      <c r="N169" s="16"/>
      <c r="O169" s="2"/>
      <c r="P169" s="2"/>
      <c r="Q169" s="16"/>
      <c r="R169" s="17"/>
      <c r="S169" t="e">
        <f t="shared" si="2"/>
        <v>#DIV/0!</v>
      </c>
    </row>
    <row r="170" spans="1:19" x14ac:dyDescent="0.3">
      <c r="A170" s="5">
        <v>169</v>
      </c>
      <c r="B170" s="2">
        <v>1323169</v>
      </c>
      <c r="C170" s="2" t="s">
        <v>178</v>
      </c>
      <c r="D170" s="2" t="s">
        <v>1482</v>
      </c>
      <c r="E170" s="2" t="s">
        <v>1128</v>
      </c>
      <c r="F170" s="26"/>
      <c r="G170" s="26"/>
      <c r="H170" s="2"/>
      <c r="I170" s="2"/>
      <c r="J170" s="16"/>
      <c r="K170" s="16"/>
      <c r="L170" s="2"/>
      <c r="M170" s="16" t="s">
        <v>958</v>
      </c>
      <c r="N170" s="16"/>
      <c r="O170" s="2"/>
      <c r="P170" s="2"/>
      <c r="Q170" s="16"/>
      <c r="R170" s="17"/>
      <c r="S170" t="e">
        <f t="shared" si="2"/>
        <v>#DIV/0!</v>
      </c>
    </row>
    <row r="171" spans="1:19" x14ac:dyDescent="0.3">
      <c r="A171" s="5">
        <v>170</v>
      </c>
      <c r="B171" s="2">
        <v>1323170</v>
      </c>
      <c r="C171" s="2" t="s">
        <v>179</v>
      </c>
      <c r="D171" s="15" t="s">
        <v>698</v>
      </c>
      <c r="E171" s="2" t="s">
        <v>1223</v>
      </c>
      <c r="F171" s="26">
        <v>7455932719</v>
      </c>
      <c r="G171" s="26" t="s">
        <v>1839</v>
      </c>
      <c r="H171" s="2" t="s">
        <v>1140</v>
      </c>
      <c r="I171" s="2"/>
      <c r="J171" s="16" t="s">
        <v>1146</v>
      </c>
      <c r="K171" s="16"/>
      <c r="L171" s="2" t="s">
        <v>926</v>
      </c>
      <c r="M171" s="16">
        <v>7.36</v>
      </c>
      <c r="N171" s="16">
        <v>7.23</v>
      </c>
      <c r="O171" s="2">
        <v>7.95</v>
      </c>
      <c r="P171" s="2">
        <v>7.77</v>
      </c>
      <c r="Q171" s="16"/>
      <c r="R171" s="17"/>
      <c r="S171">
        <f t="shared" si="2"/>
        <v>7.5774999999999997</v>
      </c>
    </row>
    <row r="172" spans="1:19" x14ac:dyDescent="0.3">
      <c r="A172" s="5">
        <v>171</v>
      </c>
      <c r="B172" s="2">
        <v>1323171</v>
      </c>
      <c r="C172" s="2" t="s">
        <v>941</v>
      </c>
      <c r="D172" s="15"/>
      <c r="E172" s="2"/>
      <c r="F172" s="26"/>
      <c r="G172" s="26"/>
      <c r="H172" s="2"/>
      <c r="I172" s="2"/>
      <c r="J172" s="16"/>
      <c r="K172" s="16"/>
      <c r="L172" s="2"/>
      <c r="M172" s="16"/>
      <c r="N172" s="16"/>
      <c r="O172" s="2"/>
      <c r="P172" s="2"/>
      <c r="Q172" s="16"/>
      <c r="R172" s="17"/>
      <c r="S172" t="e">
        <f t="shared" si="2"/>
        <v>#DIV/0!</v>
      </c>
    </row>
    <row r="173" spans="1:19" x14ac:dyDescent="0.3">
      <c r="A173" s="5">
        <v>172</v>
      </c>
      <c r="B173" s="2">
        <v>1323172</v>
      </c>
      <c r="C173" s="2" t="s">
        <v>180</v>
      </c>
      <c r="D173" s="15" t="s">
        <v>699</v>
      </c>
      <c r="E173" s="2" t="s">
        <v>963</v>
      </c>
      <c r="F173" s="26">
        <v>7496851238</v>
      </c>
      <c r="G173" s="26" t="s">
        <v>1840</v>
      </c>
      <c r="H173" s="2" t="s">
        <v>1140</v>
      </c>
      <c r="I173" s="2"/>
      <c r="J173" s="16" t="s">
        <v>1146</v>
      </c>
      <c r="K173" s="16"/>
      <c r="L173" s="2" t="s">
        <v>926</v>
      </c>
      <c r="M173" s="16">
        <v>8.82</v>
      </c>
      <c r="N173" s="16">
        <v>9.5</v>
      </c>
      <c r="O173" s="2">
        <v>9.41</v>
      </c>
      <c r="P173" s="2">
        <v>8.59</v>
      </c>
      <c r="Q173" s="16"/>
      <c r="R173" s="17"/>
      <c r="S173">
        <f t="shared" si="2"/>
        <v>9.08</v>
      </c>
    </row>
    <row r="174" spans="1:19" x14ac:dyDescent="0.3">
      <c r="A174" s="5">
        <v>173</v>
      </c>
      <c r="B174" s="2">
        <v>1323173</v>
      </c>
      <c r="C174" s="2" t="s">
        <v>941</v>
      </c>
      <c r="D174" s="2" t="s">
        <v>1483</v>
      </c>
      <c r="E174" s="2" t="s">
        <v>1224</v>
      </c>
      <c r="F174" s="26"/>
      <c r="G174" s="26"/>
      <c r="H174" s="2" t="s">
        <v>1140</v>
      </c>
      <c r="I174" s="2"/>
      <c r="J174" s="16" t="s">
        <v>1146</v>
      </c>
      <c r="K174" s="16"/>
      <c r="L174" s="2"/>
      <c r="M174" s="16" t="s">
        <v>958</v>
      </c>
      <c r="N174" s="16"/>
      <c r="O174" s="2"/>
      <c r="P174" s="2"/>
      <c r="Q174" s="16"/>
      <c r="R174" s="17"/>
      <c r="S174" t="e">
        <f t="shared" si="2"/>
        <v>#DIV/0!</v>
      </c>
    </row>
    <row r="175" spans="1:19" x14ac:dyDescent="0.3">
      <c r="A175" s="5">
        <v>174</v>
      </c>
      <c r="B175" s="2">
        <v>1323174</v>
      </c>
      <c r="C175" s="2" t="s">
        <v>181</v>
      </c>
      <c r="D175" s="15" t="s">
        <v>700</v>
      </c>
      <c r="E175" s="2" t="s">
        <v>1225</v>
      </c>
      <c r="F175" s="26">
        <v>7858802599</v>
      </c>
      <c r="G175" s="26" t="s">
        <v>1841</v>
      </c>
      <c r="H175" s="2"/>
      <c r="I175" s="2"/>
      <c r="J175" s="16"/>
      <c r="K175" s="16"/>
      <c r="L175" s="2" t="s">
        <v>926</v>
      </c>
      <c r="M175" s="16">
        <v>6.61</v>
      </c>
      <c r="N175" s="16">
        <v>7.36</v>
      </c>
      <c r="O175" s="2">
        <v>7.48</v>
      </c>
      <c r="P175" s="2" t="s">
        <v>2249</v>
      </c>
      <c r="Q175" s="16"/>
      <c r="R175" s="17"/>
      <c r="S175">
        <f t="shared" si="2"/>
        <v>7.1500000000000012</v>
      </c>
    </row>
    <row r="176" spans="1:19" x14ac:dyDescent="0.3">
      <c r="A176" s="5">
        <v>175</v>
      </c>
      <c r="B176" s="2">
        <v>1323175</v>
      </c>
      <c r="C176" s="2" t="s">
        <v>182</v>
      </c>
      <c r="D176" s="15" t="s">
        <v>701</v>
      </c>
      <c r="E176" s="2" t="s">
        <v>668</v>
      </c>
      <c r="F176" s="26">
        <v>7988036345</v>
      </c>
      <c r="G176" s="26" t="s">
        <v>1842</v>
      </c>
      <c r="H176" s="2" t="s">
        <v>1140</v>
      </c>
      <c r="I176" s="2"/>
      <c r="J176" s="16" t="s">
        <v>1146</v>
      </c>
      <c r="K176" s="16"/>
      <c r="L176" s="2" t="s">
        <v>926</v>
      </c>
      <c r="M176" s="16" t="s">
        <v>1629</v>
      </c>
      <c r="N176" s="16">
        <v>6.27</v>
      </c>
      <c r="O176" s="2" t="s">
        <v>2225</v>
      </c>
      <c r="P176" s="2" t="s">
        <v>2266</v>
      </c>
      <c r="Q176" s="16"/>
      <c r="R176" s="17"/>
      <c r="S176">
        <f t="shared" si="2"/>
        <v>6.27</v>
      </c>
    </row>
    <row r="177" spans="1:19" x14ac:dyDescent="0.3">
      <c r="A177" s="5">
        <v>176</v>
      </c>
      <c r="B177" s="2">
        <v>1323176</v>
      </c>
      <c r="C177" s="2" t="s">
        <v>183</v>
      </c>
      <c r="D177" s="15" t="s">
        <v>702</v>
      </c>
      <c r="E177" s="2" t="s">
        <v>1091</v>
      </c>
      <c r="F177" s="26">
        <v>7988259156</v>
      </c>
      <c r="G177" s="26" t="s">
        <v>1843</v>
      </c>
      <c r="H177" s="2" t="s">
        <v>1140</v>
      </c>
      <c r="I177" s="2"/>
      <c r="J177" s="16" t="s">
        <v>1146</v>
      </c>
      <c r="K177" s="16"/>
      <c r="L177" s="2" t="s">
        <v>926</v>
      </c>
      <c r="M177" s="16">
        <v>7.02</v>
      </c>
      <c r="N177" s="16">
        <v>6.82</v>
      </c>
      <c r="O177" s="2">
        <v>6.98</v>
      </c>
      <c r="P177" s="2" t="s">
        <v>2249</v>
      </c>
      <c r="Q177" s="16"/>
      <c r="R177" s="17"/>
      <c r="S177">
        <f t="shared" si="2"/>
        <v>6.94</v>
      </c>
    </row>
    <row r="178" spans="1:19" x14ac:dyDescent="0.3">
      <c r="A178" s="5">
        <v>177</v>
      </c>
      <c r="B178" s="2">
        <v>1323177</v>
      </c>
      <c r="C178" s="2" t="s">
        <v>184</v>
      </c>
      <c r="D178" s="15" t="s">
        <v>703</v>
      </c>
      <c r="E178" s="2" t="s">
        <v>1226</v>
      </c>
      <c r="F178" s="26">
        <v>7988423406</v>
      </c>
      <c r="G178" s="26" t="s">
        <v>1844</v>
      </c>
      <c r="H178" s="2" t="s">
        <v>1140</v>
      </c>
      <c r="I178" s="2"/>
      <c r="J178" s="16" t="s">
        <v>1146</v>
      </c>
      <c r="K178" s="16"/>
      <c r="L178" s="2" t="s">
        <v>926</v>
      </c>
      <c r="M178" s="16">
        <v>7.14</v>
      </c>
      <c r="N178" s="16">
        <v>7.14</v>
      </c>
      <c r="O178" s="2">
        <v>7</v>
      </c>
      <c r="P178" s="2">
        <v>7.52</v>
      </c>
      <c r="Q178" s="16"/>
      <c r="R178" s="17"/>
      <c r="S178">
        <f t="shared" si="2"/>
        <v>7.2</v>
      </c>
    </row>
    <row r="179" spans="1:19" x14ac:dyDescent="0.3">
      <c r="A179" s="5">
        <v>178</v>
      </c>
      <c r="B179" s="2">
        <v>1323178</v>
      </c>
      <c r="C179" s="2" t="s">
        <v>185</v>
      </c>
      <c r="D179" s="15" t="s">
        <v>704</v>
      </c>
      <c r="E179" s="2" t="s">
        <v>1227</v>
      </c>
      <c r="F179" s="26">
        <v>8053438680</v>
      </c>
      <c r="G179" s="26" t="s">
        <v>1845</v>
      </c>
      <c r="H179" s="2" t="s">
        <v>1140</v>
      </c>
      <c r="I179" s="2"/>
      <c r="J179" s="16" t="s">
        <v>1146</v>
      </c>
      <c r="K179" s="16"/>
      <c r="L179" s="2" t="s">
        <v>926</v>
      </c>
      <c r="M179" s="16">
        <v>9.0500000000000007</v>
      </c>
      <c r="N179" s="16">
        <v>8.9499999999999993</v>
      </c>
      <c r="O179" s="2">
        <v>8.59</v>
      </c>
      <c r="P179" s="2">
        <v>8.82</v>
      </c>
      <c r="Q179" s="16"/>
      <c r="R179" s="17"/>
      <c r="S179">
        <f t="shared" si="2"/>
        <v>8.8524999999999991</v>
      </c>
    </row>
    <row r="180" spans="1:19" x14ac:dyDescent="0.3">
      <c r="A180" s="5">
        <v>179</v>
      </c>
      <c r="B180" s="2">
        <v>1323179</v>
      </c>
      <c r="C180" s="2" t="s">
        <v>186</v>
      </c>
      <c r="D180" s="15" t="s">
        <v>867</v>
      </c>
      <c r="E180" s="2" t="s">
        <v>1038</v>
      </c>
      <c r="F180" s="26">
        <v>8126045558</v>
      </c>
      <c r="G180" s="26" t="s">
        <v>1846</v>
      </c>
      <c r="H180" s="2" t="s">
        <v>1140</v>
      </c>
      <c r="I180" s="2"/>
      <c r="J180" s="16" t="s">
        <v>1146</v>
      </c>
      <c r="K180" s="16"/>
      <c r="L180" s="2" t="s">
        <v>926</v>
      </c>
      <c r="M180" s="16">
        <v>6.64</v>
      </c>
      <c r="N180" s="16" t="s">
        <v>953</v>
      </c>
      <c r="O180" s="2" t="s">
        <v>2226</v>
      </c>
      <c r="P180" s="2" t="s">
        <v>2267</v>
      </c>
      <c r="Q180" s="16"/>
      <c r="R180" s="17"/>
      <c r="S180">
        <f t="shared" si="2"/>
        <v>6.64</v>
      </c>
    </row>
    <row r="181" spans="1:19" x14ac:dyDescent="0.3">
      <c r="A181" s="5">
        <v>180</v>
      </c>
      <c r="B181" s="2">
        <v>1323180</v>
      </c>
      <c r="C181" s="2" t="s">
        <v>187</v>
      </c>
      <c r="D181" s="15" t="s">
        <v>705</v>
      </c>
      <c r="E181" s="2" t="s">
        <v>1228</v>
      </c>
      <c r="F181" s="26">
        <v>8168264430</v>
      </c>
      <c r="G181" s="26" t="s">
        <v>1847</v>
      </c>
      <c r="H181" s="2" t="s">
        <v>1140</v>
      </c>
      <c r="I181" s="2"/>
      <c r="J181" s="16" t="s">
        <v>1146</v>
      </c>
      <c r="K181" s="16"/>
      <c r="L181" s="2" t="s">
        <v>926</v>
      </c>
      <c r="M181" s="16">
        <v>8.41</v>
      </c>
      <c r="N181" s="16">
        <v>7.86</v>
      </c>
      <c r="O181" s="2">
        <v>7.64</v>
      </c>
      <c r="P181" s="2">
        <v>7.68</v>
      </c>
      <c r="Q181" s="16"/>
      <c r="R181" s="17"/>
      <c r="S181">
        <f t="shared" si="2"/>
        <v>7.8975</v>
      </c>
    </row>
    <row r="182" spans="1:19" x14ac:dyDescent="0.3">
      <c r="A182" s="5">
        <v>181</v>
      </c>
      <c r="B182" s="2">
        <v>1323181</v>
      </c>
      <c r="C182" s="2" t="s">
        <v>188</v>
      </c>
      <c r="D182" s="15" t="s">
        <v>1484</v>
      </c>
      <c r="E182" s="2" t="s">
        <v>972</v>
      </c>
      <c r="F182" s="26"/>
      <c r="G182" s="26"/>
      <c r="H182" s="2"/>
      <c r="I182" s="2"/>
      <c r="J182" s="16"/>
      <c r="K182" s="16"/>
      <c r="L182" s="2"/>
      <c r="M182" s="16">
        <v>6.75</v>
      </c>
      <c r="N182" s="16">
        <v>6.41</v>
      </c>
      <c r="O182" s="2"/>
      <c r="P182" s="2"/>
      <c r="Q182" s="16"/>
      <c r="R182" s="17"/>
      <c r="S182">
        <f t="shared" si="2"/>
        <v>6.58</v>
      </c>
    </row>
    <row r="183" spans="1:19" x14ac:dyDescent="0.3">
      <c r="A183" s="5">
        <v>182</v>
      </c>
      <c r="B183" s="2">
        <v>1323182</v>
      </c>
      <c r="C183" s="2" t="s">
        <v>189</v>
      </c>
      <c r="D183" s="15" t="s">
        <v>706</v>
      </c>
      <c r="E183" s="2" t="s">
        <v>1229</v>
      </c>
      <c r="F183" s="26">
        <v>8168673148</v>
      </c>
      <c r="G183" s="26" t="s">
        <v>1848</v>
      </c>
      <c r="H183" s="2" t="s">
        <v>1140</v>
      </c>
      <c r="I183" s="2"/>
      <c r="J183" s="16" t="s">
        <v>1146</v>
      </c>
      <c r="K183" s="16"/>
      <c r="L183" s="2" t="s">
        <v>926</v>
      </c>
      <c r="M183" s="16">
        <v>8.41</v>
      </c>
      <c r="N183" s="16">
        <v>8.14</v>
      </c>
      <c r="O183" s="2" t="s">
        <v>2227</v>
      </c>
      <c r="P183" s="2">
        <v>9.36</v>
      </c>
      <c r="Q183" s="16"/>
      <c r="R183" s="17"/>
      <c r="S183">
        <f t="shared" si="2"/>
        <v>8.6366666666666667</v>
      </c>
    </row>
    <row r="184" spans="1:19" x14ac:dyDescent="0.3">
      <c r="A184" s="5">
        <v>183</v>
      </c>
      <c r="B184" s="2">
        <v>1323183</v>
      </c>
      <c r="C184" s="2" t="s">
        <v>190</v>
      </c>
      <c r="D184" s="15" t="s">
        <v>1485</v>
      </c>
      <c r="E184" s="2" t="s">
        <v>1210</v>
      </c>
      <c r="F184" s="26">
        <v>8295056852</v>
      </c>
      <c r="G184" s="26" t="s">
        <v>1849</v>
      </c>
      <c r="H184" s="2" t="s">
        <v>1140</v>
      </c>
      <c r="I184" s="2"/>
      <c r="J184" s="16" t="s">
        <v>1146</v>
      </c>
      <c r="K184" s="16"/>
      <c r="L184" s="2" t="s">
        <v>926</v>
      </c>
      <c r="M184" s="16">
        <v>8.41</v>
      </c>
      <c r="N184" s="16">
        <v>8.41</v>
      </c>
      <c r="O184" s="2">
        <v>8.86</v>
      </c>
      <c r="P184" s="2">
        <v>9.27</v>
      </c>
      <c r="Q184" s="16"/>
      <c r="R184" s="17"/>
      <c r="S184">
        <f t="shared" si="2"/>
        <v>8.7375000000000007</v>
      </c>
    </row>
    <row r="185" spans="1:19" x14ac:dyDescent="0.3">
      <c r="A185" s="5">
        <v>184</v>
      </c>
      <c r="B185" s="2">
        <v>1323184</v>
      </c>
      <c r="C185" s="2" t="s">
        <v>191</v>
      </c>
      <c r="D185" s="15" t="s">
        <v>1486</v>
      </c>
      <c r="E185" s="2" t="s">
        <v>1230</v>
      </c>
      <c r="F185" s="26"/>
      <c r="G185" s="26"/>
      <c r="H185" s="2"/>
      <c r="I185" s="2"/>
      <c r="J185" s="16"/>
      <c r="K185" s="16"/>
      <c r="L185" s="2"/>
      <c r="M185" s="16" t="s">
        <v>954</v>
      </c>
      <c r="N185" s="16"/>
      <c r="O185" s="2"/>
      <c r="P185" s="2"/>
      <c r="Q185" s="16"/>
      <c r="R185" s="17"/>
      <c r="S185" t="e">
        <f t="shared" si="2"/>
        <v>#DIV/0!</v>
      </c>
    </row>
    <row r="186" spans="1:19" x14ac:dyDescent="0.3">
      <c r="A186" s="5">
        <v>185</v>
      </c>
      <c r="B186" s="2">
        <v>1323185</v>
      </c>
      <c r="C186" s="2" t="s">
        <v>192</v>
      </c>
      <c r="D186" s="15" t="s">
        <v>1487</v>
      </c>
      <c r="E186" s="2" t="s">
        <v>1231</v>
      </c>
      <c r="F186" s="26">
        <v>8295537457</v>
      </c>
      <c r="G186" s="26" t="s">
        <v>1850</v>
      </c>
      <c r="H186" s="2" t="s">
        <v>1140</v>
      </c>
      <c r="I186" s="2"/>
      <c r="J186" s="16" t="s">
        <v>1146</v>
      </c>
      <c r="K186" s="16"/>
      <c r="L186" s="2" t="s">
        <v>926</v>
      </c>
      <c r="M186" s="16">
        <v>9.41</v>
      </c>
      <c r="N186" s="16">
        <v>9.41</v>
      </c>
      <c r="O186" s="2">
        <v>9.4499999999999993</v>
      </c>
      <c r="P186" s="2">
        <v>9.5500000000000007</v>
      </c>
      <c r="Q186" s="16"/>
      <c r="R186" s="17"/>
      <c r="S186">
        <f t="shared" si="2"/>
        <v>9.4550000000000001</v>
      </c>
    </row>
    <row r="187" spans="1:19" x14ac:dyDescent="0.3">
      <c r="A187" s="5">
        <v>186</v>
      </c>
      <c r="B187" s="2">
        <v>1323186</v>
      </c>
      <c r="C187" s="2" t="s">
        <v>193</v>
      </c>
      <c r="D187" s="15" t="s">
        <v>1488</v>
      </c>
      <c r="E187" s="2" t="s">
        <v>1232</v>
      </c>
      <c r="F187" s="26">
        <v>8295891467</v>
      </c>
      <c r="G187" s="26" t="s">
        <v>1851</v>
      </c>
      <c r="H187" s="2" t="s">
        <v>1140</v>
      </c>
      <c r="I187" s="2"/>
      <c r="J187" s="16" t="s">
        <v>1146</v>
      </c>
      <c r="K187" s="16"/>
      <c r="L187" s="2" t="s">
        <v>926</v>
      </c>
      <c r="M187" s="16">
        <v>6.2</v>
      </c>
      <c r="N187" s="16">
        <v>6.18</v>
      </c>
      <c r="O187" s="2" t="s">
        <v>2208</v>
      </c>
      <c r="P187" s="2">
        <v>7.02</v>
      </c>
      <c r="Q187" s="16"/>
      <c r="R187" s="17"/>
      <c r="S187">
        <f t="shared" si="2"/>
        <v>6.4666666666666659</v>
      </c>
    </row>
    <row r="188" spans="1:19" x14ac:dyDescent="0.3">
      <c r="A188" s="5">
        <v>187</v>
      </c>
      <c r="B188" s="2">
        <v>1323187</v>
      </c>
      <c r="C188" s="2" t="s">
        <v>194</v>
      </c>
      <c r="D188" s="15" t="s">
        <v>707</v>
      </c>
      <c r="E188" s="2" t="s">
        <v>1220</v>
      </c>
      <c r="F188" s="26">
        <v>8307685269</v>
      </c>
      <c r="G188" s="26" t="s">
        <v>1852</v>
      </c>
      <c r="H188" s="2" t="s">
        <v>1140</v>
      </c>
      <c r="I188" s="2"/>
      <c r="J188" s="16" t="s">
        <v>1146</v>
      </c>
      <c r="K188" s="16"/>
      <c r="L188" s="2" t="s">
        <v>926</v>
      </c>
      <c r="M188" s="16">
        <v>8.73</v>
      </c>
      <c r="N188" s="16">
        <v>8.09</v>
      </c>
      <c r="O188" s="2">
        <v>8.64</v>
      </c>
      <c r="P188" s="2">
        <v>8.86</v>
      </c>
      <c r="Q188" s="16"/>
      <c r="R188" s="17"/>
      <c r="S188">
        <f t="shared" si="2"/>
        <v>8.58</v>
      </c>
    </row>
    <row r="189" spans="1:19" x14ac:dyDescent="0.3">
      <c r="A189" s="5">
        <v>188</v>
      </c>
      <c r="B189" s="2">
        <v>1323188</v>
      </c>
      <c r="C189" s="2" t="s">
        <v>195</v>
      </c>
      <c r="D189" s="15" t="s">
        <v>1489</v>
      </c>
      <c r="E189" s="2" t="s">
        <v>1233</v>
      </c>
      <c r="F189" s="26">
        <v>8307935954</v>
      </c>
      <c r="G189" s="26" t="s">
        <v>1853</v>
      </c>
      <c r="H189" s="2" t="s">
        <v>1140</v>
      </c>
      <c r="I189" s="2"/>
      <c r="J189" s="16" t="s">
        <v>1146</v>
      </c>
      <c r="K189" s="16"/>
      <c r="L189" s="2" t="s">
        <v>926</v>
      </c>
      <c r="M189" s="16">
        <v>8.09</v>
      </c>
      <c r="N189" s="16">
        <v>8.82</v>
      </c>
      <c r="O189" s="2">
        <v>8.9499999999999993</v>
      </c>
      <c r="P189" s="2">
        <v>8.9499999999999993</v>
      </c>
      <c r="Q189" s="16"/>
      <c r="R189" s="17"/>
      <c r="S189">
        <f t="shared" si="2"/>
        <v>8.7025000000000006</v>
      </c>
    </row>
    <row r="190" spans="1:19" x14ac:dyDescent="0.3">
      <c r="A190" s="5">
        <v>189</v>
      </c>
      <c r="B190" s="2">
        <v>1323189</v>
      </c>
      <c r="C190" s="2" t="s">
        <v>196</v>
      </c>
      <c r="D190" s="15" t="s">
        <v>1490</v>
      </c>
      <c r="E190" s="2" t="s">
        <v>1234</v>
      </c>
      <c r="F190" s="26">
        <v>8360753974</v>
      </c>
      <c r="G190" s="26" t="s">
        <v>1854</v>
      </c>
      <c r="H190" s="2" t="s">
        <v>1140</v>
      </c>
      <c r="I190" s="2"/>
      <c r="J190" s="16" t="s">
        <v>1146</v>
      </c>
      <c r="K190" s="16"/>
      <c r="L190" s="2" t="s">
        <v>926</v>
      </c>
      <c r="M190" s="16">
        <v>7.5</v>
      </c>
      <c r="N190" s="16">
        <v>7.86</v>
      </c>
      <c r="O190" s="2">
        <v>8.82</v>
      </c>
      <c r="P190" s="2">
        <v>8.23</v>
      </c>
      <c r="Q190" s="16"/>
      <c r="R190" s="17"/>
      <c r="S190">
        <f t="shared" si="2"/>
        <v>8.1024999999999991</v>
      </c>
    </row>
    <row r="191" spans="1:19" x14ac:dyDescent="0.3">
      <c r="A191" s="5">
        <v>190</v>
      </c>
      <c r="B191" s="2">
        <v>1323190</v>
      </c>
      <c r="C191" s="2" t="s">
        <v>197</v>
      </c>
      <c r="D191" s="15" t="s">
        <v>1491</v>
      </c>
      <c r="E191" s="2" t="s">
        <v>1235</v>
      </c>
      <c r="F191" s="26">
        <v>8534916375</v>
      </c>
      <c r="G191" s="26" t="s">
        <v>1855</v>
      </c>
      <c r="H191" s="2" t="s">
        <v>1140</v>
      </c>
      <c r="I191" s="2"/>
      <c r="J191" s="16" t="s">
        <v>1146</v>
      </c>
      <c r="K191" s="16"/>
      <c r="L191" s="2" t="s">
        <v>926</v>
      </c>
      <c r="M191" s="16">
        <v>5.82</v>
      </c>
      <c r="N191" s="16" t="s">
        <v>953</v>
      </c>
      <c r="O191" s="2" t="s">
        <v>953</v>
      </c>
      <c r="P191" s="2" t="s">
        <v>2268</v>
      </c>
      <c r="Q191" s="16"/>
      <c r="R191" s="17"/>
      <c r="S191">
        <f t="shared" si="2"/>
        <v>5.82</v>
      </c>
    </row>
    <row r="192" spans="1:19" x14ac:dyDescent="0.3">
      <c r="A192" s="5">
        <v>191</v>
      </c>
      <c r="B192" s="2">
        <v>1323191</v>
      </c>
      <c r="C192" s="2" t="s">
        <v>198</v>
      </c>
      <c r="D192" s="15" t="s">
        <v>1438</v>
      </c>
      <c r="E192" s="2" t="s">
        <v>1236</v>
      </c>
      <c r="F192" s="26">
        <v>6239759944</v>
      </c>
      <c r="G192" s="26" t="s">
        <v>1856</v>
      </c>
      <c r="H192" s="2" t="s">
        <v>1140</v>
      </c>
      <c r="I192" s="2"/>
      <c r="J192" s="16" t="s">
        <v>1146</v>
      </c>
      <c r="K192" s="16"/>
      <c r="L192" s="2" t="s">
        <v>926</v>
      </c>
      <c r="M192" s="16">
        <v>6.91</v>
      </c>
      <c r="N192" s="16">
        <v>6.8</v>
      </c>
      <c r="O192" s="2">
        <v>7.64</v>
      </c>
      <c r="P192" s="2">
        <v>7.64</v>
      </c>
      <c r="Q192" s="16"/>
      <c r="R192" s="17"/>
      <c r="S192">
        <f t="shared" si="2"/>
        <v>7.2475000000000005</v>
      </c>
    </row>
    <row r="193" spans="1:19" x14ac:dyDescent="0.3">
      <c r="A193" s="5">
        <v>192</v>
      </c>
      <c r="B193" s="2">
        <v>1323192</v>
      </c>
      <c r="C193" s="2" t="s">
        <v>199</v>
      </c>
      <c r="D193" s="15" t="s">
        <v>708</v>
      </c>
      <c r="E193" s="2" t="s">
        <v>1237</v>
      </c>
      <c r="F193" s="26">
        <v>8607122807</v>
      </c>
      <c r="G193" s="26" t="s">
        <v>1857</v>
      </c>
      <c r="H193" s="2" t="s">
        <v>1140</v>
      </c>
      <c r="I193" s="2"/>
      <c r="J193" s="16" t="s">
        <v>1146</v>
      </c>
      <c r="K193" s="16"/>
      <c r="L193" s="2" t="s">
        <v>926</v>
      </c>
      <c r="M193" s="16">
        <v>9.41</v>
      </c>
      <c r="N193" s="16">
        <v>8.82</v>
      </c>
      <c r="O193" s="2">
        <v>9.18</v>
      </c>
      <c r="P193" s="2">
        <v>8.9499999999999993</v>
      </c>
      <c r="Q193" s="16"/>
      <c r="R193" s="17"/>
      <c r="S193">
        <f t="shared" si="2"/>
        <v>9.09</v>
      </c>
    </row>
    <row r="194" spans="1:19" x14ac:dyDescent="0.3">
      <c r="A194" s="5">
        <v>193</v>
      </c>
      <c r="B194" s="2">
        <v>1323193</v>
      </c>
      <c r="C194" s="2" t="s">
        <v>200</v>
      </c>
      <c r="D194" s="15" t="s">
        <v>638</v>
      </c>
      <c r="E194" s="2" t="s">
        <v>1184</v>
      </c>
      <c r="F194" s="26">
        <v>8607129425</v>
      </c>
      <c r="G194" s="26" t="s">
        <v>1858</v>
      </c>
      <c r="H194" s="2" t="s">
        <v>1140</v>
      </c>
      <c r="I194" s="2"/>
      <c r="J194" s="16" t="s">
        <v>1146</v>
      </c>
      <c r="K194" s="16"/>
      <c r="L194" s="2" t="s">
        <v>926</v>
      </c>
      <c r="M194" s="16">
        <v>9.41</v>
      </c>
      <c r="N194" s="16">
        <v>9.14</v>
      </c>
      <c r="O194" s="2">
        <v>9.0500000000000007</v>
      </c>
      <c r="P194" s="2">
        <v>8.91</v>
      </c>
      <c r="Q194" s="16"/>
      <c r="R194" s="17"/>
      <c r="S194">
        <f t="shared" ref="S194:S257" si="3">AVERAGE(M194:P194)</f>
        <v>9.1275000000000013</v>
      </c>
    </row>
    <row r="195" spans="1:19" x14ac:dyDescent="0.3">
      <c r="A195" s="5">
        <v>194</v>
      </c>
      <c r="B195" s="2">
        <v>1323194</v>
      </c>
      <c r="C195" s="2" t="s">
        <v>201</v>
      </c>
      <c r="D195" s="15" t="s">
        <v>1492</v>
      </c>
      <c r="E195" s="2" t="s">
        <v>1238</v>
      </c>
      <c r="F195" s="26">
        <v>8607307282</v>
      </c>
      <c r="G195" s="26" t="s">
        <v>1859</v>
      </c>
      <c r="H195" s="2" t="s">
        <v>1140</v>
      </c>
      <c r="I195" s="2"/>
      <c r="J195" s="16" t="s">
        <v>1146</v>
      </c>
      <c r="K195" s="16"/>
      <c r="L195" s="2" t="s">
        <v>926</v>
      </c>
      <c r="M195" s="16">
        <v>5.95</v>
      </c>
      <c r="N195" s="16">
        <v>6.32</v>
      </c>
      <c r="O195" s="2">
        <v>7.09</v>
      </c>
      <c r="P195" s="2" t="s">
        <v>2250</v>
      </c>
      <c r="Q195" s="16"/>
      <c r="R195" s="17"/>
      <c r="S195">
        <f t="shared" si="3"/>
        <v>6.4533333333333331</v>
      </c>
    </row>
    <row r="196" spans="1:19" x14ac:dyDescent="0.3">
      <c r="A196" s="5">
        <v>195</v>
      </c>
      <c r="B196" s="2">
        <v>1323195</v>
      </c>
      <c r="C196" s="2" t="s">
        <v>202</v>
      </c>
      <c r="D196" s="15" t="s">
        <v>654</v>
      </c>
      <c r="E196" s="2" t="s">
        <v>1128</v>
      </c>
      <c r="F196" s="26">
        <v>8684075586</v>
      </c>
      <c r="G196" s="26" t="s">
        <v>1860</v>
      </c>
      <c r="H196" s="2" t="s">
        <v>1140</v>
      </c>
      <c r="I196" s="2"/>
      <c r="J196" s="16" t="s">
        <v>1146</v>
      </c>
      <c r="K196" s="16"/>
      <c r="L196" s="2" t="s">
        <v>926</v>
      </c>
      <c r="M196" s="16">
        <v>9.0500000000000007</v>
      </c>
      <c r="N196" s="16">
        <v>8.59</v>
      </c>
      <c r="O196" s="2">
        <v>8.73</v>
      </c>
      <c r="P196" s="2">
        <v>8.59</v>
      </c>
      <c r="Q196" s="16"/>
      <c r="R196" s="17"/>
      <c r="S196">
        <f t="shared" si="3"/>
        <v>8.74</v>
      </c>
    </row>
    <row r="197" spans="1:19" x14ac:dyDescent="0.3">
      <c r="A197" s="5">
        <v>196</v>
      </c>
      <c r="B197" s="2">
        <v>1323196</v>
      </c>
      <c r="C197" s="2" t="s">
        <v>203</v>
      </c>
      <c r="D197" s="15" t="s">
        <v>639</v>
      </c>
      <c r="E197" s="2" t="s">
        <v>1239</v>
      </c>
      <c r="F197" s="26">
        <v>8684829110</v>
      </c>
      <c r="G197" s="26" t="s">
        <v>1861</v>
      </c>
      <c r="H197" s="2" t="s">
        <v>1140</v>
      </c>
      <c r="I197" s="2"/>
      <c r="J197" s="16" t="s">
        <v>1146</v>
      </c>
      <c r="K197" s="16"/>
      <c r="L197" s="2" t="s">
        <v>926</v>
      </c>
      <c r="M197" s="16">
        <v>6.66</v>
      </c>
      <c r="N197" s="16" t="s">
        <v>953</v>
      </c>
      <c r="O197" s="2">
        <v>7.05</v>
      </c>
      <c r="P197" s="2">
        <v>7.18</v>
      </c>
      <c r="Q197" s="16"/>
      <c r="R197" s="17"/>
      <c r="S197">
        <f t="shared" si="3"/>
        <v>6.9633333333333338</v>
      </c>
    </row>
    <row r="198" spans="1:19" x14ac:dyDescent="0.3">
      <c r="A198" s="5">
        <v>197</v>
      </c>
      <c r="B198" s="2">
        <v>1323197</v>
      </c>
      <c r="C198" s="2" t="s">
        <v>204</v>
      </c>
      <c r="D198" s="15" t="s">
        <v>709</v>
      </c>
      <c r="E198" s="2" t="s">
        <v>1240</v>
      </c>
      <c r="F198" s="26">
        <v>8708062651</v>
      </c>
      <c r="G198" s="26" t="s">
        <v>1862</v>
      </c>
      <c r="H198" s="2" t="s">
        <v>1140</v>
      </c>
      <c r="I198" s="2"/>
      <c r="J198" s="16" t="s">
        <v>1146</v>
      </c>
      <c r="K198" s="16"/>
      <c r="L198" s="2" t="s">
        <v>926</v>
      </c>
      <c r="M198" s="16" t="s">
        <v>1630</v>
      </c>
      <c r="N198" s="16">
        <v>6.2</v>
      </c>
      <c r="O198" s="2" t="s">
        <v>2210</v>
      </c>
      <c r="P198" s="2">
        <v>5.61</v>
      </c>
      <c r="Q198" s="16"/>
      <c r="R198" s="17"/>
      <c r="S198">
        <f t="shared" si="3"/>
        <v>5.9050000000000002</v>
      </c>
    </row>
    <row r="199" spans="1:19" x14ac:dyDescent="0.3">
      <c r="A199" s="5">
        <v>198</v>
      </c>
      <c r="B199" s="2">
        <v>1323198</v>
      </c>
      <c r="C199" s="2" t="s">
        <v>205</v>
      </c>
      <c r="D199" s="15" t="s">
        <v>710</v>
      </c>
      <c r="E199" s="2" t="s">
        <v>1241</v>
      </c>
      <c r="F199" s="26">
        <v>8708255324</v>
      </c>
      <c r="G199" s="26" t="s">
        <v>1863</v>
      </c>
      <c r="H199" s="2" t="s">
        <v>1140</v>
      </c>
      <c r="I199" s="2"/>
      <c r="J199" s="16" t="s">
        <v>1146</v>
      </c>
      <c r="K199" s="16"/>
      <c r="L199" s="2" t="s">
        <v>926</v>
      </c>
      <c r="M199" s="16" t="s">
        <v>1631</v>
      </c>
      <c r="N199" s="16" t="s">
        <v>1681</v>
      </c>
      <c r="O199" s="2" t="s">
        <v>2221</v>
      </c>
      <c r="P199" s="2" t="s">
        <v>2249</v>
      </c>
      <c r="Q199" s="16"/>
      <c r="R199" s="17"/>
      <c r="S199" t="e">
        <f t="shared" si="3"/>
        <v>#DIV/0!</v>
      </c>
    </row>
    <row r="200" spans="1:19" x14ac:dyDescent="0.3">
      <c r="A200" s="5">
        <v>199</v>
      </c>
      <c r="B200" s="2">
        <v>1323199</v>
      </c>
      <c r="C200" s="2" t="s">
        <v>206</v>
      </c>
      <c r="D200" s="15" t="s">
        <v>711</v>
      </c>
      <c r="E200" s="2" t="s">
        <v>1242</v>
      </c>
      <c r="F200" s="26">
        <v>8709859500</v>
      </c>
      <c r="G200" s="26" t="s">
        <v>1864</v>
      </c>
      <c r="H200" s="2" t="s">
        <v>1140</v>
      </c>
      <c r="I200" s="2"/>
      <c r="J200" s="16" t="s">
        <v>1146</v>
      </c>
      <c r="K200" s="16"/>
      <c r="L200" s="2" t="s">
        <v>926</v>
      </c>
      <c r="M200" s="16" t="s">
        <v>958</v>
      </c>
      <c r="N200" s="16">
        <v>5.91</v>
      </c>
      <c r="O200" s="2">
        <v>7.23</v>
      </c>
      <c r="P200" s="2">
        <v>7.73</v>
      </c>
      <c r="Q200" s="16"/>
      <c r="R200" s="17"/>
      <c r="S200">
        <f t="shared" si="3"/>
        <v>6.956666666666667</v>
      </c>
    </row>
    <row r="201" spans="1:19" x14ac:dyDescent="0.3">
      <c r="A201" s="5">
        <v>200</v>
      </c>
      <c r="B201" s="2">
        <v>1323200</v>
      </c>
      <c r="C201" s="2" t="s">
        <v>207</v>
      </c>
      <c r="D201" s="15" t="s">
        <v>1493</v>
      </c>
      <c r="E201" s="2" t="s">
        <v>1228</v>
      </c>
      <c r="F201" s="26">
        <v>8814015869</v>
      </c>
      <c r="G201" s="26" t="s">
        <v>1865</v>
      </c>
      <c r="H201" s="2" t="s">
        <v>1140</v>
      </c>
      <c r="I201" s="2"/>
      <c r="J201" s="16" t="s">
        <v>1146</v>
      </c>
      <c r="K201" s="16"/>
      <c r="L201" s="2" t="s">
        <v>926</v>
      </c>
      <c r="M201" s="16">
        <v>7.39</v>
      </c>
      <c r="N201" s="16">
        <v>6.91</v>
      </c>
      <c r="O201" s="2">
        <v>7.05</v>
      </c>
      <c r="P201" s="2">
        <v>7.86</v>
      </c>
      <c r="Q201" s="16"/>
      <c r="R201" s="17"/>
      <c r="S201">
        <f t="shared" si="3"/>
        <v>7.3025000000000002</v>
      </c>
    </row>
    <row r="202" spans="1:19" x14ac:dyDescent="0.3">
      <c r="A202" s="5">
        <v>201</v>
      </c>
      <c r="B202" s="2">
        <v>1323201</v>
      </c>
      <c r="C202" s="2" t="s">
        <v>208</v>
      </c>
      <c r="D202" s="15" t="s">
        <v>1494</v>
      </c>
      <c r="E202" s="2" t="s">
        <v>1243</v>
      </c>
      <c r="F202" s="26">
        <v>8930040994</v>
      </c>
      <c r="G202" s="26" t="s">
        <v>1866</v>
      </c>
      <c r="H202" s="2" t="s">
        <v>1140</v>
      </c>
      <c r="I202" s="2"/>
      <c r="J202" s="16" t="s">
        <v>1146</v>
      </c>
      <c r="K202" s="16"/>
      <c r="L202" s="2" t="s">
        <v>926</v>
      </c>
      <c r="M202" s="16">
        <v>8.23</v>
      </c>
      <c r="N202" s="16">
        <v>8.14</v>
      </c>
      <c r="O202" s="2">
        <v>8.41</v>
      </c>
      <c r="P202" s="2">
        <v>8.41</v>
      </c>
      <c r="Q202" s="16"/>
      <c r="R202" s="17"/>
      <c r="S202">
        <f t="shared" si="3"/>
        <v>8.2974999999999994</v>
      </c>
    </row>
    <row r="203" spans="1:19" x14ac:dyDescent="0.3">
      <c r="A203" s="5">
        <v>202</v>
      </c>
      <c r="B203" s="2">
        <v>1323202</v>
      </c>
      <c r="C203" s="2" t="s">
        <v>209</v>
      </c>
      <c r="D203" s="15" t="s">
        <v>1495</v>
      </c>
      <c r="E203" s="2" t="s">
        <v>1166</v>
      </c>
      <c r="F203" s="26">
        <v>8930914967</v>
      </c>
      <c r="G203" s="26" t="s">
        <v>1867</v>
      </c>
      <c r="H203" s="2" t="s">
        <v>1140</v>
      </c>
      <c r="I203" s="2"/>
      <c r="J203" s="16"/>
      <c r="K203" s="16"/>
      <c r="L203" s="2" t="s">
        <v>926</v>
      </c>
      <c r="M203" s="16">
        <v>6.91</v>
      </c>
      <c r="N203" s="16">
        <v>6.91</v>
      </c>
      <c r="O203" s="2">
        <v>7.59</v>
      </c>
      <c r="P203" s="2">
        <v>7.3</v>
      </c>
      <c r="Q203" s="16"/>
      <c r="R203" s="17"/>
      <c r="S203">
        <f t="shared" si="3"/>
        <v>7.1775000000000002</v>
      </c>
    </row>
    <row r="204" spans="1:19" x14ac:dyDescent="0.3">
      <c r="A204" s="5">
        <v>203</v>
      </c>
      <c r="B204" s="2">
        <v>1323203</v>
      </c>
      <c r="C204" s="2" t="s">
        <v>210</v>
      </c>
      <c r="D204" s="15" t="s">
        <v>712</v>
      </c>
      <c r="E204" s="2" t="s">
        <v>1244</v>
      </c>
      <c r="F204" s="26">
        <v>8950499446</v>
      </c>
      <c r="G204" s="26" t="s">
        <v>1868</v>
      </c>
      <c r="H204" s="2" t="s">
        <v>1140</v>
      </c>
      <c r="I204" s="2"/>
      <c r="J204" s="16" t="s">
        <v>1146</v>
      </c>
      <c r="K204" s="16"/>
      <c r="L204" s="2" t="s">
        <v>926</v>
      </c>
      <c r="M204" s="16">
        <v>7.64</v>
      </c>
      <c r="N204" s="16" t="s">
        <v>953</v>
      </c>
      <c r="O204" s="2">
        <v>7.32</v>
      </c>
      <c r="P204" s="2">
        <v>7.68</v>
      </c>
      <c r="Q204" s="16"/>
      <c r="R204" s="17"/>
      <c r="S204">
        <f t="shared" si="3"/>
        <v>7.5466666666666669</v>
      </c>
    </row>
    <row r="205" spans="1:19" x14ac:dyDescent="0.3">
      <c r="A205" s="5">
        <v>204</v>
      </c>
      <c r="B205" s="2">
        <v>1323204</v>
      </c>
      <c r="C205" s="2" t="s">
        <v>211</v>
      </c>
      <c r="D205" s="15" t="s">
        <v>727</v>
      </c>
      <c r="E205" s="2" t="s">
        <v>1245</v>
      </c>
      <c r="F205" s="26">
        <v>9050848975</v>
      </c>
      <c r="G205" s="26" t="s">
        <v>1869</v>
      </c>
      <c r="H205" s="2" t="s">
        <v>1140</v>
      </c>
      <c r="I205" s="2"/>
      <c r="J205" s="16" t="s">
        <v>1146</v>
      </c>
      <c r="K205" s="16"/>
      <c r="L205" s="2" t="s">
        <v>926</v>
      </c>
      <c r="M205" s="16">
        <v>7.68</v>
      </c>
      <c r="N205" s="16">
        <v>7.91</v>
      </c>
      <c r="O205" s="2">
        <v>7.36</v>
      </c>
      <c r="P205" s="2">
        <v>7.55</v>
      </c>
      <c r="Q205" s="16"/>
      <c r="R205" s="17"/>
      <c r="S205">
        <f t="shared" si="3"/>
        <v>7.625</v>
      </c>
    </row>
    <row r="206" spans="1:19" x14ac:dyDescent="0.3">
      <c r="A206" s="5">
        <v>205</v>
      </c>
      <c r="B206" s="2">
        <v>1323205</v>
      </c>
      <c r="C206" s="2" t="s">
        <v>212</v>
      </c>
      <c r="D206" s="15" t="s">
        <v>656</v>
      </c>
      <c r="E206" s="2" t="s">
        <v>1246</v>
      </c>
      <c r="F206" s="26">
        <v>9053069564</v>
      </c>
      <c r="G206" s="26" t="s">
        <v>1870</v>
      </c>
      <c r="H206" s="2" t="s">
        <v>1140</v>
      </c>
      <c r="I206" s="2"/>
      <c r="J206" s="16" t="s">
        <v>1146</v>
      </c>
      <c r="K206" s="16"/>
      <c r="L206" s="2" t="s">
        <v>926</v>
      </c>
      <c r="M206" s="16">
        <v>8.09</v>
      </c>
      <c r="N206" s="16">
        <v>8.5500000000000007</v>
      </c>
      <c r="O206" s="2">
        <v>7.86</v>
      </c>
      <c r="P206" s="2">
        <v>8.18</v>
      </c>
      <c r="Q206" s="16"/>
      <c r="R206" s="17"/>
      <c r="S206">
        <f t="shared" si="3"/>
        <v>8.17</v>
      </c>
    </row>
    <row r="207" spans="1:19" x14ac:dyDescent="0.3">
      <c r="A207" s="5">
        <v>206</v>
      </c>
      <c r="B207" s="2">
        <v>1323206</v>
      </c>
      <c r="C207" s="2" t="s">
        <v>213</v>
      </c>
      <c r="D207" s="18" t="s">
        <v>643</v>
      </c>
      <c r="E207" s="2" t="s">
        <v>1187</v>
      </c>
      <c r="F207" s="26">
        <v>9053502469</v>
      </c>
      <c r="G207" s="26" t="s">
        <v>1871</v>
      </c>
      <c r="H207" s="2" t="s">
        <v>1140</v>
      </c>
      <c r="I207" s="2"/>
      <c r="J207" s="16" t="s">
        <v>1146</v>
      </c>
      <c r="K207" s="16"/>
      <c r="L207" s="2" t="s">
        <v>926</v>
      </c>
      <c r="M207" s="16">
        <v>8.36</v>
      </c>
      <c r="N207" s="16" t="s">
        <v>953</v>
      </c>
      <c r="O207" s="2">
        <v>8.68</v>
      </c>
      <c r="P207" s="2">
        <v>8.82</v>
      </c>
      <c r="Q207" s="16"/>
      <c r="R207" s="17"/>
      <c r="S207">
        <f t="shared" si="3"/>
        <v>8.6199999999999992</v>
      </c>
    </row>
    <row r="208" spans="1:19" x14ac:dyDescent="0.3">
      <c r="A208" s="5">
        <v>207</v>
      </c>
      <c r="B208" s="2">
        <v>1323207</v>
      </c>
      <c r="C208" s="2" t="s">
        <v>214</v>
      </c>
      <c r="D208" s="15" t="s">
        <v>1496</v>
      </c>
      <c r="E208" s="2" t="s">
        <v>1247</v>
      </c>
      <c r="F208" s="26">
        <v>9255163819</v>
      </c>
      <c r="G208" s="26" t="s">
        <v>1872</v>
      </c>
      <c r="H208" s="2" t="s">
        <v>1140</v>
      </c>
      <c r="I208" s="2"/>
      <c r="J208" s="16" t="s">
        <v>1146</v>
      </c>
      <c r="K208" s="16"/>
      <c r="L208" s="2" t="s">
        <v>926</v>
      </c>
      <c r="M208" s="16" t="s">
        <v>1632</v>
      </c>
      <c r="N208" s="16">
        <v>6.25</v>
      </c>
      <c r="O208" s="2" t="s">
        <v>2210</v>
      </c>
      <c r="P208" s="2" t="s">
        <v>2269</v>
      </c>
      <c r="Q208" s="16"/>
      <c r="R208" s="17"/>
      <c r="S208">
        <f t="shared" si="3"/>
        <v>6.25</v>
      </c>
    </row>
    <row r="209" spans="1:19" x14ac:dyDescent="0.3">
      <c r="A209" s="5">
        <v>208</v>
      </c>
      <c r="B209" s="2">
        <v>1323208</v>
      </c>
      <c r="C209" s="2" t="s">
        <v>215</v>
      </c>
      <c r="D209" s="18" t="s">
        <v>713</v>
      </c>
      <c r="E209" s="2" t="s">
        <v>1248</v>
      </c>
      <c r="F209" s="26">
        <v>6396481967</v>
      </c>
      <c r="G209" s="26" t="s">
        <v>1873</v>
      </c>
      <c r="H209" s="2" t="s">
        <v>1140</v>
      </c>
      <c r="I209" s="2"/>
      <c r="J209" s="16" t="s">
        <v>1146</v>
      </c>
      <c r="K209" s="16"/>
      <c r="L209" s="2" t="s">
        <v>926</v>
      </c>
      <c r="M209" s="16">
        <v>6.09</v>
      </c>
      <c r="N209" s="16" t="s">
        <v>1662</v>
      </c>
      <c r="O209" s="2" t="s">
        <v>2208</v>
      </c>
      <c r="P209" s="2" t="s">
        <v>2270</v>
      </c>
      <c r="Q209" s="16"/>
      <c r="R209" s="17"/>
      <c r="S209">
        <f t="shared" si="3"/>
        <v>6.09</v>
      </c>
    </row>
    <row r="210" spans="1:19" x14ac:dyDescent="0.3">
      <c r="A210" s="5">
        <v>209</v>
      </c>
      <c r="B210" s="2">
        <v>1323209</v>
      </c>
      <c r="C210" s="2" t="s">
        <v>216</v>
      </c>
      <c r="D210" s="15" t="s">
        <v>1497</v>
      </c>
      <c r="E210" s="2" t="s">
        <v>1249</v>
      </c>
      <c r="F210" s="26">
        <v>9306479615</v>
      </c>
      <c r="G210" s="26" t="s">
        <v>1874</v>
      </c>
      <c r="H210" s="2" t="s">
        <v>1140</v>
      </c>
      <c r="I210" s="2"/>
      <c r="J210" s="16" t="s">
        <v>1146</v>
      </c>
      <c r="K210" s="16"/>
      <c r="L210" s="2" t="s">
        <v>926</v>
      </c>
      <c r="M210" s="16">
        <v>7.5</v>
      </c>
      <c r="N210" s="16">
        <v>8.23</v>
      </c>
      <c r="O210" s="2">
        <v>8.82</v>
      </c>
      <c r="P210" s="2">
        <v>8.23</v>
      </c>
      <c r="Q210" s="16"/>
      <c r="R210" s="17"/>
      <c r="S210">
        <f t="shared" si="3"/>
        <v>8.1950000000000003</v>
      </c>
    </row>
    <row r="211" spans="1:19" x14ac:dyDescent="0.3">
      <c r="A211" s="5">
        <v>210</v>
      </c>
      <c r="B211" s="2">
        <v>1323210</v>
      </c>
      <c r="C211" s="2" t="s">
        <v>217</v>
      </c>
      <c r="D211" s="15" t="s">
        <v>714</v>
      </c>
      <c r="E211" s="2" t="s">
        <v>1250</v>
      </c>
      <c r="F211" s="26">
        <v>9306745757</v>
      </c>
      <c r="G211" s="26" t="s">
        <v>1875</v>
      </c>
      <c r="H211" s="2" t="s">
        <v>1140</v>
      </c>
      <c r="I211" s="2"/>
      <c r="J211" s="16" t="s">
        <v>1146</v>
      </c>
      <c r="K211" s="16"/>
      <c r="L211" s="2" t="s">
        <v>926</v>
      </c>
      <c r="M211" s="16">
        <v>7.82</v>
      </c>
      <c r="N211" s="16">
        <v>8</v>
      </c>
      <c r="O211" s="2">
        <v>8.64</v>
      </c>
      <c r="P211" s="2">
        <v>8.14</v>
      </c>
      <c r="Q211" s="16"/>
      <c r="R211" s="17"/>
      <c r="S211">
        <f t="shared" si="3"/>
        <v>8.15</v>
      </c>
    </row>
    <row r="212" spans="1:19" x14ac:dyDescent="0.3">
      <c r="A212" s="5">
        <v>211</v>
      </c>
      <c r="B212" s="2">
        <v>1323211</v>
      </c>
      <c r="C212" s="2" t="s">
        <v>218</v>
      </c>
      <c r="D212" s="15" t="s">
        <v>1498</v>
      </c>
      <c r="E212" s="2" t="s">
        <v>1251</v>
      </c>
      <c r="F212" s="26">
        <v>9350135986</v>
      </c>
      <c r="G212" s="26" t="s">
        <v>1876</v>
      </c>
      <c r="H212" s="2" t="s">
        <v>1140</v>
      </c>
      <c r="I212" s="2"/>
      <c r="J212" s="16" t="s">
        <v>1146</v>
      </c>
      <c r="K212" s="16"/>
      <c r="L212" s="2" t="s">
        <v>926</v>
      </c>
      <c r="M212" s="16">
        <v>5.86</v>
      </c>
      <c r="N212" s="16">
        <v>5.82</v>
      </c>
      <c r="O212" s="2">
        <v>6.23</v>
      </c>
      <c r="P212" s="2" t="s">
        <v>2250</v>
      </c>
      <c r="Q212" s="16"/>
      <c r="R212" s="17"/>
      <c r="S212">
        <f t="shared" si="3"/>
        <v>5.97</v>
      </c>
    </row>
    <row r="213" spans="1:19" x14ac:dyDescent="0.3">
      <c r="A213" s="5">
        <v>212</v>
      </c>
      <c r="B213" s="2">
        <v>1323212</v>
      </c>
      <c r="C213" s="2" t="s">
        <v>219</v>
      </c>
      <c r="D213" s="15" t="s">
        <v>1499</v>
      </c>
      <c r="E213" s="2" t="s">
        <v>1252</v>
      </c>
      <c r="F213" s="26"/>
      <c r="G213" s="26"/>
      <c r="H213" s="2"/>
      <c r="I213" s="2"/>
      <c r="J213" s="16"/>
      <c r="K213" s="16"/>
      <c r="L213" s="2"/>
      <c r="M213" s="16">
        <v>6.23</v>
      </c>
      <c r="N213" s="16" t="s">
        <v>953</v>
      </c>
      <c r="O213" s="2"/>
      <c r="P213" s="2"/>
      <c r="Q213" s="16"/>
      <c r="R213" s="17"/>
      <c r="S213">
        <f t="shared" si="3"/>
        <v>6.23</v>
      </c>
    </row>
    <row r="214" spans="1:19" x14ac:dyDescent="0.3">
      <c r="A214" s="5">
        <v>213</v>
      </c>
      <c r="B214" s="2">
        <v>1323213</v>
      </c>
      <c r="C214" s="2" t="s">
        <v>220</v>
      </c>
      <c r="D214" s="15" t="s">
        <v>715</v>
      </c>
      <c r="E214" s="2" t="s">
        <v>1253</v>
      </c>
      <c r="F214" s="26">
        <v>9350243679</v>
      </c>
      <c r="G214" s="26" t="s">
        <v>1877</v>
      </c>
      <c r="H214" s="2" t="s">
        <v>1140</v>
      </c>
      <c r="I214" s="2"/>
      <c r="J214" s="16" t="s">
        <v>1146</v>
      </c>
      <c r="K214" s="16"/>
      <c r="L214" s="2" t="s">
        <v>926</v>
      </c>
      <c r="M214" s="16">
        <v>9.18</v>
      </c>
      <c r="N214" s="16">
        <v>9.0500000000000007</v>
      </c>
      <c r="O214" s="2">
        <v>9.09</v>
      </c>
      <c r="P214" s="2">
        <v>9.14</v>
      </c>
      <c r="Q214" s="16"/>
      <c r="R214" s="17"/>
      <c r="S214">
        <f t="shared" si="3"/>
        <v>9.1150000000000002</v>
      </c>
    </row>
    <row r="215" spans="1:19" x14ac:dyDescent="0.3">
      <c r="A215" s="5">
        <v>214</v>
      </c>
      <c r="B215" s="2">
        <v>1323214</v>
      </c>
      <c r="C215" s="2" t="s">
        <v>221</v>
      </c>
      <c r="D215" s="15" t="s">
        <v>655</v>
      </c>
      <c r="E215" s="2" t="s">
        <v>1173</v>
      </c>
      <c r="F215" s="26">
        <v>9355723476</v>
      </c>
      <c r="G215" s="26" t="s">
        <v>1878</v>
      </c>
      <c r="H215" s="2" t="s">
        <v>1140</v>
      </c>
      <c r="I215" s="2"/>
      <c r="J215" s="16" t="s">
        <v>1146</v>
      </c>
      <c r="K215" s="16"/>
      <c r="L215" s="2" t="s">
        <v>926</v>
      </c>
      <c r="M215" s="16">
        <v>7.05</v>
      </c>
      <c r="N215" s="16" t="s">
        <v>953</v>
      </c>
      <c r="O215" s="2">
        <v>7.64</v>
      </c>
      <c r="P215" s="2">
        <v>6.34</v>
      </c>
      <c r="Q215" s="16"/>
      <c r="R215" s="17"/>
      <c r="S215">
        <f t="shared" si="3"/>
        <v>7.0100000000000007</v>
      </c>
    </row>
    <row r="216" spans="1:19" x14ac:dyDescent="0.3">
      <c r="A216" s="5">
        <v>215</v>
      </c>
      <c r="B216" s="2">
        <v>1323215</v>
      </c>
      <c r="C216" s="2" t="s">
        <v>222</v>
      </c>
      <c r="D216" s="15" t="s">
        <v>1201</v>
      </c>
      <c r="E216" s="2" t="s">
        <v>613</v>
      </c>
      <c r="F216" s="26">
        <v>9416311257</v>
      </c>
      <c r="G216" s="26" t="s">
        <v>1879</v>
      </c>
      <c r="H216" s="2" t="s">
        <v>1140</v>
      </c>
      <c r="I216" s="2"/>
      <c r="J216" s="16" t="s">
        <v>1146</v>
      </c>
      <c r="K216" s="16"/>
      <c r="L216" s="2" t="s">
        <v>926</v>
      </c>
      <c r="M216" s="16">
        <v>6.91</v>
      </c>
      <c r="N216" s="16">
        <v>7.27</v>
      </c>
      <c r="O216" s="2">
        <v>7.23</v>
      </c>
      <c r="P216" s="2">
        <v>6.57</v>
      </c>
      <c r="Q216" s="16"/>
      <c r="R216" s="17"/>
      <c r="S216">
        <f t="shared" si="3"/>
        <v>6.9950000000000001</v>
      </c>
    </row>
    <row r="217" spans="1:19" x14ac:dyDescent="0.3">
      <c r="A217" s="5">
        <v>216</v>
      </c>
      <c r="B217" s="2">
        <v>1323216</v>
      </c>
      <c r="C217" s="2" t="s">
        <v>223</v>
      </c>
      <c r="D217" s="15" t="s">
        <v>716</v>
      </c>
      <c r="E217" s="2" t="s">
        <v>1254</v>
      </c>
      <c r="F217" s="26">
        <v>9457154876</v>
      </c>
      <c r="G217" s="26" t="s">
        <v>1880</v>
      </c>
      <c r="H217" s="2" t="s">
        <v>1140</v>
      </c>
      <c r="I217" s="2"/>
      <c r="J217" s="16"/>
      <c r="K217" s="16"/>
      <c r="L217" s="2" t="s">
        <v>926</v>
      </c>
      <c r="M217" s="16" t="s">
        <v>1633</v>
      </c>
      <c r="N217" s="16" t="s">
        <v>954</v>
      </c>
      <c r="O217" s="2" t="s">
        <v>954</v>
      </c>
      <c r="P217" s="2" t="s">
        <v>954</v>
      </c>
      <c r="Q217" s="16"/>
      <c r="R217" s="17"/>
      <c r="S217" t="e">
        <f t="shared" si="3"/>
        <v>#DIV/0!</v>
      </c>
    </row>
    <row r="218" spans="1:19" x14ac:dyDescent="0.3">
      <c r="A218" s="5">
        <v>217</v>
      </c>
      <c r="B218" s="2">
        <v>1323217</v>
      </c>
      <c r="C218" s="2" t="s">
        <v>224</v>
      </c>
      <c r="D218" s="15" t="s">
        <v>1500</v>
      </c>
      <c r="E218" s="2" t="s">
        <v>1255</v>
      </c>
      <c r="F218" s="26"/>
      <c r="G218" s="26"/>
      <c r="H218" s="2"/>
      <c r="I218" s="2"/>
      <c r="J218" s="16"/>
      <c r="K218" s="16"/>
      <c r="L218" s="2"/>
      <c r="M218" s="16" t="s">
        <v>1630</v>
      </c>
      <c r="N218" s="16"/>
      <c r="O218" s="2"/>
      <c r="P218" s="2"/>
      <c r="Q218" s="16"/>
      <c r="R218" s="17"/>
      <c r="S218" t="e">
        <f t="shared" si="3"/>
        <v>#DIV/0!</v>
      </c>
    </row>
    <row r="219" spans="1:19" x14ac:dyDescent="0.3">
      <c r="A219" s="5">
        <v>218</v>
      </c>
      <c r="B219" s="2">
        <v>1323218</v>
      </c>
      <c r="C219" s="2" t="s">
        <v>225</v>
      </c>
      <c r="D219" s="15" t="s">
        <v>717</v>
      </c>
      <c r="E219" s="2" t="s">
        <v>1256</v>
      </c>
      <c r="F219" s="26">
        <v>9729367917</v>
      </c>
      <c r="G219" s="26" t="s">
        <v>1881</v>
      </c>
      <c r="H219" s="2" t="s">
        <v>1140</v>
      </c>
      <c r="I219" s="2"/>
      <c r="J219" s="16" t="s">
        <v>1146</v>
      </c>
      <c r="K219" s="16"/>
      <c r="L219" s="2" t="s">
        <v>926</v>
      </c>
      <c r="M219" s="16">
        <v>5.95</v>
      </c>
      <c r="N219" s="16">
        <v>6.48</v>
      </c>
      <c r="O219" s="2">
        <v>6.02</v>
      </c>
      <c r="P219" s="2" t="s">
        <v>2249</v>
      </c>
      <c r="Q219" s="16"/>
      <c r="R219" s="17"/>
      <c r="S219">
        <f t="shared" si="3"/>
        <v>6.1499999999999995</v>
      </c>
    </row>
    <row r="220" spans="1:19" x14ac:dyDescent="0.3">
      <c r="A220" s="5">
        <v>219</v>
      </c>
      <c r="B220" s="2">
        <v>1323219</v>
      </c>
      <c r="C220" s="2" t="s">
        <v>226</v>
      </c>
      <c r="D220" s="15" t="s">
        <v>671</v>
      </c>
      <c r="E220" s="2" t="s">
        <v>1173</v>
      </c>
      <c r="F220" s="26">
        <v>9812732732</v>
      </c>
      <c r="G220" s="26" t="s">
        <v>1882</v>
      </c>
      <c r="H220" s="2" t="s">
        <v>1140</v>
      </c>
      <c r="I220" s="2"/>
      <c r="J220" s="16" t="s">
        <v>1146</v>
      </c>
      <c r="K220" s="16"/>
      <c r="L220" s="2" t="s">
        <v>926</v>
      </c>
      <c r="M220" s="16" t="s">
        <v>1625</v>
      </c>
      <c r="N220" s="16">
        <v>6.39</v>
      </c>
      <c r="O220" s="2">
        <v>6.23</v>
      </c>
      <c r="P220" s="2">
        <v>5.91</v>
      </c>
      <c r="Q220" s="16"/>
      <c r="R220" s="17"/>
      <c r="S220">
        <f t="shared" si="3"/>
        <v>6.1766666666666667</v>
      </c>
    </row>
    <row r="221" spans="1:19" x14ac:dyDescent="0.3">
      <c r="A221" s="5">
        <v>220</v>
      </c>
      <c r="B221" s="2">
        <v>1323220</v>
      </c>
      <c r="C221" s="2" t="s">
        <v>227</v>
      </c>
      <c r="D221" s="15" t="s">
        <v>718</v>
      </c>
      <c r="E221" s="2" t="s">
        <v>1257</v>
      </c>
      <c r="F221" s="26">
        <v>9729859333</v>
      </c>
      <c r="G221" s="26" t="s">
        <v>1883</v>
      </c>
      <c r="H221" s="2" t="s">
        <v>1140</v>
      </c>
      <c r="I221" s="2"/>
      <c r="J221" s="16" t="s">
        <v>1146</v>
      </c>
      <c r="K221" s="16"/>
      <c r="L221" s="2" t="s">
        <v>926</v>
      </c>
      <c r="M221" s="16">
        <v>7.27</v>
      </c>
      <c r="N221" s="16">
        <v>7.61</v>
      </c>
      <c r="O221" s="2">
        <v>7.59</v>
      </c>
      <c r="P221" s="2" t="s">
        <v>2249</v>
      </c>
      <c r="Q221" s="16"/>
      <c r="R221" s="17"/>
      <c r="S221">
        <f t="shared" si="3"/>
        <v>7.4899999999999993</v>
      </c>
    </row>
    <row r="222" spans="1:19" x14ac:dyDescent="0.3">
      <c r="A222" s="5">
        <v>221</v>
      </c>
      <c r="B222" s="2">
        <v>1323221</v>
      </c>
      <c r="C222" s="2" t="s">
        <v>228</v>
      </c>
      <c r="D222" s="15" t="s">
        <v>719</v>
      </c>
      <c r="E222" s="2" t="s">
        <v>1125</v>
      </c>
      <c r="F222" s="26">
        <v>9896274308</v>
      </c>
      <c r="G222" s="26" t="s">
        <v>1884</v>
      </c>
      <c r="H222" s="2" t="s">
        <v>1140</v>
      </c>
      <c r="I222" s="2"/>
      <c r="J222" s="16" t="s">
        <v>1146</v>
      </c>
      <c r="K222" s="16"/>
      <c r="L222" s="2" t="s">
        <v>926</v>
      </c>
      <c r="M222" s="16">
        <v>8.27</v>
      </c>
      <c r="N222" s="16">
        <v>8.59</v>
      </c>
      <c r="O222" s="2">
        <v>8.18</v>
      </c>
      <c r="P222" s="2">
        <v>7.68</v>
      </c>
      <c r="Q222" s="16"/>
      <c r="R222" s="17"/>
      <c r="S222">
        <f t="shared" si="3"/>
        <v>8.18</v>
      </c>
    </row>
    <row r="223" spans="1:19" x14ac:dyDescent="0.3">
      <c r="A223" s="5">
        <v>222</v>
      </c>
      <c r="B223" s="2">
        <v>1323222</v>
      </c>
      <c r="C223" s="2" t="s">
        <v>229</v>
      </c>
      <c r="D223" s="15" t="s">
        <v>720</v>
      </c>
      <c r="E223" s="2" t="s">
        <v>891</v>
      </c>
      <c r="F223" s="26">
        <v>9896492818</v>
      </c>
      <c r="G223" s="26" t="s">
        <v>1885</v>
      </c>
      <c r="H223" s="2" t="s">
        <v>1140</v>
      </c>
      <c r="I223" s="2"/>
      <c r="J223" s="16" t="s">
        <v>1146</v>
      </c>
      <c r="K223" s="16"/>
      <c r="L223" s="2" t="s">
        <v>926</v>
      </c>
      <c r="M223" s="16">
        <v>7</v>
      </c>
      <c r="N223" s="16">
        <v>8.41</v>
      </c>
      <c r="O223" s="2">
        <v>8.09</v>
      </c>
      <c r="P223" s="2">
        <v>7.91</v>
      </c>
      <c r="Q223" s="16"/>
      <c r="R223" s="17"/>
      <c r="S223">
        <f t="shared" si="3"/>
        <v>7.8525</v>
      </c>
    </row>
    <row r="224" spans="1:19" x14ac:dyDescent="0.3">
      <c r="A224" s="5">
        <v>223</v>
      </c>
      <c r="B224" s="2">
        <v>1323223</v>
      </c>
      <c r="C224" s="2" t="s">
        <v>230</v>
      </c>
      <c r="D224" s="15" t="s">
        <v>721</v>
      </c>
      <c r="E224" s="2" t="s">
        <v>1258</v>
      </c>
      <c r="F224" s="26">
        <v>9905251524</v>
      </c>
      <c r="G224" s="26" t="s">
        <v>1886</v>
      </c>
      <c r="H224" s="2" t="s">
        <v>1140</v>
      </c>
      <c r="I224" s="2"/>
      <c r="J224" s="16" t="s">
        <v>1146</v>
      </c>
      <c r="K224" s="16"/>
      <c r="L224" s="2" t="s">
        <v>926</v>
      </c>
      <c r="M224" s="16">
        <v>6.27</v>
      </c>
      <c r="N224" s="16">
        <v>7.64</v>
      </c>
      <c r="O224" s="2">
        <v>7.91</v>
      </c>
      <c r="P224" s="2">
        <v>7.86</v>
      </c>
      <c r="Q224" s="16"/>
      <c r="R224" s="17"/>
      <c r="S224">
        <f t="shared" si="3"/>
        <v>7.42</v>
      </c>
    </row>
    <row r="225" spans="1:19" x14ac:dyDescent="0.3">
      <c r="A225" s="5">
        <v>224</v>
      </c>
      <c r="B225" s="2">
        <v>1323224</v>
      </c>
      <c r="C225" s="2" t="s">
        <v>231</v>
      </c>
      <c r="D225" s="15" t="s">
        <v>722</v>
      </c>
      <c r="E225" s="2" t="s">
        <v>1259</v>
      </c>
      <c r="F225" s="26">
        <v>9931441375</v>
      </c>
      <c r="G225" s="26" t="s">
        <v>1887</v>
      </c>
      <c r="H225" s="2" t="s">
        <v>1140</v>
      </c>
      <c r="I225" s="2"/>
      <c r="J225" s="16" t="s">
        <v>1146</v>
      </c>
      <c r="K225" s="16"/>
      <c r="L225" s="2" t="s">
        <v>926</v>
      </c>
      <c r="M225" s="16">
        <v>6.7</v>
      </c>
      <c r="N225" s="16">
        <v>7.14</v>
      </c>
      <c r="O225" s="2">
        <v>7.23</v>
      </c>
      <c r="P225" s="2">
        <v>6.52</v>
      </c>
      <c r="Q225" s="16"/>
      <c r="R225" s="17"/>
      <c r="S225">
        <f t="shared" si="3"/>
        <v>6.8975</v>
      </c>
    </row>
    <row r="226" spans="1:19" x14ac:dyDescent="0.3">
      <c r="A226" s="5">
        <v>225</v>
      </c>
      <c r="B226" s="2">
        <v>1323225</v>
      </c>
      <c r="C226" s="2" t="s">
        <v>232</v>
      </c>
      <c r="D226" s="15" t="s">
        <v>1501</v>
      </c>
      <c r="E226" s="2" t="s">
        <v>1169</v>
      </c>
      <c r="F226" s="26">
        <v>9991021218</v>
      </c>
      <c r="G226" s="26" t="s">
        <v>1888</v>
      </c>
      <c r="H226" s="2" t="s">
        <v>1140</v>
      </c>
      <c r="I226" s="2"/>
      <c r="J226" s="16" t="s">
        <v>1146</v>
      </c>
      <c r="K226" s="16"/>
      <c r="L226" s="2" t="s">
        <v>926</v>
      </c>
      <c r="M226" s="16" t="s">
        <v>1621</v>
      </c>
      <c r="N226" s="16">
        <v>6.59</v>
      </c>
      <c r="O226" s="2">
        <v>6.86</v>
      </c>
      <c r="P226" s="2">
        <v>6.82</v>
      </c>
      <c r="Q226" s="16"/>
      <c r="R226" s="17"/>
      <c r="S226">
        <f t="shared" si="3"/>
        <v>6.7566666666666668</v>
      </c>
    </row>
    <row r="227" spans="1:19" x14ac:dyDescent="0.3">
      <c r="A227" s="5">
        <v>226</v>
      </c>
      <c r="B227" s="2">
        <v>1323226</v>
      </c>
      <c r="C227" s="2" t="s">
        <v>233</v>
      </c>
      <c r="D227" s="15" t="s">
        <v>1502</v>
      </c>
      <c r="E227" s="2" t="s">
        <v>1172</v>
      </c>
      <c r="F227" s="26">
        <v>7082374257</v>
      </c>
      <c r="G227" s="26" t="s">
        <v>1889</v>
      </c>
      <c r="H227" s="2" t="s">
        <v>1140</v>
      </c>
      <c r="I227" s="2"/>
      <c r="J227" s="16" t="s">
        <v>1146</v>
      </c>
      <c r="K227" s="16"/>
      <c r="L227" s="2" t="s">
        <v>926</v>
      </c>
      <c r="M227" s="16">
        <v>7.59</v>
      </c>
      <c r="N227" s="16">
        <v>7.64</v>
      </c>
      <c r="O227" s="2">
        <v>7.91</v>
      </c>
      <c r="P227" s="2">
        <v>7.5</v>
      </c>
      <c r="Q227" s="16"/>
      <c r="R227" s="17"/>
      <c r="S227">
        <f t="shared" si="3"/>
        <v>7.66</v>
      </c>
    </row>
    <row r="228" spans="1:19" x14ac:dyDescent="0.3">
      <c r="A228" s="5">
        <v>227</v>
      </c>
      <c r="B228" s="2">
        <v>1323227</v>
      </c>
      <c r="C228" s="2" t="s">
        <v>234</v>
      </c>
      <c r="D228" s="15" t="s">
        <v>723</v>
      </c>
      <c r="E228" s="2" t="s">
        <v>1260</v>
      </c>
      <c r="F228" s="26">
        <v>9306798882</v>
      </c>
      <c r="G228" s="26" t="s">
        <v>1890</v>
      </c>
      <c r="H228" s="2" t="s">
        <v>1140</v>
      </c>
      <c r="I228" s="2"/>
      <c r="J228" s="16" t="s">
        <v>1146</v>
      </c>
      <c r="K228" s="16"/>
      <c r="L228" s="2" t="s">
        <v>926</v>
      </c>
      <c r="M228" s="16">
        <v>7.41</v>
      </c>
      <c r="N228" s="16">
        <v>7.77</v>
      </c>
      <c r="O228" s="2">
        <v>8.18</v>
      </c>
      <c r="P228" s="2">
        <v>7.95</v>
      </c>
      <c r="Q228" s="16"/>
      <c r="R228" s="17"/>
      <c r="S228">
        <f t="shared" si="3"/>
        <v>7.8274999999999997</v>
      </c>
    </row>
    <row r="229" spans="1:19" x14ac:dyDescent="0.3">
      <c r="A229" s="5">
        <v>228</v>
      </c>
      <c r="B229" s="2">
        <v>1323228</v>
      </c>
      <c r="C229" s="2" t="s">
        <v>235</v>
      </c>
      <c r="D229" s="15" t="s">
        <v>724</v>
      </c>
      <c r="E229" s="2" t="s">
        <v>1261</v>
      </c>
      <c r="F229" s="26">
        <v>7206210245</v>
      </c>
      <c r="G229" s="26" t="s">
        <v>1891</v>
      </c>
      <c r="H229" s="2" t="s">
        <v>1140</v>
      </c>
      <c r="I229" s="2"/>
      <c r="J229" s="16" t="s">
        <v>1146</v>
      </c>
      <c r="K229" s="16"/>
      <c r="L229" s="2" t="s">
        <v>926</v>
      </c>
      <c r="M229" s="16">
        <v>6</v>
      </c>
      <c r="N229" s="16" t="s">
        <v>953</v>
      </c>
      <c r="O229" s="2" t="s">
        <v>2224</v>
      </c>
      <c r="P229" s="2" t="s">
        <v>2271</v>
      </c>
      <c r="Q229" s="16"/>
      <c r="R229" s="17"/>
      <c r="S229">
        <f t="shared" si="3"/>
        <v>6</v>
      </c>
    </row>
    <row r="230" spans="1:19" x14ac:dyDescent="0.3">
      <c r="A230" s="5">
        <v>229</v>
      </c>
      <c r="B230" s="2">
        <v>1323229</v>
      </c>
      <c r="C230" s="2" t="s">
        <v>236</v>
      </c>
      <c r="D230" s="15" t="s">
        <v>641</v>
      </c>
      <c r="E230" s="2" t="s">
        <v>963</v>
      </c>
      <c r="F230" s="26">
        <v>8307064883</v>
      </c>
      <c r="G230" s="26" t="s">
        <v>1892</v>
      </c>
      <c r="H230" s="2" t="s">
        <v>1140</v>
      </c>
      <c r="I230" s="2"/>
      <c r="J230" s="16" t="s">
        <v>1146</v>
      </c>
      <c r="K230" s="16"/>
      <c r="L230" s="2" t="s">
        <v>926</v>
      </c>
      <c r="M230" s="16" t="s">
        <v>953</v>
      </c>
      <c r="N230" s="16" t="s">
        <v>953</v>
      </c>
      <c r="O230" s="2" t="s">
        <v>2224</v>
      </c>
      <c r="P230" s="2" t="s">
        <v>2272</v>
      </c>
      <c r="Q230" s="16"/>
      <c r="R230" s="17"/>
      <c r="S230" t="e">
        <f t="shared" si="3"/>
        <v>#DIV/0!</v>
      </c>
    </row>
    <row r="231" spans="1:19" x14ac:dyDescent="0.3">
      <c r="A231" s="5">
        <v>230</v>
      </c>
      <c r="B231" s="2">
        <v>1323230</v>
      </c>
      <c r="C231" s="2" t="s">
        <v>237</v>
      </c>
      <c r="D231" s="15" t="s">
        <v>1503</v>
      </c>
      <c r="E231" s="2" t="s">
        <v>1130</v>
      </c>
      <c r="F231" s="26"/>
      <c r="G231" s="26"/>
      <c r="H231" s="2"/>
      <c r="I231" s="2"/>
      <c r="J231" s="16"/>
      <c r="K231" s="16"/>
      <c r="L231" s="2"/>
      <c r="M231" s="16" t="s">
        <v>1626</v>
      </c>
      <c r="N231" s="16" t="s">
        <v>1663</v>
      </c>
      <c r="O231" s="2"/>
      <c r="P231" s="2"/>
      <c r="Q231" s="16"/>
      <c r="R231" s="17"/>
      <c r="S231" t="e">
        <f t="shared" si="3"/>
        <v>#DIV/0!</v>
      </c>
    </row>
    <row r="232" spans="1:19" x14ac:dyDescent="0.3">
      <c r="A232" s="5">
        <v>231</v>
      </c>
      <c r="B232" s="2">
        <v>1323231</v>
      </c>
      <c r="C232" s="2" t="s">
        <v>238</v>
      </c>
      <c r="D232" s="15" t="s">
        <v>1504</v>
      </c>
      <c r="E232" s="2" t="s">
        <v>1260</v>
      </c>
      <c r="F232" s="26"/>
      <c r="G232" s="26"/>
      <c r="H232" s="2"/>
      <c r="I232" s="2"/>
      <c r="J232" s="16"/>
      <c r="K232" s="16"/>
      <c r="L232" s="2"/>
      <c r="M232" s="16" t="s">
        <v>958</v>
      </c>
      <c r="N232" s="16"/>
      <c r="O232" s="2"/>
      <c r="P232" s="2"/>
      <c r="Q232" s="16"/>
      <c r="R232" s="17"/>
      <c r="S232" t="e">
        <f t="shared" si="3"/>
        <v>#DIV/0!</v>
      </c>
    </row>
    <row r="233" spans="1:19" x14ac:dyDescent="0.3">
      <c r="A233" s="5">
        <v>232</v>
      </c>
      <c r="B233" s="2">
        <v>1323232</v>
      </c>
      <c r="C233" s="2" t="s">
        <v>239</v>
      </c>
      <c r="D233" s="15" t="s">
        <v>1505</v>
      </c>
      <c r="E233" s="2" t="s">
        <v>1158</v>
      </c>
      <c r="F233" s="26">
        <v>9350421711</v>
      </c>
      <c r="G233" s="26" t="s">
        <v>1893</v>
      </c>
      <c r="H233" s="2" t="s">
        <v>1140</v>
      </c>
      <c r="I233" s="2"/>
      <c r="J233" s="16" t="s">
        <v>1146</v>
      </c>
      <c r="K233" s="16"/>
      <c r="L233" s="2" t="s">
        <v>926</v>
      </c>
      <c r="M233" s="16">
        <v>7.86</v>
      </c>
      <c r="N233" s="16">
        <v>8.41</v>
      </c>
      <c r="O233" s="2">
        <v>7.73</v>
      </c>
      <c r="P233" s="2">
        <v>7.32</v>
      </c>
      <c r="Q233" s="16"/>
      <c r="R233" s="17"/>
      <c r="S233">
        <f t="shared" si="3"/>
        <v>7.83</v>
      </c>
    </row>
    <row r="234" spans="1:19" x14ac:dyDescent="0.3">
      <c r="A234" s="5">
        <v>233</v>
      </c>
      <c r="B234" s="2">
        <v>1323233</v>
      </c>
      <c r="C234" s="2" t="s">
        <v>240</v>
      </c>
      <c r="D234" s="15" t="s">
        <v>725</v>
      </c>
      <c r="E234" s="2" t="s">
        <v>1262</v>
      </c>
      <c r="F234" s="26">
        <v>9896129815</v>
      </c>
      <c r="G234" s="26" t="s">
        <v>1894</v>
      </c>
      <c r="H234" s="2" t="s">
        <v>1140</v>
      </c>
      <c r="I234" s="2"/>
      <c r="J234" s="16" t="s">
        <v>1146</v>
      </c>
      <c r="K234" s="16"/>
      <c r="L234" s="2" t="s">
        <v>926</v>
      </c>
      <c r="M234" s="16">
        <v>7.45</v>
      </c>
      <c r="N234" s="16" t="s">
        <v>1682</v>
      </c>
      <c r="O234" s="2">
        <v>7.14</v>
      </c>
      <c r="P234" s="2">
        <v>7.14</v>
      </c>
      <c r="Q234" s="16"/>
      <c r="R234" s="17"/>
      <c r="S234">
        <f t="shared" si="3"/>
        <v>7.2433333333333332</v>
      </c>
    </row>
    <row r="235" spans="1:19" x14ac:dyDescent="0.3">
      <c r="A235" s="5">
        <v>234</v>
      </c>
      <c r="B235" s="2">
        <v>1323234</v>
      </c>
      <c r="C235" s="2" t="s">
        <v>241</v>
      </c>
      <c r="D235" s="15" t="s">
        <v>726</v>
      </c>
      <c r="E235" s="2" t="s">
        <v>1263</v>
      </c>
      <c r="F235" s="26">
        <v>8816800791</v>
      </c>
      <c r="G235" s="26" t="s">
        <v>1895</v>
      </c>
      <c r="H235" s="2" t="s">
        <v>1140</v>
      </c>
      <c r="I235" s="2"/>
      <c r="J235" s="16" t="s">
        <v>1146</v>
      </c>
      <c r="K235" s="16"/>
      <c r="L235" s="2" t="s">
        <v>926</v>
      </c>
      <c r="M235" s="16">
        <v>7.41</v>
      </c>
      <c r="N235" s="16" t="s">
        <v>953</v>
      </c>
      <c r="O235" s="2">
        <v>7.23</v>
      </c>
      <c r="P235" s="2">
        <v>6.86</v>
      </c>
      <c r="Q235" s="16"/>
      <c r="R235" s="17"/>
      <c r="S235">
        <f t="shared" si="3"/>
        <v>7.166666666666667</v>
      </c>
    </row>
    <row r="236" spans="1:19" x14ac:dyDescent="0.3">
      <c r="A236" s="5">
        <v>235</v>
      </c>
      <c r="B236" s="2">
        <v>1323235</v>
      </c>
      <c r="C236" s="2" t="s">
        <v>242</v>
      </c>
      <c r="D236" s="15" t="s">
        <v>686</v>
      </c>
      <c r="E236" s="2" t="s">
        <v>1097</v>
      </c>
      <c r="F236" s="26"/>
      <c r="G236" s="26"/>
      <c r="H236" s="2"/>
      <c r="I236" s="2"/>
      <c r="J236" s="16"/>
      <c r="K236" s="16"/>
      <c r="L236" s="2"/>
      <c r="M236" s="16">
        <v>7.18</v>
      </c>
      <c r="N236" s="16" t="s">
        <v>953</v>
      </c>
      <c r="O236" s="2"/>
      <c r="P236" s="2"/>
      <c r="Q236" s="16"/>
      <c r="R236" s="17"/>
      <c r="S236">
        <f t="shared" si="3"/>
        <v>7.18</v>
      </c>
    </row>
    <row r="237" spans="1:19" x14ac:dyDescent="0.3">
      <c r="A237" s="5">
        <v>236</v>
      </c>
      <c r="B237" s="2">
        <v>1323236</v>
      </c>
      <c r="C237" s="2" t="s">
        <v>243</v>
      </c>
      <c r="D237" s="15" t="s">
        <v>727</v>
      </c>
      <c r="E237" s="2" t="s">
        <v>1264</v>
      </c>
      <c r="F237" s="26">
        <v>8059615547</v>
      </c>
      <c r="G237" s="26" t="s">
        <v>1896</v>
      </c>
      <c r="H237" s="2" t="s">
        <v>1140</v>
      </c>
      <c r="I237" s="2"/>
      <c r="J237" s="16" t="s">
        <v>1146</v>
      </c>
      <c r="K237" s="16"/>
      <c r="L237" s="2" t="s">
        <v>926</v>
      </c>
      <c r="M237" s="16">
        <v>6.73</v>
      </c>
      <c r="N237" s="16">
        <v>7.68</v>
      </c>
      <c r="O237" s="2">
        <v>7.64</v>
      </c>
      <c r="P237" s="2">
        <v>7.32</v>
      </c>
      <c r="Q237" s="16"/>
      <c r="R237" s="17"/>
      <c r="S237">
        <f t="shared" si="3"/>
        <v>7.3425000000000002</v>
      </c>
    </row>
    <row r="238" spans="1:19" x14ac:dyDescent="0.3">
      <c r="A238" s="5">
        <v>237</v>
      </c>
      <c r="B238" s="2">
        <v>1323237</v>
      </c>
      <c r="C238" s="2" t="s">
        <v>244</v>
      </c>
      <c r="D238" s="18" t="s">
        <v>1506</v>
      </c>
      <c r="E238" s="2" t="s">
        <v>1265</v>
      </c>
      <c r="F238" s="26">
        <v>9877779350</v>
      </c>
      <c r="G238" s="26" t="s">
        <v>1897</v>
      </c>
      <c r="H238" s="2" t="s">
        <v>1140</v>
      </c>
      <c r="I238" s="2"/>
      <c r="J238" s="16" t="s">
        <v>1146</v>
      </c>
      <c r="K238" s="16"/>
      <c r="L238" s="2" t="s">
        <v>926</v>
      </c>
      <c r="M238" s="16">
        <v>7.36</v>
      </c>
      <c r="N238" s="16">
        <v>7.86</v>
      </c>
      <c r="O238" s="2">
        <v>8.18</v>
      </c>
      <c r="P238" s="2">
        <v>7.77</v>
      </c>
      <c r="Q238" s="16"/>
      <c r="R238" s="17"/>
      <c r="S238">
        <f t="shared" si="3"/>
        <v>7.7924999999999995</v>
      </c>
    </row>
    <row r="239" spans="1:19" x14ac:dyDescent="0.3">
      <c r="A239" s="5">
        <v>238</v>
      </c>
      <c r="B239" s="2">
        <v>1323238</v>
      </c>
      <c r="C239" s="2" t="s">
        <v>245</v>
      </c>
      <c r="D239" s="15" t="s">
        <v>1507</v>
      </c>
      <c r="E239" s="2" t="s">
        <v>1266</v>
      </c>
      <c r="F239" s="26">
        <v>7206095694</v>
      </c>
      <c r="G239" s="26" t="s">
        <v>1898</v>
      </c>
      <c r="H239" s="2" t="s">
        <v>1140</v>
      </c>
      <c r="I239" s="2"/>
      <c r="J239" s="16" t="s">
        <v>1146</v>
      </c>
      <c r="K239" s="16"/>
      <c r="L239" s="2" t="s">
        <v>926</v>
      </c>
      <c r="M239" s="16">
        <v>6.98</v>
      </c>
      <c r="N239" s="16">
        <v>6.73</v>
      </c>
      <c r="O239" s="2">
        <v>6.64</v>
      </c>
      <c r="P239" s="2">
        <v>6.86</v>
      </c>
      <c r="Q239" s="16"/>
      <c r="R239" s="17"/>
      <c r="S239">
        <f t="shared" si="3"/>
        <v>6.8025000000000002</v>
      </c>
    </row>
    <row r="240" spans="1:19" x14ac:dyDescent="0.3">
      <c r="A240" s="5">
        <v>239</v>
      </c>
      <c r="B240" s="2">
        <v>1323239</v>
      </c>
      <c r="C240" s="2" t="s">
        <v>246</v>
      </c>
      <c r="D240" s="15" t="s">
        <v>1508</v>
      </c>
      <c r="E240" s="2" t="s">
        <v>1038</v>
      </c>
      <c r="F240" s="26"/>
      <c r="G240" s="26"/>
      <c r="H240" s="2"/>
      <c r="I240" s="2"/>
      <c r="J240" s="16"/>
      <c r="K240" s="16"/>
      <c r="L240" s="2"/>
      <c r="M240" s="16">
        <v>6.95</v>
      </c>
      <c r="N240" s="16" t="s">
        <v>1683</v>
      </c>
      <c r="O240" s="2"/>
      <c r="P240" s="2"/>
      <c r="Q240" s="16"/>
      <c r="R240" s="17"/>
      <c r="S240">
        <f t="shared" si="3"/>
        <v>6.95</v>
      </c>
    </row>
    <row r="241" spans="1:19" x14ac:dyDescent="0.3">
      <c r="A241" s="5">
        <v>240</v>
      </c>
      <c r="B241" s="2">
        <v>1323240</v>
      </c>
      <c r="C241" s="2" t="s">
        <v>247</v>
      </c>
      <c r="D241" s="15" t="s">
        <v>728</v>
      </c>
      <c r="E241" s="2" t="s">
        <v>1267</v>
      </c>
      <c r="F241" s="26">
        <v>8168324464</v>
      </c>
      <c r="G241" s="26" t="s">
        <v>1899</v>
      </c>
      <c r="H241" s="2" t="s">
        <v>1140</v>
      </c>
      <c r="I241" s="2"/>
      <c r="J241" s="16" t="s">
        <v>1146</v>
      </c>
      <c r="K241" s="16"/>
      <c r="L241" s="2" t="s">
        <v>926</v>
      </c>
      <c r="M241" s="16" t="s">
        <v>953</v>
      </c>
      <c r="N241" s="16">
        <v>6.02</v>
      </c>
      <c r="O241" s="2">
        <v>6.18</v>
      </c>
      <c r="P241" s="2">
        <v>6.2</v>
      </c>
      <c r="Q241" s="16"/>
      <c r="R241" s="17"/>
      <c r="S241">
        <f t="shared" si="3"/>
        <v>6.1333333333333329</v>
      </c>
    </row>
    <row r="242" spans="1:19" x14ac:dyDescent="0.3">
      <c r="A242" s="5">
        <v>241</v>
      </c>
      <c r="B242" s="2">
        <v>1323241</v>
      </c>
      <c r="C242" s="2" t="s">
        <v>248</v>
      </c>
      <c r="D242" s="15" t="s">
        <v>729</v>
      </c>
      <c r="E242" s="2" t="s">
        <v>1268</v>
      </c>
      <c r="F242" s="26">
        <v>6006538002</v>
      </c>
      <c r="G242" s="26" t="s">
        <v>1900</v>
      </c>
      <c r="H242" s="2" t="s">
        <v>1141</v>
      </c>
      <c r="I242" s="2"/>
      <c r="J242" s="16" t="s">
        <v>1145</v>
      </c>
      <c r="K242" s="16"/>
      <c r="L242" s="2" t="s">
        <v>927</v>
      </c>
      <c r="M242" s="16">
        <v>6.73</v>
      </c>
      <c r="N242" s="16">
        <v>7.14</v>
      </c>
      <c r="O242" s="2">
        <v>6.27</v>
      </c>
      <c r="P242" s="2">
        <v>7.41</v>
      </c>
      <c r="Q242" s="16"/>
      <c r="R242" s="17"/>
      <c r="S242">
        <f t="shared" si="3"/>
        <v>6.8875000000000002</v>
      </c>
    </row>
    <row r="243" spans="1:19" x14ac:dyDescent="0.3">
      <c r="A243" s="5">
        <v>242</v>
      </c>
      <c r="B243" s="2">
        <v>1323242</v>
      </c>
      <c r="C243" s="2" t="s">
        <v>249</v>
      </c>
      <c r="D243" s="15" t="s">
        <v>730</v>
      </c>
      <c r="E243" s="2" t="s">
        <v>1269</v>
      </c>
      <c r="F243" s="26">
        <v>7015453774</v>
      </c>
      <c r="G243" s="26" t="s">
        <v>1901</v>
      </c>
      <c r="H243" s="2" t="s">
        <v>1141</v>
      </c>
      <c r="I243" s="2"/>
      <c r="J243" s="16" t="s">
        <v>1145</v>
      </c>
      <c r="K243" s="16"/>
      <c r="L243" s="2" t="s">
        <v>927</v>
      </c>
      <c r="M243" s="16">
        <v>8</v>
      </c>
      <c r="N243" s="16">
        <v>8.23</v>
      </c>
      <c r="O243" s="2">
        <v>7.77</v>
      </c>
      <c r="P243" s="2">
        <v>8.91</v>
      </c>
      <c r="Q243" s="16"/>
      <c r="R243" s="17"/>
      <c r="S243">
        <f t="shared" si="3"/>
        <v>8.2274999999999991</v>
      </c>
    </row>
    <row r="244" spans="1:19" x14ac:dyDescent="0.3">
      <c r="A244" s="5">
        <v>243</v>
      </c>
      <c r="B244" s="2">
        <v>1323243</v>
      </c>
      <c r="C244" s="2" t="s">
        <v>250</v>
      </c>
      <c r="D244" s="15" t="s">
        <v>625</v>
      </c>
      <c r="E244" s="2" t="s">
        <v>1270</v>
      </c>
      <c r="F244" s="26">
        <v>7105550469</v>
      </c>
      <c r="G244" s="26" t="s">
        <v>1902</v>
      </c>
      <c r="H244" s="2" t="s">
        <v>1141</v>
      </c>
      <c r="I244" s="2"/>
      <c r="J244" s="16" t="s">
        <v>1145</v>
      </c>
      <c r="K244" s="16"/>
      <c r="L244" s="2" t="s">
        <v>927</v>
      </c>
      <c r="M244" s="16" t="s">
        <v>1634</v>
      </c>
      <c r="N244" s="16">
        <v>8.77</v>
      </c>
      <c r="O244" s="2">
        <v>7.14</v>
      </c>
      <c r="P244" s="2">
        <v>8.14</v>
      </c>
      <c r="Q244" s="16"/>
      <c r="R244" s="17"/>
      <c r="S244">
        <f t="shared" si="3"/>
        <v>8.0166666666666675</v>
      </c>
    </row>
    <row r="245" spans="1:19" x14ac:dyDescent="0.3">
      <c r="A245" s="5">
        <v>244</v>
      </c>
      <c r="B245" s="2">
        <v>1323244</v>
      </c>
      <c r="C245" s="2" t="s">
        <v>251</v>
      </c>
      <c r="D245" s="15" t="s">
        <v>1509</v>
      </c>
      <c r="E245" s="2" t="s">
        <v>1172</v>
      </c>
      <c r="F245" s="26">
        <v>7027010080</v>
      </c>
      <c r="G245" s="26" t="s">
        <v>1903</v>
      </c>
      <c r="H245" s="2" t="s">
        <v>1141</v>
      </c>
      <c r="I245" s="2"/>
      <c r="J245" s="16" t="s">
        <v>1145</v>
      </c>
      <c r="K245" s="16"/>
      <c r="L245" s="2" t="s">
        <v>927</v>
      </c>
      <c r="M245" s="16">
        <v>7.91</v>
      </c>
      <c r="N245" s="16">
        <v>7.41</v>
      </c>
      <c r="O245" s="2" t="s">
        <v>2228</v>
      </c>
      <c r="P245" s="2" t="s">
        <v>2273</v>
      </c>
      <c r="Q245" s="16"/>
      <c r="R245" s="17"/>
      <c r="S245">
        <f t="shared" si="3"/>
        <v>7.66</v>
      </c>
    </row>
    <row r="246" spans="1:19" x14ac:dyDescent="0.3">
      <c r="A246" s="5">
        <v>245</v>
      </c>
      <c r="B246" s="2">
        <v>1323245</v>
      </c>
      <c r="C246" s="2" t="s">
        <v>252</v>
      </c>
      <c r="D246" s="15" t="s">
        <v>1510</v>
      </c>
      <c r="E246" s="2" t="s">
        <v>1150</v>
      </c>
      <c r="F246" s="26">
        <v>9653577216</v>
      </c>
      <c r="G246" s="26" t="s">
        <v>1904</v>
      </c>
      <c r="H246" s="2" t="s">
        <v>1141</v>
      </c>
      <c r="I246" s="2"/>
      <c r="J246" s="16" t="s">
        <v>1145</v>
      </c>
      <c r="K246" s="16"/>
      <c r="L246" s="2" t="s">
        <v>927</v>
      </c>
      <c r="M246" s="16">
        <v>6.73</v>
      </c>
      <c r="N246" s="16">
        <v>7.27</v>
      </c>
      <c r="O246" s="2">
        <v>6.73</v>
      </c>
      <c r="P246" s="2">
        <v>6.48</v>
      </c>
      <c r="Q246" s="16"/>
      <c r="R246" s="17"/>
      <c r="S246">
        <f t="shared" si="3"/>
        <v>6.8025000000000002</v>
      </c>
    </row>
    <row r="247" spans="1:19" x14ac:dyDescent="0.3">
      <c r="A247" s="5">
        <v>246</v>
      </c>
      <c r="B247" s="2">
        <v>1323246</v>
      </c>
      <c r="C247" s="2" t="s">
        <v>253</v>
      </c>
      <c r="D247" s="15" t="s">
        <v>731</v>
      </c>
      <c r="E247" s="2" t="s">
        <v>1271</v>
      </c>
      <c r="F247" s="26">
        <v>7082245886</v>
      </c>
      <c r="G247" s="26" t="s">
        <v>1905</v>
      </c>
      <c r="H247" s="2" t="s">
        <v>1141</v>
      </c>
      <c r="I247" s="2"/>
      <c r="J247" s="16" t="s">
        <v>1145</v>
      </c>
      <c r="K247" s="16"/>
      <c r="L247" s="2" t="s">
        <v>927</v>
      </c>
      <c r="M247" s="16">
        <v>7.91</v>
      </c>
      <c r="N247" s="16">
        <v>7.5</v>
      </c>
      <c r="O247" s="2">
        <v>7.27</v>
      </c>
      <c r="P247" s="2">
        <v>8.14</v>
      </c>
      <c r="Q247" s="16"/>
      <c r="R247" s="17"/>
      <c r="S247">
        <f t="shared" si="3"/>
        <v>7.7050000000000001</v>
      </c>
    </row>
    <row r="248" spans="1:19" x14ac:dyDescent="0.3">
      <c r="A248" s="5">
        <v>247</v>
      </c>
      <c r="B248" s="2">
        <v>1323247</v>
      </c>
      <c r="C248" s="2" t="s">
        <v>254</v>
      </c>
      <c r="D248" s="18" t="s">
        <v>732</v>
      </c>
      <c r="E248" s="2" t="s">
        <v>1272</v>
      </c>
      <c r="F248" s="26">
        <v>7206394707</v>
      </c>
      <c r="G248" s="26" t="s">
        <v>1906</v>
      </c>
      <c r="H248" s="2" t="s">
        <v>1141</v>
      </c>
      <c r="I248" s="2"/>
      <c r="J248" s="16" t="s">
        <v>1145</v>
      </c>
      <c r="K248" s="16"/>
      <c r="L248" s="2" t="s">
        <v>927</v>
      </c>
      <c r="M248" s="16">
        <v>7.18</v>
      </c>
      <c r="N248" s="16">
        <v>6.75</v>
      </c>
      <c r="O248" s="2" t="s">
        <v>2208</v>
      </c>
      <c r="P248" s="2">
        <v>6.23</v>
      </c>
      <c r="Q248" s="16"/>
      <c r="R248" s="17"/>
      <c r="S248">
        <f t="shared" si="3"/>
        <v>6.72</v>
      </c>
    </row>
    <row r="249" spans="1:19" x14ac:dyDescent="0.3">
      <c r="A249" s="5">
        <v>248</v>
      </c>
      <c r="B249" s="2">
        <v>1323248</v>
      </c>
      <c r="C249" s="2" t="s">
        <v>255</v>
      </c>
      <c r="D249" s="18" t="s">
        <v>1511</v>
      </c>
      <c r="E249" s="2" t="s">
        <v>1273</v>
      </c>
      <c r="F249" s="26">
        <v>7497082866</v>
      </c>
      <c r="G249" s="26" t="s">
        <v>1907</v>
      </c>
      <c r="H249" s="2" t="s">
        <v>1141</v>
      </c>
      <c r="I249" s="2"/>
      <c r="J249" s="16" t="s">
        <v>1145</v>
      </c>
      <c r="K249" s="16"/>
      <c r="L249" s="2" t="s">
        <v>927</v>
      </c>
      <c r="M249" s="16" t="s">
        <v>1630</v>
      </c>
      <c r="N249" s="16" t="s">
        <v>1664</v>
      </c>
      <c r="O249" s="2" t="s">
        <v>953</v>
      </c>
      <c r="P249" s="2" t="s">
        <v>2274</v>
      </c>
      <c r="Q249" s="16"/>
      <c r="R249" s="17"/>
      <c r="S249" t="e">
        <f t="shared" si="3"/>
        <v>#DIV/0!</v>
      </c>
    </row>
    <row r="250" spans="1:19" x14ac:dyDescent="0.3">
      <c r="A250" s="5">
        <v>249</v>
      </c>
      <c r="B250" s="2">
        <v>1323249</v>
      </c>
      <c r="C250" s="2" t="s">
        <v>256</v>
      </c>
      <c r="D250" s="15"/>
      <c r="E250" s="2"/>
      <c r="F250" s="26"/>
      <c r="G250" s="26"/>
      <c r="H250" s="2"/>
      <c r="I250" s="2"/>
      <c r="J250" s="16"/>
      <c r="K250" s="16"/>
      <c r="L250" s="2"/>
      <c r="M250" s="16"/>
      <c r="N250" s="16"/>
      <c r="O250" s="2"/>
      <c r="P250" s="2"/>
      <c r="Q250" s="16"/>
      <c r="R250" s="17"/>
      <c r="S250" t="e">
        <f t="shared" si="3"/>
        <v>#DIV/0!</v>
      </c>
    </row>
    <row r="251" spans="1:19" x14ac:dyDescent="0.3">
      <c r="A251" s="5">
        <v>250</v>
      </c>
      <c r="B251" s="2">
        <v>1323250</v>
      </c>
      <c r="C251" s="2" t="s">
        <v>257</v>
      </c>
      <c r="D251" s="15" t="s">
        <v>1512</v>
      </c>
      <c r="E251" s="2" t="s">
        <v>1274</v>
      </c>
      <c r="F251" s="26"/>
      <c r="G251" s="26"/>
      <c r="H251" s="2"/>
      <c r="I251" s="2"/>
      <c r="J251" s="16"/>
      <c r="K251" s="16"/>
      <c r="L251" s="2"/>
      <c r="M251" s="16" t="s">
        <v>954</v>
      </c>
      <c r="N251" s="16"/>
      <c r="O251" s="2"/>
      <c r="P251" s="2"/>
      <c r="Q251" s="16"/>
      <c r="R251" s="17"/>
      <c r="S251" t="e">
        <f t="shared" si="3"/>
        <v>#DIV/0!</v>
      </c>
    </row>
    <row r="252" spans="1:19" x14ac:dyDescent="0.3">
      <c r="A252" s="5">
        <v>251</v>
      </c>
      <c r="B252" s="2">
        <v>1323251</v>
      </c>
      <c r="C252" s="2" t="s">
        <v>258</v>
      </c>
      <c r="D252" s="15" t="s">
        <v>1513</v>
      </c>
      <c r="E252" s="2" t="s">
        <v>1275</v>
      </c>
      <c r="F252" s="26">
        <v>8221024406</v>
      </c>
      <c r="G252" s="26" t="s">
        <v>1908</v>
      </c>
      <c r="H252" s="2" t="s">
        <v>1141</v>
      </c>
      <c r="I252" s="2"/>
      <c r="J252" s="16" t="s">
        <v>1145</v>
      </c>
      <c r="K252" s="16"/>
      <c r="L252" s="2" t="s">
        <v>927</v>
      </c>
      <c r="M252" s="16">
        <v>6.77</v>
      </c>
      <c r="N252" s="16">
        <v>8.0500000000000007</v>
      </c>
      <c r="O252" s="2">
        <v>7.39</v>
      </c>
      <c r="P252" s="2">
        <v>7.32</v>
      </c>
      <c r="Q252" s="16"/>
      <c r="R252" s="17"/>
      <c r="S252">
        <f t="shared" si="3"/>
        <v>7.3825000000000003</v>
      </c>
    </row>
    <row r="253" spans="1:19" x14ac:dyDescent="0.3">
      <c r="A253" s="5">
        <v>252</v>
      </c>
      <c r="B253" s="2">
        <v>1323252</v>
      </c>
      <c r="C253" s="2" t="s">
        <v>259</v>
      </c>
      <c r="D253" s="15" t="s">
        <v>733</v>
      </c>
      <c r="E253" s="2" t="s">
        <v>1038</v>
      </c>
      <c r="F253" s="26">
        <v>8295523361</v>
      </c>
      <c r="G253" s="26" t="s">
        <v>1909</v>
      </c>
      <c r="H253" s="2" t="s">
        <v>1141</v>
      </c>
      <c r="I253" s="2"/>
      <c r="J253" s="16" t="s">
        <v>1145</v>
      </c>
      <c r="K253" s="16"/>
      <c r="L253" s="2" t="s">
        <v>927</v>
      </c>
      <c r="M253" s="16">
        <v>8.9499999999999993</v>
      </c>
      <c r="N253" s="16">
        <v>8.41</v>
      </c>
      <c r="O253" s="2">
        <v>8.5500000000000007</v>
      </c>
      <c r="P253" s="2">
        <v>8.27</v>
      </c>
      <c r="Q253" s="16"/>
      <c r="R253" s="17"/>
      <c r="S253">
        <f t="shared" si="3"/>
        <v>8.5449999999999999</v>
      </c>
    </row>
    <row r="254" spans="1:19" x14ac:dyDescent="0.3">
      <c r="A254" s="5">
        <v>253</v>
      </c>
      <c r="B254" s="2">
        <v>1323253</v>
      </c>
      <c r="C254" s="2" t="s">
        <v>260</v>
      </c>
      <c r="D254" s="15" t="s">
        <v>621</v>
      </c>
      <c r="E254" s="2" t="s">
        <v>1276</v>
      </c>
      <c r="F254" s="26">
        <v>8295845297</v>
      </c>
      <c r="G254" s="26" t="s">
        <v>1910</v>
      </c>
      <c r="H254" s="2" t="s">
        <v>1141</v>
      </c>
      <c r="I254" s="2"/>
      <c r="J254" s="16" t="s">
        <v>1145</v>
      </c>
      <c r="K254" s="16"/>
      <c r="L254" s="2" t="s">
        <v>927</v>
      </c>
      <c r="M254" s="16" t="s">
        <v>1633</v>
      </c>
      <c r="N254" s="16" t="s">
        <v>1673</v>
      </c>
      <c r="O254" s="2" t="s">
        <v>2229</v>
      </c>
      <c r="P254" s="2" t="s">
        <v>2275</v>
      </c>
      <c r="Q254" s="16"/>
      <c r="R254" s="17"/>
      <c r="S254" t="e">
        <f t="shared" si="3"/>
        <v>#DIV/0!</v>
      </c>
    </row>
    <row r="255" spans="1:19" x14ac:dyDescent="0.3">
      <c r="A255" s="5">
        <v>254</v>
      </c>
      <c r="B255" s="2">
        <v>1323254</v>
      </c>
      <c r="C255" s="2" t="s">
        <v>261</v>
      </c>
      <c r="D255" s="18" t="s">
        <v>1514</v>
      </c>
      <c r="E255" s="2" t="s">
        <v>1277</v>
      </c>
      <c r="F255" s="26">
        <v>8307550522</v>
      </c>
      <c r="G255" s="26" t="s">
        <v>1911</v>
      </c>
      <c r="H255" s="2" t="s">
        <v>1141</v>
      </c>
      <c r="I255" s="2"/>
      <c r="J255" s="16" t="s">
        <v>1145</v>
      </c>
      <c r="K255" s="16"/>
      <c r="L255" s="2" t="s">
        <v>927</v>
      </c>
      <c r="M255" s="16">
        <v>6.95</v>
      </c>
      <c r="N255" s="16">
        <v>6.8</v>
      </c>
      <c r="O255" s="2">
        <v>7.41</v>
      </c>
      <c r="P255" s="2">
        <v>7.18</v>
      </c>
      <c r="Q255" s="16"/>
      <c r="R255" s="17"/>
      <c r="S255">
        <f t="shared" si="3"/>
        <v>7.085</v>
      </c>
    </row>
    <row r="256" spans="1:19" x14ac:dyDescent="0.3">
      <c r="A256" s="5">
        <v>255</v>
      </c>
      <c r="B256" s="2">
        <v>1323255</v>
      </c>
      <c r="C256" s="2" t="s">
        <v>262</v>
      </c>
      <c r="D256" s="15" t="s">
        <v>734</v>
      </c>
      <c r="E256" s="2" t="s">
        <v>1278</v>
      </c>
      <c r="F256" s="26">
        <v>8571023804</v>
      </c>
      <c r="G256" s="26" t="s">
        <v>1912</v>
      </c>
      <c r="H256" s="2" t="s">
        <v>1141</v>
      </c>
      <c r="I256" s="2"/>
      <c r="J256" s="16" t="s">
        <v>1145</v>
      </c>
      <c r="K256" s="16"/>
      <c r="L256" s="2" t="s">
        <v>927</v>
      </c>
      <c r="M256" s="16" t="s">
        <v>1635</v>
      </c>
      <c r="N256" s="16" t="s">
        <v>1677</v>
      </c>
      <c r="O256" s="2" t="s">
        <v>954</v>
      </c>
      <c r="P256" s="2" t="s">
        <v>2249</v>
      </c>
      <c r="Q256" s="16"/>
      <c r="R256" s="17"/>
      <c r="S256" t="e">
        <f t="shared" si="3"/>
        <v>#DIV/0!</v>
      </c>
    </row>
    <row r="257" spans="1:19" x14ac:dyDescent="0.3">
      <c r="A257" s="5">
        <v>256</v>
      </c>
      <c r="B257" s="2">
        <v>1323256</v>
      </c>
      <c r="C257" s="2" t="s">
        <v>263</v>
      </c>
      <c r="D257" s="15" t="s">
        <v>632</v>
      </c>
      <c r="E257" s="2" t="s">
        <v>1279</v>
      </c>
      <c r="F257" s="26">
        <v>8708629427</v>
      </c>
      <c r="G257" s="26" t="s">
        <v>1913</v>
      </c>
      <c r="H257" s="2" t="s">
        <v>1141</v>
      </c>
      <c r="I257" s="2"/>
      <c r="J257" s="16" t="s">
        <v>1145</v>
      </c>
      <c r="K257" s="16"/>
      <c r="L257" s="2" t="s">
        <v>927</v>
      </c>
      <c r="M257" s="16" t="s">
        <v>1634</v>
      </c>
      <c r="N257" s="16">
        <v>8.73</v>
      </c>
      <c r="O257" s="2">
        <v>8.41</v>
      </c>
      <c r="P257" s="2">
        <v>8.36</v>
      </c>
      <c r="Q257" s="16"/>
      <c r="R257" s="17"/>
      <c r="S257">
        <f t="shared" si="3"/>
        <v>8.5</v>
      </c>
    </row>
    <row r="258" spans="1:19" x14ac:dyDescent="0.3">
      <c r="A258" s="5">
        <v>257</v>
      </c>
      <c r="B258" s="2">
        <v>1323257</v>
      </c>
      <c r="C258" s="2" t="s">
        <v>264</v>
      </c>
      <c r="D258" s="15" t="s">
        <v>1515</v>
      </c>
      <c r="E258" s="2" t="s">
        <v>1079</v>
      </c>
      <c r="F258" s="26">
        <v>8901497421</v>
      </c>
      <c r="G258" s="26" t="s">
        <v>1914</v>
      </c>
      <c r="H258" s="2" t="s">
        <v>1141</v>
      </c>
      <c r="I258" s="2"/>
      <c r="J258" s="16" t="s">
        <v>1145</v>
      </c>
      <c r="K258" s="16"/>
      <c r="L258" s="2" t="s">
        <v>927</v>
      </c>
      <c r="M258" s="16">
        <v>7.55</v>
      </c>
      <c r="N258" s="16">
        <v>8.23</v>
      </c>
      <c r="O258" s="2" t="s">
        <v>2209</v>
      </c>
      <c r="P258" s="2">
        <v>8.5</v>
      </c>
      <c r="Q258" s="16"/>
      <c r="R258" s="17"/>
      <c r="S258">
        <f t="shared" ref="S258:S321" si="4">AVERAGE(M258:P258)</f>
        <v>8.0933333333333337</v>
      </c>
    </row>
    <row r="259" spans="1:19" x14ac:dyDescent="0.3">
      <c r="A259" s="5">
        <v>258</v>
      </c>
      <c r="B259" s="2">
        <v>1323258</v>
      </c>
      <c r="C259" s="2" t="s">
        <v>265</v>
      </c>
      <c r="D259" s="15" t="s">
        <v>1516</v>
      </c>
      <c r="E259" s="2" t="s">
        <v>1280</v>
      </c>
      <c r="F259" s="26">
        <v>9053721106</v>
      </c>
      <c r="G259" s="26" t="s">
        <v>1915</v>
      </c>
      <c r="H259" s="2" t="s">
        <v>1141</v>
      </c>
      <c r="I259" s="2"/>
      <c r="J259" s="16" t="s">
        <v>1145</v>
      </c>
      <c r="K259" s="16"/>
      <c r="L259" s="2" t="s">
        <v>927</v>
      </c>
      <c r="M259" s="16">
        <v>7.5</v>
      </c>
      <c r="N259" s="16">
        <v>8.23</v>
      </c>
      <c r="O259" s="2">
        <v>7.77</v>
      </c>
      <c r="P259" s="2">
        <v>8.27</v>
      </c>
      <c r="Q259" s="16"/>
      <c r="R259" s="17"/>
      <c r="S259">
        <f t="shared" si="4"/>
        <v>7.9424999999999999</v>
      </c>
    </row>
    <row r="260" spans="1:19" x14ac:dyDescent="0.3">
      <c r="A260" s="5">
        <v>259</v>
      </c>
      <c r="B260" s="2">
        <v>1323259</v>
      </c>
      <c r="C260" s="2" t="s">
        <v>266</v>
      </c>
      <c r="D260" s="15" t="s">
        <v>735</v>
      </c>
      <c r="E260" s="2" t="s">
        <v>1166</v>
      </c>
      <c r="F260" s="26">
        <v>7988486930</v>
      </c>
      <c r="G260" s="26" t="s">
        <v>1916</v>
      </c>
      <c r="H260" s="2" t="s">
        <v>1141</v>
      </c>
      <c r="I260" s="2"/>
      <c r="J260" s="16" t="s">
        <v>1145</v>
      </c>
      <c r="K260" s="16"/>
      <c r="L260" s="2" t="s">
        <v>927</v>
      </c>
      <c r="M260" s="16">
        <v>8.77</v>
      </c>
      <c r="N260" s="16">
        <v>9.23</v>
      </c>
      <c r="O260" s="2">
        <v>9.09</v>
      </c>
      <c r="P260" s="2">
        <v>8.86</v>
      </c>
      <c r="Q260" s="16"/>
      <c r="R260" s="17"/>
      <c r="S260">
        <f t="shared" si="4"/>
        <v>8.9875000000000007</v>
      </c>
    </row>
    <row r="261" spans="1:19" x14ac:dyDescent="0.3">
      <c r="A261" s="5">
        <v>260</v>
      </c>
      <c r="B261" s="2">
        <v>1323260</v>
      </c>
      <c r="C261" s="2" t="s">
        <v>267</v>
      </c>
      <c r="D261" s="15" t="s">
        <v>702</v>
      </c>
      <c r="E261" s="2" t="s">
        <v>1281</v>
      </c>
      <c r="F261" s="26">
        <v>9306394795</v>
      </c>
      <c r="G261" s="26" t="s">
        <v>1917</v>
      </c>
      <c r="H261" s="2" t="s">
        <v>1141</v>
      </c>
      <c r="I261" s="2"/>
      <c r="J261" s="16" t="s">
        <v>1145</v>
      </c>
      <c r="K261" s="16"/>
      <c r="L261" s="2" t="s">
        <v>927</v>
      </c>
      <c r="M261" s="16">
        <v>7.45</v>
      </c>
      <c r="N261" s="16">
        <v>8.5</v>
      </c>
      <c r="O261" s="2">
        <v>8.36</v>
      </c>
      <c r="P261" s="2">
        <v>8.18</v>
      </c>
      <c r="Q261" s="16"/>
      <c r="R261" s="17"/>
      <c r="S261">
        <f t="shared" si="4"/>
        <v>8.1224999999999987</v>
      </c>
    </row>
    <row r="262" spans="1:19" x14ac:dyDescent="0.3">
      <c r="A262" s="5">
        <v>261</v>
      </c>
      <c r="B262" s="2">
        <v>1323261</v>
      </c>
      <c r="C262" s="2" t="s">
        <v>268</v>
      </c>
      <c r="D262" s="15" t="s">
        <v>1517</v>
      </c>
      <c r="E262" s="2" t="s">
        <v>1282</v>
      </c>
      <c r="F262" s="26">
        <v>8708094125</v>
      </c>
      <c r="G262" s="26" t="s">
        <v>1918</v>
      </c>
      <c r="H262" s="2" t="s">
        <v>1141</v>
      </c>
      <c r="I262" s="2"/>
      <c r="J262" s="16" t="s">
        <v>1145</v>
      </c>
      <c r="K262" s="16"/>
      <c r="L262" s="2" t="s">
        <v>927</v>
      </c>
      <c r="M262" s="16">
        <v>8.18</v>
      </c>
      <c r="N262" s="16">
        <v>8.64</v>
      </c>
      <c r="O262" s="2">
        <v>8.09</v>
      </c>
      <c r="P262" s="2">
        <v>8.73</v>
      </c>
      <c r="Q262" s="16"/>
      <c r="R262" s="17"/>
      <c r="S262">
        <f t="shared" si="4"/>
        <v>8.41</v>
      </c>
    </row>
    <row r="263" spans="1:19" x14ac:dyDescent="0.3">
      <c r="A263" s="5">
        <v>262</v>
      </c>
      <c r="B263" s="2">
        <v>1323262</v>
      </c>
      <c r="C263" s="2" t="s">
        <v>269</v>
      </c>
      <c r="D263" s="15" t="s">
        <v>1518</v>
      </c>
      <c r="E263" s="2" t="s">
        <v>1113</v>
      </c>
      <c r="F263" s="26">
        <v>9350441656</v>
      </c>
      <c r="G263" s="26" t="s">
        <v>1919</v>
      </c>
      <c r="H263" s="2" t="s">
        <v>1141</v>
      </c>
      <c r="I263" s="2"/>
      <c r="J263" s="16" t="s">
        <v>1145</v>
      </c>
      <c r="K263" s="16"/>
      <c r="L263" s="2" t="s">
        <v>927</v>
      </c>
      <c r="M263" s="16">
        <v>9.09</v>
      </c>
      <c r="N263" s="16">
        <v>9.32</v>
      </c>
      <c r="O263" s="2">
        <v>9.09</v>
      </c>
      <c r="P263" s="2">
        <v>9.27</v>
      </c>
      <c r="Q263" s="16"/>
      <c r="R263" s="17"/>
      <c r="S263">
        <f t="shared" si="4"/>
        <v>9.192499999999999</v>
      </c>
    </row>
    <row r="264" spans="1:19" x14ac:dyDescent="0.3">
      <c r="A264" s="5">
        <v>263</v>
      </c>
      <c r="B264" s="2">
        <v>1323263</v>
      </c>
      <c r="C264" s="2" t="s">
        <v>270</v>
      </c>
      <c r="D264" s="15" t="s">
        <v>1519</v>
      </c>
      <c r="E264" s="2" t="s">
        <v>1201</v>
      </c>
      <c r="F264" s="26">
        <v>9354781741</v>
      </c>
      <c r="G264" s="26" t="s">
        <v>1920</v>
      </c>
      <c r="H264" s="2" t="s">
        <v>1141</v>
      </c>
      <c r="I264" s="2"/>
      <c r="J264" s="16" t="s">
        <v>1145</v>
      </c>
      <c r="K264" s="16"/>
      <c r="L264" s="2" t="s">
        <v>927</v>
      </c>
      <c r="M264" s="16">
        <v>7.36</v>
      </c>
      <c r="N264" s="16">
        <v>7.86</v>
      </c>
      <c r="O264" s="2" t="s">
        <v>2209</v>
      </c>
      <c r="P264" s="2">
        <v>7.95</v>
      </c>
      <c r="Q264" s="16"/>
      <c r="R264" s="17"/>
      <c r="S264">
        <f t="shared" si="4"/>
        <v>7.7233333333333336</v>
      </c>
    </row>
    <row r="265" spans="1:19" x14ac:dyDescent="0.3">
      <c r="A265" s="5">
        <v>264</v>
      </c>
      <c r="B265" s="2">
        <v>1323264</v>
      </c>
      <c r="C265" s="2" t="s">
        <v>271</v>
      </c>
      <c r="D265" s="15" t="s">
        <v>736</v>
      </c>
      <c r="E265" s="2" t="s">
        <v>1283</v>
      </c>
      <c r="F265" s="26">
        <v>9518852603</v>
      </c>
      <c r="G265" s="26" t="s">
        <v>1921</v>
      </c>
      <c r="H265" s="2" t="s">
        <v>1141</v>
      </c>
      <c r="I265" s="2"/>
      <c r="J265" s="16" t="s">
        <v>1145</v>
      </c>
      <c r="K265" s="16"/>
      <c r="L265" s="2" t="s">
        <v>927</v>
      </c>
      <c r="M265" s="16">
        <v>7.64</v>
      </c>
      <c r="N265" s="16">
        <v>8.5500000000000007</v>
      </c>
      <c r="O265" s="2">
        <v>9</v>
      </c>
      <c r="P265" s="2">
        <v>7.86</v>
      </c>
      <c r="Q265" s="16"/>
      <c r="R265" s="17"/>
      <c r="S265">
        <f t="shared" si="4"/>
        <v>8.2625000000000011</v>
      </c>
    </row>
    <row r="266" spans="1:19" x14ac:dyDescent="0.3">
      <c r="A266" s="5">
        <v>265</v>
      </c>
      <c r="B266" s="2">
        <v>1323265</v>
      </c>
      <c r="C266" s="2" t="s">
        <v>272</v>
      </c>
      <c r="D266" s="15" t="s">
        <v>1520</v>
      </c>
      <c r="E266" s="2" t="s">
        <v>1284</v>
      </c>
      <c r="F266" s="26">
        <v>9720272185</v>
      </c>
      <c r="G266" s="26" t="s">
        <v>1922</v>
      </c>
      <c r="H266" s="2" t="s">
        <v>1141</v>
      </c>
      <c r="I266" s="2"/>
      <c r="J266" s="16" t="s">
        <v>1145</v>
      </c>
      <c r="K266" s="16"/>
      <c r="L266" s="2" t="s">
        <v>927</v>
      </c>
      <c r="M266" s="16">
        <v>7.91</v>
      </c>
      <c r="N266" s="16">
        <v>7.95</v>
      </c>
      <c r="O266" s="2">
        <v>8.64</v>
      </c>
      <c r="P266" s="2">
        <v>8.5500000000000007</v>
      </c>
      <c r="Q266" s="16"/>
      <c r="R266" s="17"/>
      <c r="S266">
        <f t="shared" si="4"/>
        <v>8.2624999999999993</v>
      </c>
    </row>
    <row r="267" spans="1:19" x14ac:dyDescent="0.3">
      <c r="A267" s="5">
        <v>266</v>
      </c>
      <c r="B267" s="2">
        <v>1323266</v>
      </c>
      <c r="C267" s="2" t="s">
        <v>273</v>
      </c>
      <c r="D267" s="15" t="s">
        <v>1521</v>
      </c>
      <c r="E267" s="2" t="s">
        <v>1285</v>
      </c>
      <c r="F267" s="26"/>
      <c r="G267" s="26"/>
      <c r="H267" s="2" t="s">
        <v>1141</v>
      </c>
      <c r="I267" s="2"/>
      <c r="J267" s="16"/>
      <c r="K267" s="16"/>
      <c r="L267" s="2" t="s">
        <v>927</v>
      </c>
      <c r="M267" s="16">
        <v>6.95</v>
      </c>
      <c r="N267" s="16" t="s">
        <v>1662</v>
      </c>
      <c r="O267" s="2" t="s">
        <v>954</v>
      </c>
      <c r="P267" s="2"/>
      <c r="Q267" s="16"/>
      <c r="R267" s="17"/>
      <c r="S267">
        <f t="shared" si="4"/>
        <v>6.95</v>
      </c>
    </row>
    <row r="268" spans="1:19" x14ac:dyDescent="0.3">
      <c r="A268" s="5">
        <v>267</v>
      </c>
      <c r="B268" s="2">
        <v>1323267</v>
      </c>
      <c r="C268" s="2" t="s">
        <v>274</v>
      </c>
      <c r="D268" s="15" t="s">
        <v>672</v>
      </c>
      <c r="E268" s="2" t="s">
        <v>1271</v>
      </c>
      <c r="F268" s="26">
        <v>9992596654</v>
      </c>
      <c r="G268" s="26" t="s">
        <v>1923</v>
      </c>
      <c r="H268" s="2" t="s">
        <v>1141</v>
      </c>
      <c r="I268" s="2"/>
      <c r="J268" s="16" t="s">
        <v>1145</v>
      </c>
      <c r="K268" s="16"/>
      <c r="L268" s="2" t="s">
        <v>927</v>
      </c>
      <c r="M268" s="16">
        <v>8.18</v>
      </c>
      <c r="N268" s="16">
        <v>7.55</v>
      </c>
      <c r="O268" s="2">
        <v>8.27</v>
      </c>
      <c r="P268" s="2">
        <v>8.36</v>
      </c>
      <c r="Q268" s="16"/>
      <c r="R268" s="17"/>
      <c r="S268">
        <f t="shared" si="4"/>
        <v>8.09</v>
      </c>
    </row>
    <row r="269" spans="1:19" x14ac:dyDescent="0.3">
      <c r="A269" s="5">
        <v>268</v>
      </c>
      <c r="B269" s="2">
        <v>1323268</v>
      </c>
      <c r="C269" s="2" t="s">
        <v>275</v>
      </c>
      <c r="D269" s="15" t="s">
        <v>737</v>
      </c>
      <c r="E269" s="2" t="s">
        <v>938</v>
      </c>
      <c r="F269" s="26">
        <v>9306923376</v>
      </c>
      <c r="G269" s="26" t="s">
        <v>1924</v>
      </c>
      <c r="H269" s="2" t="s">
        <v>1141</v>
      </c>
      <c r="I269" s="2"/>
      <c r="J269" s="16" t="s">
        <v>1145</v>
      </c>
      <c r="K269" s="16"/>
      <c r="L269" s="2" t="s">
        <v>927</v>
      </c>
      <c r="M269" s="16">
        <v>8.59</v>
      </c>
      <c r="N269" s="16">
        <v>8.73</v>
      </c>
      <c r="O269" s="2">
        <v>7.95</v>
      </c>
      <c r="P269" s="2">
        <v>8.32</v>
      </c>
      <c r="Q269" s="16"/>
      <c r="R269" s="17"/>
      <c r="S269">
        <f t="shared" si="4"/>
        <v>8.3975000000000009</v>
      </c>
    </row>
    <row r="270" spans="1:19" x14ac:dyDescent="0.3">
      <c r="A270" s="5">
        <v>269</v>
      </c>
      <c r="B270" s="2">
        <v>1323269</v>
      </c>
      <c r="C270" s="2" t="s">
        <v>276</v>
      </c>
      <c r="D270" s="15" t="s">
        <v>1522</v>
      </c>
      <c r="E270" s="2" t="s">
        <v>1184</v>
      </c>
      <c r="F270" s="26">
        <v>7579828188</v>
      </c>
      <c r="G270" s="26" t="s">
        <v>1925</v>
      </c>
      <c r="H270" s="2" t="s">
        <v>1141</v>
      </c>
      <c r="I270" s="2"/>
      <c r="J270" s="16" t="s">
        <v>1145</v>
      </c>
      <c r="K270" s="16"/>
      <c r="L270" s="2" t="s">
        <v>927</v>
      </c>
      <c r="M270" s="16">
        <v>6.48</v>
      </c>
      <c r="N270" s="16">
        <v>6.5</v>
      </c>
      <c r="O270" s="2" t="s">
        <v>2230</v>
      </c>
      <c r="P270" s="2">
        <v>6.5</v>
      </c>
      <c r="Q270" s="16"/>
      <c r="R270" s="17"/>
      <c r="S270">
        <f t="shared" si="4"/>
        <v>6.4933333333333332</v>
      </c>
    </row>
    <row r="271" spans="1:19" x14ac:dyDescent="0.3">
      <c r="A271" s="5">
        <v>270</v>
      </c>
      <c r="B271" s="2">
        <v>1323270</v>
      </c>
      <c r="C271" s="2" t="s">
        <v>277</v>
      </c>
      <c r="D271" s="15" t="s">
        <v>1523</v>
      </c>
      <c r="E271" s="2" t="s">
        <v>613</v>
      </c>
      <c r="F271" s="26">
        <v>8307302996</v>
      </c>
      <c r="G271" s="26" t="s">
        <v>1926</v>
      </c>
      <c r="H271" s="2" t="s">
        <v>1141</v>
      </c>
      <c r="I271" s="2"/>
      <c r="J271" s="16" t="s">
        <v>1145</v>
      </c>
      <c r="K271" s="16"/>
      <c r="L271" s="2" t="s">
        <v>927</v>
      </c>
      <c r="M271" s="16">
        <v>7.77</v>
      </c>
      <c r="N271" s="16">
        <v>8.0500000000000007</v>
      </c>
      <c r="O271" s="2">
        <v>8.23</v>
      </c>
      <c r="P271" s="2">
        <v>7.86</v>
      </c>
      <c r="Q271" s="16"/>
      <c r="R271" s="17"/>
      <c r="S271">
        <f t="shared" si="4"/>
        <v>7.9775</v>
      </c>
    </row>
    <row r="272" spans="1:19" x14ac:dyDescent="0.3">
      <c r="A272" s="5">
        <v>271</v>
      </c>
      <c r="B272" s="2">
        <v>1323271</v>
      </c>
      <c r="C272" s="2" t="s">
        <v>278</v>
      </c>
      <c r="D272" s="15" t="s">
        <v>738</v>
      </c>
      <c r="E272" s="2" t="s">
        <v>1286</v>
      </c>
      <c r="F272" s="26">
        <v>7015471773</v>
      </c>
      <c r="G272" s="26" t="s">
        <v>1927</v>
      </c>
      <c r="H272" s="2" t="s">
        <v>1141</v>
      </c>
      <c r="I272" s="2"/>
      <c r="J272" s="16" t="s">
        <v>1145</v>
      </c>
      <c r="K272" s="16"/>
      <c r="L272" s="2" t="s">
        <v>927</v>
      </c>
      <c r="M272" s="16">
        <v>6.3</v>
      </c>
      <c r="N272" s="16">
        <v>5.89</v>
      </c>
      <c r="O272" s="2" t="s">
        <v>2231</v>
      </c>
      <c r="P272" s="2" t="s">
        <v>954</v>
      </c>
      <c r="Q272" s="16"/>
      <c r="R272" s="17"/>
      <c r="S272">
        <f t="shared" si="4"/>
        <v>6.0949999999999998</v>
      </c>
    </row>
    <row r="273" spans="1:19" x14ac:dyDescent="0.3">
      <c r="A273" s="5">
        <v>272</v>
      </c>
      <c r="B273" s="2">
        <v>1323272</v>
      </c>
      <c r="C273" s="2" t="s">
        <v>279</v>
      </c>
      <c r="D273" s="15" t="s">
        <v>739</v>
      </c>
      <c r="E273" s="2" t="s">
        <v>613</v>
      </c>
      <c r="F273" s="26">
        <v>9518694402</v>
      </c>
      <c r="G273" s="26" t="s">
        <v>1928</v>
      </c>
      <c r="H273" s="2" t="s">
        <v>1141</v>
      </c>
      <c r="I273" s="2"/>
      <c r="J273" s="16" t="s">
        <v>1145</v>
      </c>
      <c r="K273" s="16"/>
      <c r="L273" s="2" t="s">
        <v>927</v>
      </c>
      <c r="M273" s="16">
        <v>9.36</v>
      </c>
      <c r="N273" s="16">
        <v>9.23</v>
      </c>
      <c r="O273" s="2">
        <v>9.82</v>
      </c>
      <c r="P273" s="2">
        <v>9.18</v>
      </c>
      <c r="Q273" s="16"/>
      <c r="R273" s="17"/>
      <c r="S273">
        <f t="shared" si="4"/>
        <v>9.3975000000000009</v>
      </c>
    </row>
    <row r="274" spans="1:19" x14ac:dyDescent="0.3">
      <c r="A274" s="5">
        <v>273</v>
      </c>
      <c r="B274" s="2">
        <v>1323273</v>
      </c>
      <c r="C274" s="2" t="s">
        <v>941</v>
      </c>
      <c r="D274" s="15" t="s">
        <v>1524</v>
      </c>
      <c r="E274" s="2" t="s">
        <v>1287</v>
      </c>
      <c r="F274" s="26"/>
      <c r="G274" s="26"/>
      <c r="H274" s="2"/>
      <c r="I274" s="2"/>
      <c r="J274" s="16"/>
      <c r="K274" s="16"/>
      <c r="L274" s="2"/>
      <c r="M274" s="16">
        <v>7</v>
      </c>
      <c r="N274" s="16"/>
      <c r="O274" s="2"/>
      <c r="P274" s="2"/>
      <c r="Q274" s="16"/>
      <c r="R274" s="17"/>
      <c r="S274">
        <f t="shared" si="4"/>
        <v>7</v>
      </c>
    </row>
    <row r="275" spans="1:19" x14ac:dyDescent="0.3">
      <c r="A275" s="5">
        <v>274</v>
      </c>
      <c r="B275" s="2">
        <v>1323274</v>
      </c>
      <c r="C275" s="2" t="s">
        <v>280</v>
      </c>
      <c r="D275" s="15"/>
      <c r="E275" s="2"/>
      <c r="F275" s="26">
        <v>7082021078</v>
      </c>
      <c r="G275" s="26" t="s">
        <v>1929</v>
      </c>
      <c r="H275" s="2" t="s">
        <v>1141</v>
      </c>
      <c r="I275" s="2"/>
      <c r="J275" s="16" t="s">
        <v>1145</v>
      </c>
      <c r="K275" s="16"/>
      <c r="L275" s="2" t="s">
        <v>927</v>
      </c>
      <c r="M275" s="16"/>
      <c r="N275" s="16">
        <v>7.36</v>
      </c>
      <c r="O275" s="2" t="s">
        <v>2208</v>
      </c>
      <c r="P275" s="2">
        <v>7.25</v>
      </c>
      <c r="Q275" s="16"/>
      <c r="R275" s="17"/>
      <c r="S275">
        <f t="shared" si="4"/>
        <v>7.3049999999999997</v>
      </c>
    </row>
    <row r="276" spans="1:19" x14ac:dyDescent="0.3">
      <c r="A276" s="5">
        <v>275</v>
      </c>
      <c r="B276" s="2">
        <v>1323275</v>
      </c>
      <c r="C276" s="2" t="s">
        <v>281</v>
      </c>
      <c r="D276" s="15" t="s">
        <v>740</v>
      </c>
      <c r="E276" s="2" t="s">
        <v>1123</v>
      </c>
      <c r="F276" s="26">
        <v>7027445742</v>
      </c>
      <c r="G276" s="26" t="s">
        <v>1930</v>
      </c>
      <c r="H276" s="2" t="s">
        <v>1141</v>
      </c>
      <c r="I276" s="2"/>
      <c r="J276" s="16" t="s">
        <v>1145</v>
      </c>
      <c r="K276" s="16"/>
      <c r="L276" s="2" t="s">
        <v>927</v>
      </c>
      <c r="M276" s="16">
        <v>7.77</v>
      </c>
      <c r="N276" s="16" t="s">
        <v>1684</v>
      </c>
      <c r="O276" s="2" t="s">
        <v>2210</v>
      </c>
      <c r="P276" s="2" t="s">
        <v>2276</v>
      </c>
      <c r="Q276" s="16"/>
      <c r="R276" s="17"/>
      <c r="S276">
        <f t="shared" si="4"/>
        <v>7.77</v>
      </c>
    </row>
    <row r="277" spans="1:19" x14ac:dyDescent="0.3">
      <c r="A277" s="5">
        <v>276</v>
      </c>
      <c r="B277" s="2">
        <v>1323276</v>
      </c>
      <c r="C277" s="2" t="s">
        <v>599</v>
      </c>
      <c r="D277" s="15" t="s">
        <v>741</v>
      </c>
      <c r="E277" s="2" t="s">
        <v>1288</v>
      </c>
      <c r="F277" s="26">
        <v>7384772082</v>
      </c>
      <c r="G277" s="26" t="s">
        <v>1931</v>
      </c>
      <c r="H277" s="2" t="s">
        <v>1142</v>
      </c>
      <c r="I277" s="2"/>
      <c r="J277" s="16" t="s">
        <v>1145</v>
      </c>
      <c r="K277" s="16"/>
      <c r="L277" s="2" t="s">
        <v>928</v>
      </c>
      <c r="M277" s="16">
        <v>7</v>
      </c>
      <c r="N277" s="16" t="s">
        <v>1685</v>
      </c>
      <c r="O277" s="2" t="s">
        <v>954</v>
      </c>
      <c r="P277" s="2" t="s">
        <v>954</v>
      </c>
      <c r="Q277" s="16"/>
      <c r="R277" s="17"/>
      <c r="S277">
        <f t="shared" si="4"/>
        <v>7</v>
      </c>
    </row>
    <row r="278" spans="1:19" x14ac:dyDescent="0.3">
      <c r="A278" s="5">
        <v>277</v>
      </c>
      <c r="B278" s="2">
        <v>1323277</v>
      </c>
      <c r="C278" s="2" t="s">
        <v>282</v>
      </c>
      <c r="D278" s="15" t="s">
        <v>914</v>
      </c>
      <c r="E278" s="2" t="s">
        <v>1289</v>
      </c>
      <c r="F278" s="26">
        <v>8059774594</v>
      </c>
      <c r="G278" s="26" t="s">
        <v>1932</v>
      </c>
      <c r="H278" s="2" t="s">
        <v>1141</v>
      </c>
      <c r="I278" s="2"/>
      <c r="J278" s="16" t="s">
        <v>1145</v>
      </c>
      <c r="K278" s="16"/>
      <c r="L278" s="2" t="s">
        <v>927</v>
      </c>
      <c r="M278" s="16" t="s">
        <v>1636</v>
      </c>
      <c r="N278" s="16" t="s">
        <v>1661</v>
      </c>
      <c r="O278" s="2" t="s">
        <v>2212</v>
      </c>
      <c r="P278" s="2" t="s">
        <v>954</v>
      </c>
      <c r="Q278" s="16"/>
      <c r="R278" s="17"/>
      <c r="S278" t="e">
        <f t="shared" si="4"/>
        <v>#DIV/0!</v>
      </c>
    </row>
    <row r="279" spans="1:19" x14ac:dyDescent="0.3">
      <c r="A279" s="5">
        <v>278</v>
      </c>
      <c r="B279" s="2">
        <v>1323278</v>
      </c>
      <c r="C279" s="2" t="s">
        <v>283</v>
      </c>
      <c r="D279" s="15" t="s">
        <v>1525</v>
      </c>
      <c r="E279" s="2" t="s">
        <v>963</v>
      </c>
      <c r="F279" s="26">
        <v>8307414867</v>
      </c>
      <c r="G279" s="26" t="s">
        <v>1933</v>
      </c>
      <c r="H279" s="2" t="s">
        <v>1141</v>
      </c>
      <c r="I279" s="2"/>
      <c r="J279" s="16" t="s">
        <v>1145</v>
      </c>
      <c r="K279" s="16"/>
      <c r="L279" s="2" t="s">
        <v>927</v>
      </c>
      <c r="M279" s="16">
        <v>7.91</v>
      </c>
      <c r="N279" s="16">
        <v>7.82</v>
      </c>
      <c r="O279" s="2" t="s">
        <v>2212</v>
      </c>
      <c r="P279" s="2">
        <v>7.23</v>
      </c>
      <c r="Q279" s="16"/>
      <c r="R279" s="17"/>
      <c r="S279">
        <f t="shared" si="4"/>
        <v>7.6533333333333333</v>
      </c>
    </row>
    <row r="280" spans="1:19" x14ac:dyDescent="0.3">
      <c r="A280" s="5">
        <v>279</v>
      </c>
      <c r="B280" s="2">
        <v>1323279</v>
      </c>
      <c r="C280" s="2" t="s">
        <v>284</v>
      </c>
      <c r="D280" s="15" t="s">
        <v>1526</v>
      </c>
      <c r="E280" s="2" t="s">
        <v>1290</v>
      </c>
      <c r="F280" s="26">
        <v>9720595922</v>
      </c>
      <c r="G280" s="26" t="s">
        <v>1934</v>
      </c>
      <c r="H280" s="2" t="s">
        <v>1141</v>
      </c>
      <c r="I280" s="2"/>
      <c r="J280" s="16" t="s">
        <v>1145</v>
      </c>
      <c r="K280" s="16"/>
      <c r="L280" s="2" t="s">
        <v>927</v>
      </c>
      <c r="M280" s="16">
        <v>7.91</v>
      </c>
      <c r="N280" s="16">
        <v>7.91</v>
      </c>
      <c r="O280" s="2" t="s">
        <v>2232</v>
      </c>
      <c r="P280" s="2">
        <v>7.16</v>
      </c>
      <c r="Q280" s="16"/>
      <c r="R280" s="17"/>
      <c r="S280">
        <f t="shared" si="4"/>
        <v>7.66</v>
      </c>
    </row>
    <row r="281" spans="1:19" x14ac:dyDescent="0.3">
      <c r="A281" s="5">
        <v>280</v>
      </c>
      <c r="B281" s="2">
        <v>1323280</v>
      </c>
      <c r="C281" s="2" t="s">
        <v>285</v>
      </c>
      <c r="D281" s="15" t="s">
        <v>742</v>
      </c>
      <c r="E281" s="2" t="s">
        <v>1291</v>
      </c>
      <c r="F281" s="26">
        <v>7719709524</v>
      </c>
      <c r="G281" s="26" t="s">
        <v>1935</v>
      </c>
      <c r="H281" s="2" t="s">
        <v>1141</v>
      </c>
      <c r="I281" s="2"/>
      <c r="J281" s="16" t="s">
        <v>1145</v>
      </c>
      <c r="K281" s="16"/>
      <c r="L281" s="2" t="s">
        <v>927</v>
      </c>
      <c r="M281" s="16">
        <v>7.64</v>
      </c>
      <c r="N281" s="16">
        <v>8</v>
      </c>
      <c r="O281" s="2" t="s">
        <v>2221</v>
      </c>
      <c r="P281" s="2" t="s">
        <v>2268</v>
      </c>
      <c r="Q281" s="16"/>
      <c r="R281" s="17"/>
      <c r="S281">
        <f t="shared" si="4"/>
        <v>7.82</v>
      </c>
    </row>
    <row r="282" spans="1:19" x14ac:dyDescent="0.3">
      <c r="A282" s="5">
        <v>281</v>
      </c>
      <c r="B282" s="2">
        <v>1323281</v>
      </c>
      <c r="C282" s="2" t="s">
        <v>286</v>
      </c>
      <c r="D282" s="15" t="s">
        <v>743</v>
      </c>
      <c r="E282" s="2" t="s">
        <v>1292</v>
      </c>
      <c r="F282" s="26">
        <v>9518680160</v>
      </c>
      <c r="G282" s="26" t="s">
        <v>1936</v>
      </c>
      <c r="H282" s="2" t="s">
        <v>1141</v>
      </c>
      <c r="I282" s="2"/>
      <c r="J282" s="16" t="s">
        <v>1146</v>
      </c>
      <c r="K282" s="16"/>
      <c r="L282" s="2" t="s">
        <v>927</v>
      </c>
      <c r="M282" s="16">
        <v>8.0500000000000007</v>
      </c>
      <c r="N282" s="16">
        <v>9.0500000000000007</v>
      </c>
      <c r="O282" s="2">
        <v>8.9499999999999993</v>
      </c>
      <c r="P282" s="2">
        <v>8.23</v>
      </c>
      <c r="Q282" s="16"/>
      <c r="R282" s="17"/>
      <c r="S282">
        <f t="shared" si="4"/>
        <v>8.57</v>
      </c>
    </row>
    <row r="283" spans="1:19" x14ac:dyDescent="0.3">
      <c r="A283" s="5">
        <v>282</v>
      </c>
      <c r="B283" s="2">
        <v>1323282</v>
      </c>
      <c r="C283" s="2" t="s">
        <v>287</v>
      </c>
      <c r="D283" s="15" t="s">
        <v>744</v>
      </c>
      <c r="E283" s="2" t="s">
        <v>1293</v>
      </c>
      <c r="F283" s="26">
        <v>9034071715</v>
      </c>
      <c r="G283" s="26" t="s">
        <v>1937</v>
      </c>
      <c r="H283" s="2" t="s">
        <v>1141</v>
      </c>
      <c r="I283" s="2"/>
      <c r="J283" s="16" t="s">
        <v>1145</v>
      </c>
      <c r="K283" s="16"/>
      <c r="L283" s="2" t="s">
        <v>927</v>
      </c>
      <c r="M283" s="16">
        <v>7.18</v>
      </c>
      <c r="N283" s="16" t="s">
        <v>1673</v>
      </c>
      <c r="O283" s="2" t="s">
        <v>2233</v>
      </c>
      <c r="P283" s="2" t="s">
        <v>2277</v>
      </c>
      <c r="Q283" s="16"/>
      <c r="R283" s="17"/>
      <c r="S283">
        <f t="shared" si="4"/>
        <v>7.18</v>
      </c>
    </row>
    <row r="284" spans="1:19" x14ac:dyDescent="0.3">
      <c r="A284" s="5">
        <v>283</v>
      </c>
      <c r="B284" s="2">
        <v>1323283</v>
      </c>
      <c r="C284" s="2" t="s">
        <v>288</v>
      </c>
      <c r="D284" s="15" t="s">
        <v>625</v>
      </c>
      <c r="E284" s="2" t="s">
        <v>1294</v>
      </c>
      <c r="F284" s="26">
        <v>7056521722</v>
      </c>
      <c r="G284" s="26" t="s">
        <v>1938</v>
      </c>
      <c r="H284" s="2" t="s">
        <v>1141</v>
      </c>
      <c r="I284" s="2"/>
      <c r="J284" s="16" t="s">
        <v>1145</v>
      </c>
      <c r="K284" s="16"/>
      <c r="L284" s="2" t="s">
        <v>927</v>
      </c>
      <c r="M284" s="16" t="s">
        <v>958</v>
      </c>
      <c r="N284" s="16">
        <v>7.14</v>
      </c>
      <c r="O284" s="2" t="s">
        <v>2212</v>
      </c>
      <c r="P284" s="2">
        <v>6.45</v>
      </c>
      <c r="Q284" s="16"/>
      <c r="R284" s="17"/>
      <c r="S284">
        <f t="shared" si="4"/>
        <v>6.7949999999999999</v>
      </c>
    </row>
    <row r="285" spans="1:19" x14ac:dyDescent="0.3">
      <c r="A285" s="5">
        <v>284</v>
      </c>
      <c r="B285" s="2">
        <v>1323284</v>
      </c>
      <c r="C285" s="2" t="s">
        <v>289</v>
      </c>
      <c r="D285" s="15" t="s">
        <v>745</v>
      </c>
      <c r="E285" s="2" t="s">
        <v>1038</v>
      </c>
      <c r="F285" s="26">
        <v>9697288088</v>
      </c>
      <c r="G285" s="26" t="s">
        <v>1939</v>
      </c>
      <c r="H285" s="2" t="s">
        <v>1141</v>
      </c>
      <c r="I285" s="2"/>
      <c r="J285" s="16" t="s">
        <v>1145</v>
      </c>
      <c r="K285" s="16"/>
      <c r="L285" s="2" t="s">
        <v>927</v>
      </c>
      <c r="M285" s="16">
        <v>7.14</v>
      </c>
      <c r="N285" s="16">
        <v>7.45</v>
      </c>
      <c r="O285" s="2" t="s">
        <v>2208</v>
      </c>
      <c r="P285" s="2">
        <v>7.05</v>
      </c>
      <c r="Q285" s="16"/>
      <c r="R285" s="17"/>
      <c r="S285">
        <f t="shared" si="4"/>
        <v>7.2133333333333338</v>
      </c>
    </row>
    <row r="286" spans="1:19" x14ac:dyDescent="0.3">
      <c r="A286" s="5">
        <v>285</v>
      </c>
      <c r="B286" s="2">
        <v>1323285</v>
      </c>
      <c r="C286" s="2" t="s">
        <v>290</v>
      </c>
      <c r="D286" s="15" t="s">
        <v>1527</v>
      </c>
      <c r="E286" s="2" t="s">
        <v>1295</v>
      </c>
      <c r="F286" s="26">
        <v>8570023711</v>
      </c>
      <c r="G286" s="26" t="s">
        <v>1940</v>
      </c>
      <c r="H286" s="2" t="s">
        <v>1141</v>
      </c>
      <c r="I286" s="2"/>
      <c r="J286" s="16" t="s">
        <v>1145</v>
      </c>
      <c r="K286" s="16"/>
      <c r="L286" s="2" t="s">
        <v>927</v>
      </c>
      <c r="M286" s="16">
        <v>7.82</v>
      </c>
      <c r="N286" s="16">
        <v>7.64</v>
      </c>
      <c r="O286" s="2">
        <v>6.95</v>
      </c>
      <c r="P286" s="2">
        <v>7.2</v>
      </c>
      <c r="Q286" s="16"/>
      <c r="R286" s="17"/>
      <c r="S286">
        <f t="shared" si="4"/>
        <v>7.4024999999999999</v>
      </c>
    </row>
    <row r="287" spans="1:19" x14ac:dyDescent="0.3">
      <c r="A287" s="5">
        <v>286</v>
      </c>
      <c r="B287" s="2">
        <v>1323286</v>
      </c>
      <c r="C287" s="2" t="s">
        <v>291</v>
      </c>
      <c r="D287" s="15" t="s">
        <v>746</v>
      </c>
      <c r="E287" s="2" t="s">
        <v>1113</v>
      </c>
      <c r="F287" s="26">
        <v>7027275270</v>
      </c>
      <c r="G287" s="26" t="s">
        <v>1941</v>
      </c>
      <c r="H287" s="2" t="s">
        <v>1141</v>
      </c>
      <c r="I287" s="2"/>
      <c r="J287" s="16" t="s">
        <v>1145</v>
      </c>
      <c r="K287" s="16"/>
      <c r="L287" s="2" t="s">
        <v>927</v>
      </c>
      <c r="M287" s="16">
        <v>6.66</v>
      </c>
      <c r="N287" s="16">
        <v>6.77</v>
      </c>
      <c r="O287" s="2" t="s">
        <v>2209</v>
      </c>
      <c r="P287" s="2">
        <v>6.07</v>
      </c>
      <c r="Q287" s="16"/>
      <c r="R287" s="17"/>
      <c r="S287">
        <f t="shared" si="4"/>
        <v>6.5</v>
      </c>
    </row>
    <row r="288" spans="1:19" x14ac:dyDescent="0.3">
      <c r="A288" s="5">
        <v>287</v>
      </c>
      <c r="B288" s="2">
        <v>1323287</v>
      </c>
      <c r="C288" s="2" t="s">
        <v>292</v>
      </c>
      <c r="D288" s="15" t="s">
        <v>1528</v>
      </c>
      <c r="E288" s="2" t="s">
        <v>1004</v>
      </c>
      <c r="F288" s="26">
        <v>7419832024</v>
      </c>
      <c r="G288" s="26" t="s">
        <v>1942</v>
      </c>
      <c r="H288" s="2" t="s">
        <v>1141</v>
      </c>
      <c r="I288" s="2"/>
      <c r="J288" s="16" t="s">
        <v>1145</v>
      </c>
      <c r="K288" s="16"/>
      <c r="L288" s="2" t="s">
        <v>927</v>
      </c>
      <c r="M288" s="16">
        <v>5.73</v>
      </c>
      <c r="N288" s="16">
        <v>6.64</v>
      </c>
      <c r="O288" s="2">
        <v>6.32</v>
      </c>
      <c r="P288" s="2">
        <v>6.2</v>
      </c>
      <c r="Q288" s="16"/>
      <c r="R288" s="17"/>
      <c r="S288">
        <f t="shared" si="4"/>
        <v>6.2225000000000001</v>
      </c>
    </row>
    <row r="289" spans="1:19" x14ac:dyDescent="0.3">
      <c r="A289" s="5">
        <v>288</v>
      </c>
      <c r="B289" s="2">
        <v>1323288</v>
      </c>
      <c r="C289" s="2" t="s">
        <v>293</v>
      </c>
      <c r="D289" s="15" t="s">
        <v>747</v>
      </c>
      <c r="E289" s="2" t="s">
        <v>1296</v>
      </c>
      <c r="F289" s="26">
        <v>9926250011</v>
      </c>
      <c r="G289" s="26" t="s">
        <v>1943</v>
      </c>
      <c r="H289" s="2" t="s">
        <v>1141</v>
      </c>
      <c r="I289" s="2"/>
      <c r="J289" s="16" t="s">
        <v>1145</v>
      </c>
      <c r="K289" s="16"/>
      <c r="L289" s="2" t="s">
        <v>927</v>
      </c>
      <c r="M289" s="16">
        <v>7.18</v>
      </c>
      <c r="N289" s="16">
        <v>7.5</v>
      </c>
      <c r="O289" s="2" t="s">
        <v>2208</v>
      </c>
      <c r="P289" s="2">
        <v>6.75</v>
      </c>
      <c r="Q289" s="16"/>
      <c r="R289" s="17"/>
      <c r="S289">
        <f t="shared" si="4"/>
        <v>7.1433333333333335</v>
      </c>
    </row>
    <row r="290" spans="1:19" x14ac:dyDescent="0.3">
      <c r="A290" s="5">
        <v>289</v>
      </c>
      <c r="B290" s="2">
        <v>1323289</v>
      </c>
      <c r="C290" s="2" t="s">
        <v>294</v>
      </c>
      <c r="D290" s="15" t="s">
        <v>748</v>
      </c>
      <c r="E290" s="2" t="s">
        <v>1169</v>
      </c>
      <c r="F290" s="26">
        <v>7494954017</v>
      </c>
      <c r="G290" s="26" t="s">
        <v>1944</v>
      </c>
      <c r="H290" s="2" t="s">
        <v>1141</v>
      </c>
      <c r="I290" s="2"/>
      <c r="J290" s="16"/>
      <c r="K290" s="16"/>
      <c r="L290" s="2" t="s">
        <v>927</v>
      </c>
      <c r="M290" s="16">
        <v>7</v>
      </c>
      <c r="N290" s="16">
        <v>7.64</v>
      </c>
      <c r="O290" s="2">
        <v>7.18</v>
      </c>
      <c r="P290" s="2">
        <v>6.84</v>
      </c>
      <c r="Q290" s="16"/>
      <c r="R290" s="17"/>
      <c r="S290">
        <f t="shared" si="4"/>
        <v>7.165</v>
      </c>
    </row>
    <row r="291" spans="1:19" x14ac:dyDescent="0.3">
      <c r="A291" s="5">
        <v>290</v>
      </c>
      <c r="B291" s="2">
        <v>1323290</v>
      </c>
      <c r="C291" s="2" t="s">
        <v>295</v>
      </c>
      <c r="D291" s="15" t="s">
        <v>749</v>
      </c>
      <c r="E291" s="2" t="s">
        <v>613</v>
      </c>
      <c r="F291" s="26">
        <v>9996358091</v>
      </c>
      <c r="G291" s="26" t="s">
        <v>1945</v>
      </c>
      <c r="H291" s="2" t="s">
        <v>1141</v>
      </c>
      <c r="I291" s="2"/>
      <c r="J291" s="16" t="s">
        <v>1145</v>
      </c>
      <c r="K291" s="16"/>
      <c r="L291" s="2" t="s">
        <v>927</v>
      </c>
      <c r="M291" s="16">
        <v>6.52</v>
      </c>
      <c r="N291" s="16">
        <v>5.89</v>
      </c>
      <c r="O291" s="2" t="s">
        <v>2234</v>
      </c>
      <c r="P291" s="2" t="s">
        <v>2278</v>
      </c>
      <c r="Q291" s="16"/>
      <c r="R291" s="17"/>
      <c r="S291">
        <f t="shared" si="4"/>
        <v>6.2050000000000001</v>
      </c>
    </row>
    <row r="292" spans="1:19" x14ac:dyDescent="0.3">
      <c r="A292" s="5">
        <v>291</v>
      </c>
      <c r="B292" s="2">
        <v>1323291</v>
      </c>
      <c r="C292" s="2" t="s">
        <v>296</v>
      </c>
      <c r="D292" s="15" t="s">
        <v>750</v>
      </c>
      <c r="E292" s="2" t="s">
        <v>1128</v>
      </c>
      <c r="F292" s="26">
        <v>9896297858</v>
      </c>
      <c r="G292" s="26" t="s">
        <v>1946</v>
      </c>
      <c r="H292" s="2" t="s">
        <v>1141</v>
      </c>
      <c r="I292" s="2"/>
      <c r="J292" s="16" t="s">
        <v>1145</v>
      </c>
      <c r="K292" s="16"/>
      <c r="L292" s="2" t="s">
        <v>9</v>
      </c>
      <c r="M292" s="16" t="s">
        <v>954</v>
      </c>
      <c r="N292" s="16">
        <v>6.82</v>
      </c>
      <c r="O292" s="2" t="s">
        <v>2212</v>
      </c>
      <c r="P292" s="2">
        <v>6.5</v>
      </c>
      <c r="Q292" s="16"/>
      <c r="R292" s="17"/>
      <c r="S292">
        <f t="shared" si="4"/>
        <v>6.66</v>
      </c>
    </row>
    <row r="293" spans="1:19" x14ac:dyDescent="0.3">
      <c r="A293" s="5">
        <v>292</v>
      </c>
      <c r="B293" s="2">
        <v>1323292</v>
      </c>
      <c r="C293" s="2" t="s">
        <v>297</v>
      </c>
      <c r="D293" s="15" t="s">
        <v>1529</v>
      </c>
      <c r="E293" s="2" t="s">
        <v>1297</v>
      </c>
      <c r="F293" s="26">
        <v>7060687236</v>
      </c>
      <c r="G293" s="26" t="s">
        <v>1947</v>
      </c>
      <c r="H293" s="2" t="s">
        <v>1141</v>
      </c>
      <c r="I293" s="2"/>
      <c r="J293" s="16" t="s">
        <v>1145</v>
      </c>
      <c r="K293" s="16"/>
      <c r="L293" s="2" t="s">
        <v>9</v>
      </c>
      <c r="M293" s="16" t="s">
        <v>1637</v>
      </c>
      <c r="N293" s="16" t="s">
        <v>1686</v>
      </c>
      <c r="O293" s="2" t="s">
        <v>2208</v>
      </c>
      <c r="P293" s="2">
        <v>7.3</v>
      </c>
      <c r="Q293" s="16"/>
      <c r="R293" s="17"/>
      <c r="S293">
        <f t="shared" si="4"/>
        <v>7.3</v>
      </c>
    </row>
    <row r="294" spans="1:19" x14ac:dyDescent="0.3">
      <c r="A294" s="5">
        <v>293</v>
      </c>
      <c r="B294" s="2">
        <v>1323293</v>
      </c>
      <c r="C294" s="2" t="s">
        <v>298</v>
      </c>
      <c r="D294" s="15" t="s">
        <v>1530</v>
      </c>
      <c r="E294" s="2" t="s">
        <v>1298</v>
      </c>
      <c r="F294" s="26">
        <v>8307117494</v>
      </c>
      <c r="G294" s="26" t="s">
        <v>1948</v>
      </c>
      <c r="H294" s="2" t="s">
        <v>1141</v>
      </c>
      <c r="I294" s="2"/>
      <c r="J294" s="16" t="s">
        <v>1146</v>
      </c>
      <c r="K294" s="16"/>
      <c r="L294" s="2" t="s">
        <v>9</v>
      </c>
      <c r="M294" s="16">
        <v>8.09</v>
      </c>
      <c r="N294" s="16">
        <v>7.59</v>
      </c>
      <c r="O294" s="2" t="s">
        <v>2208</v>
      </c>
      <c r="P294" s="2">
        <v>7.64</v>
      </c>
      <c r="Q294" s="16"/>
      <c r="R294" s="17"/>
      <c r="S294">
        <f t="shared" si="4"/>
        <v>7.7733333333333334</v>
      </c>
    </row>
    <row r="295" spans="1:19" x14ac:dyDescent="0.3">
      <c r="A295" s="5">
        <v>294</v>
      </c>
      <c r="B295" s="2">
        <v>1323294</v>
      </c>
      <c r="C295" s="2" t="s">
        <v>299</v>
      </c>
      <c r="D295" s="15" t="s">
        <v>751</v>
      </c>
      <c r="E295" s="2" t="s">
        <v>1210</v>
      </c>
      <c r="F295" s="26">
        <v>7496015615</v>
      </c>
      <c r="G295" s="26" t="s">
        <v>1949</v>
      </c>
      <c r="H295" s="2" t="s">
        <v>1141</v>
      </c>
      <c r="I295" s="2"/>
      <c r="J295" s="16" t="s">
        <v>1146</v>
      </c>
      <c r="K295" s="16"/>
      <c r="L295" s="2" t="s">
        <v>9</v>
      </c>
      <c r="M295" s="16">
        <v>7.09</v>
      </c>
      <c r="N295" s="16">
        <v>7.77</v>
      </c>
      <c r="O295" s="2">
        <v>7.59</v>
      </c>
      <c r="P295" s="2">
        <v>7.18</v>
      </c>
      <c r="Q295" s="16"/>
      <c r="R295" s="17"/>
      <c r="S295">
        <f t="shared" si="4"/>
        <v>7.4074999999999998</v>
      </c>
    </row>
    <row r="296" spans="1:19" x14ac:dyDescent="0.3">
      <c r="A296" s="5">
        <v>295</v>
      </c>
      <c r="B296" s="2">
        <v>1323295</v>
      </c>
      <c r="C296" s="2" t="s">
        <v>300</v>
      </c>
      <c r="D296" s="15" t="s">
        <v>752</v>
      </c>
      <c r="E296" s="2" t="s">
        <v>1299</v>
      </c>
      <c r="F296" s="26"/>
      <c r="G296" s="26"/>
      <c r="H296" s="2"/>
      <c r="I296" s="2"/>
      <c r="J296" s="16"/>
      <c r="K296" s="16"/>
      <c r="L296" s="2" t="s">
        <v>9</v>
      </c>
      <c r="M296" s="16" t="s">
        <v>1638</v>
      </c>
      <c r="N296" s="16"/>
      <c r="O296" s="2"/>
      <c r="P296" s="2"/>
      <c r="Q296" s="16"/>
      <c r="R296" s="17"/>
      <c r="S296" t="e">
        <f t="shared" si="4"/>
        <v>#DIV/0!</v>
      </c>
    </row>
    <row r="297" spans="1:19" x14ac:dyDescent="0.3">
      <c r="A297" s="5">
        <v>296</v>
      </c>
      <c r="B297" s="2">
        <v>1323296</v>
      </c>
      <c r="C297" s="2" t="s">
        <v>301</v>
      </c>
      <c r="D297" s="15" t="s">
        <v>1531</v>
      </c>
      <c r="E297" s="2" t="s">
        <v>1300</v>
      </c>
      <c r="F297" s="26">
        <v>7310664981</v>
      </c>
      <c r="G297" s="26" t="s">
        <v>1950</v>
      </c>
      <c r="H297" s="2" t="s">
        <v>1141</v>
      </c>
      <c r="I297" s="2"/>
      <c r="J297" s="16" t="s">
        <v>1146</v>
      </c>
      <c r="K297" s="16"/>
      <c r="L297" s="2" t="s">
        <v>9</v>
      </c>
      <c r="M297" s="16">
        <v>7.09</v>
      </c>
      <c r="N297" s="16">
        <v>7.09</v>
      </c>
      <c r="O297" s="2">
        <v>7.14</v>
      </c>
      <c r="P297" s="2">
        <v>6.43</v>
      </c>
      <c r="Q297" s="16"/>
      <c r="R297" s="17"/>
      <c r="S297">
        <f t="shared" si="4"/>
        <v>6.9375</v>
      </c>
    </row>
    <row r="298" spans="1:19" x14ac:dyDescent="0.3">
      <c r="A298" s="5">
        <v>297</v>
      </c>
      <c r="B298" s="2">
        <v>1323297</v>
      </c>
      <c r="C298" s="2" t="s">
        <v>302</v>
      </c>
      <c r="D298" s="15" t="s">
        <v>1532</v>
      </c>
      <c r="E298" s="2" t="s">
        <v>1301</v>
      </c>
      <c r="F298" s="26"/>
      <c r="G298" s="26"/>
      <c r="H298" s="2"/>
      <c r="I298" s="2"/>
      <c r="J298" s="16"/>
      <c r="K298" s="16"/>
      <c r="L298" s="2"/>
      <c r="M298" s="16">
        <v>6.55</v>
      </c>
      <c r="N298" s="16" t="s">
        <v>1663</v>
      </c>
      <c r="O298" s="2"/>
      <c r="P298" s="2"/>
      <c r="Q298" s="16"/>
      <c r="R298" s="17"/>
      <c r="S298">
        <f t="shared" si="4"/>
        <v>6.55</v>
      </c>
    </row>
    <row r="299" spans="1:19" x14ac:dyDescent="0.3">
      <c r="A299" s="5">
        <v>298</v>
      </c>
      <c r="B299" s="2">
        <v>1323298</v>
      </c>
      <c r="C299" s="2" t="s">
        <v>303</v>
      </c>
      <c r="D299" s="15"/>
      <c r="E299" s="2"/>
      <c r="F299" s="26"/>
      <c r="G299" s="26"/>
      <c r="H299" s="2"/>
      <c r="I299" s="2"/>
      <c r="J299" s="16"/>
      <c r="K299" s="16"/>
      <c r="L299" s="2" t="s">
        <v>929</v>
      </c>
      <c r="M299" s="16"/>
      <c r="N299" s="16"/>
      <c r="O299" s="2"/>
      <c r="P299" s="2"/>
      <c r="Q299" s="16"/>
      <c r="R299" s="17"/>
      <c r="S299" t="e">
        <f t="shared" si="4"/>
        <v>#DIV/0!</v>
      </c>
    </row>
    <row r="300" spans="1:19" x14ac:dyDescent="0.3">
      <c r="A300" s="5">
        <v>299</v>
      </c>
      <c r="B300" s="2">
        <v>1323299</v>
      </c>
      <c r="C300" s="2" t="s">
        <v>304</v>
      </c>
      <c r="D300" s="15" t="s">
        <v>703</v>
      </c>
      <c r="E300" s="2" t="s">
        <v>1038</v>
      </c>
      <c r="F300" s="26">
        <v>9416435590</v>
      </c>
      <c r="G300" s="26" t="s">
        <v>1951</v>
      </c>
      <c r="H300" s="2" t="s">
        <v>1141</v>
      </c>
      <c r="I300" s="2"/>
      <c r="J300" s="16"/>
      <c r="K300" s="16"/>
      <c r="L300" s="2" t="s">
        <v>9</v>
      </c>
      <c r="M300" s="16">
        <v>6.68</v>
      </c>
      <c r="N300" s="16" t="s">
        <v>1676</v>
      </c>
      <c r="O300" s="2" t="s">
        <v>2208</v>
      </c>
      <c r="P300" s="2" t="s">
        <v>2256</v>
      </c>
      <c r="Q300" s="16"/>
      <c r="R300" s="17"/>
      <c r="S300">
        <f t="shared" si="4"/>
        <v>6.68</v>
      </c>
    </row>
    <row r="301" spans="1:19" x14ac:dyDescent="0.3">
      <c r="A301" s="5">
        <v>300</v>
      </c>
      <c r="B301" s="2">
        <v>1323300</v>
      </c>
      <c r="C301" s="2" t="s">
        <v>305</v>
      </c>
      <c r="D301" s="15" t="s">
        <v>753</v>
      </c>
      <c r="E301" s="2" t="s">
        <v>1115</v>
      </c>
      <c r="F301" s="26">
        <v>9103887031</v>
      </c>
      <c r="G301" s="26" t="s">
        <v>1952</v>
      </c>
      <c r="H301" s="2" t="s">
        <v>1141</v>
      </c>
      <c r="I301" s="2"/>
      <c r="J301" s="16" t="s">
        <v>1146</v>
      </c>
      <c r="K301" s="16"/>
      <c r="L301" s="2" t="s">
        <v>9</v>
      </c>
      <c r="M301" s="16">
        <v>6.82</v>
      </c>
      <c r="N301" s="16">
        <v>6.68</v>
      </c>
      <c r="O301" s="2">
        <v>6.77</v>
      </c>
      <c r="P301" s="2">
        <v>7.18</v>
      </c>
      <c r="Q301" s="16"/>
      <c r="R301" s="17"/>
      <c r="S301">
        <f t="shared" si="4"/>
        <v>6.8624999999999998</v>
      </c>
    </row>
    <row r="302" spans="1:19" x14ac:dyDescent="0.3">
      <c r="A302" s="5">
        <v>301</v>
      </c>
      <c r="B302" s="2">
        <v>1323301</v>
      </c>
      <c r="C302" s="2" t="s">
        <v>306</v>
      </c>
      <c r="D302" s="15" t="s">
        <v>1533</v>
      </c>
      <c r="E302" s="2" t="s">
        <v>1302</v>
      </c>
      <c r="F302" s="26">
        <v>9817250741</v>
      </c>
      <c r="G302" s="26" t="s">
        <v>1953</v>
      </c>
      <c r="H302" s="2" t="s">
        <v>1141</v>
      </c>
      <c r="I302" s="2"/>
      <c r="J302" s="16" t="s">
        <v>1146</v>
      </c>
      <c r="K302" s="16"/>
      <c r="L302" s="2" t="s">
        <v>9</v>
      </c>
      <c r="M302" s="16" t="s">
        <v>1625</v>
      </c>
      <c r="N302" s="16">
        <v>6.14</v>
      </c>
      <c r="O302" s="2" t="s">
        <v>2208</v>
      </c>
      <c r="P302" s="2">
        <v>6.2</v>
      </c>
      <c r="Q302" s="16"/>
      <c r="R302" s="17"/>
      <c r="S302">
        <f t="shared" si="4"/>
        <v>6.17</v>
      </c>
    </row>
    <row r="303" spans="1:19" x14ac:dyDescent="0.3">
      <c r="A303" s="5">
        <v>302</v>
      </c>
      <c r="B303" s="2">
        <v>1323302</v>
      </c>
      <c r="C303" s="2" t="s">
        <v>307</v>
      </c>
      <c r="D303" s="15" t="s">
        <v>1534</v>
      </c>
      <c r="E303" s="2" t="s">
        <v>1004</v>
      </c>
      <c r="F303" s="26">
        <v>7988979886</v>
      </c>
      <c r="G303" s="26" t="s">
        <v>1954</v>
      </c>
      <c r="H303" s="2" t="s">
        <v>1141</v>
      </c>
      <c r="I303" s="2"/>
      <c r="J303" s="16" t="s">
        <v>1146</v>
      </c>
      <c r="K303" s="16"/>
      <c r="L303" s="2" t="s">
        <v>9</v>
      </c>
      <c r="M303" s="16">
        <v>7.18</v>
      </c>
      <c r="N303" s="16"/>
      <c r="O303" s="2">
        <v>7.34</v>
      </c>
      <c r="P303" s="2">
        <v>7.59</v>
      </c>
      <c r="Q303" s="16"/>
      <c r="R303" s="17"/>
      <c r="S303">
        <f t="shared" si="4"/>
        <v>7.37</v>
      </c>
    </row>
    <row r="304" spans="1:19" x14ac:dyDescent="0.3">
      <c r="A304" s="5">
        <v>303</v>
      </c>
      <c r="B304" s="2">
        <v>1323303</v>
      </c>
      <c r="C304" s="2" t="s">
        <v>308</v>
      </c>
      <c r="D304" s="15" t="s">
        <v>632</v>
      </c>
      <c r="E304" s="2" t="s">
        <v>1080</v>
      </c>
      <c r="F304" s="26"/>
      <c r="G304" s="26"/>
      <c r="H304" s="2"/>
      <c r="I304" s="2"/>
      <c r="J304" s="16"/>
      <c r="K304" s="16"/>
      <c r="L304" s="2" t="s">
        <v>8</v>
      </c>
      <c r="M304" s="16" t="s">
        <v>954</v>
      </c>
      <c r="N304" s="16">
        <v>8.09</v>
      </c>
      <c r="O304" s="2"/>
      <c r="P304" s="2"/>
      <c r="Q304" s="16"/>
      <c r="R304" s="17"/>
      <c r="S304">
        <f t="shared" si="4"/>
        <v>8.09</v>
      </c>
    </row>
    <row r="305" spans="1:19" x14ac:dyDescent="0.3">
      <c r="A305" s="5">
        <v>304</v>
      </c>
      <c r="B305" s="2">
        <v>1323304</v>
      </c>
      <c r="C305" s="2" t="s">
        <v>309</v>
      </c>
      <c r="D305" s="15" t="s">
        <v>754</v>
      </c>
      <c r="E305" s="2" t="s">
        <v>1192</v>
      </c>
      <c r="F305" s="26">
        <v>9896011557</v>
      </c>
      <c r="G305" s="26" t="s">
        <v>1955</v>
      </c>
      <c r="H305" s="2" t="s">
        <v>1141</v>
      </c>
      <c r="I305" s="2"/>
      <c r="J305" s="16" t="s">
        <v>1146</v>
      </c>
      <c r="K305" s="16"/>
      <c r="L305" s="2" t="s">
        <v>9</v>
      </c>
      <c r="M305" s="16">
        <v>7.91</v>
      </c>
      <c r="N305" s="16">
        <v>7.59</v>
      </c>
      <c r="O305" s="2">
        <v>7.32</v>
      </c>
      <c r="P305" s="2">
        <v>7.64</v>
      </c>
      <c r="Q305" s="16"/>
      <c r="R305" s="17"/>
      <c r="S305">
        <f t="shared" si="4"/>
        <v>7.6150000000000002</v>
      </c>
    </row>
    <row r="306" spans="1:19" x14ac:dyDescent="0.3">
      <c r="A306" s="5">
        <v>305</v>
      </c>
      <c r="B306" s="2">
        <v>1323305</v>
      </c>
      <c r="C306" s="2" t="s">
        <v>310</v>
      </c>
      <c r="D306" s="15" t="s">
        <v>755</v>
      </c>
      <c r="E306" s="2" t="s">
        <v>1038</v>
      </c>
      <c r="F306" s="26">
        <v>8950265326</v>
      </c>
      <c r="G306" s="26" t="s">
        <v>1956</v>
      </c>
      <c r="H306" s="2" t="s">
        <v>1141</v>
      </c>
      <c r="I306" s="2"/>
      <c r="J306" s="16" t="s">
        <v>1146</v>
      </c>
      <c r="K306" s="16"/>
      <c r="L306" s="2" t="s">
        <v>9</v>
      </c>
      <c r="M306" s="16">
        <v>6.82</v>
      </c>
      <c r="N306" s="16">
        <v>6.73</v>
      </c>
      <c r="O306" s="2" t="s">
        <v>953</v>
      </c>
      <c r="P306" s="2" t="s">
        <v>2250</v>
      </c>
      <c r="Q306" s="16"/>
      <c r="R306" s="17"/>
      <c r="S306">
        <f t="shared" si="4"/>
        <v>6.7750000000000004</v>
      </c>
    </row>
    <row r="307" spans="1:19" x14ac:dyDescent="0.3">
      <c r="A307" s="5">
        <v>306</v>
      </c>
      <c r="B307" s="2">
        <v>1323306</v>
      </c>
      <c r="C307" s="2" t="s">
        <v>311</v>
      </c>
      <c r="D307" s="15" t="s">
        <v>1535</v>
      </c>
      <c r="E307" s="2" t="s">
        <v>1125</v>
      </c>
      <c r="F307" s="26">
        <v>9817210400</v>
      </c>
      <c r="G307" s="26" t="s">
        <v>1957</v>
      </c>
      <c r="H307" s="2" t="s">
        <v>1141</v>
      </c>
      <c r="I307" s="2"/>
      <c r="J307" s="16" t="s">
        <v>1145</v>
      </c>
      <c r="K307" s="16"/>
      <c r="L307" s="2" t="s">
        <v>9</v>
      </c>
      <c r="M307" s="16">
        <v>6.32</v>
      </c>
      <c r="N307" s="16">
        <v>7.09</v>
      </c>
      <c r="O307" s="2" t="s">
        <v>953</v>
      </c>
      <c r="P307" s="2">
        <v>7.55</v>
      </c>
      <c r="Q307" s="16"/>
      <c r="R307" s="17"/>
      <c r="S307">
        <f t="shared" si="4"/>
        <v>6.9866666666666672</v>
      </c>
    </row>
    <row r="308" spans="1:19" x14ac:dyDescent="0.3">
      <c r="A308" s="5">
        <v>307</v>
      </c>
      <c r="B308" s="2">
        <v>1323307</v>
      </c>
      <c r="C308" s="2" t="s">
        <v>312</v>
      </c>
      <c r="D308" s="15" t="s">
        <v>1499</v>
      </c>
      <c r="E308" s="2" t="s">
        <v>1166</v>
      </c>
      <c r="F308" s="26">
        <v>9992838202</v>
      </c>
      <c r="G308" s="26" t="s">
        <v>1958</v>
      </c>
      <c r="H308" s="2" t="s">
        <v>1141</v>
      </c>
      <c r="I308" s="2"/>
      <c r="J308" s="16" t="s">
        <v>8</v>
      </c>
      <c r="K308" s="16"/>
      <c r="L308" s="2" t="s">
        <v>9</v>
      </c>
      <c r="M308" s="16">
        <v>6.73</v>
      </c>
      <c r="N308" s="16">
        <v>6.89</v>
      </c>
      <c r="O308" s="2">
        <v>7.27</v>
      </c>
      <c r="P308" s="2">
        <v>7.91</v>
      </c>
      <c r="Q308" s="16"/>
      <c r="R308" s="17"/>
      <c r="S308">
        <f t="shared" si="4"/>
        <v>7.2</v>
      </c>
    </row>
    <row r="309" spans="1:19" x14ac:dyDescent="0.3">
      <c r="A309" s="5">
        <v>308</v>
      </c>
      <c r="B309" s="2">
        <v>1323308</v>
      </c>
      <c r="C309" s="2" t="s">
        <v>313</v>
      </c>
      <c r="D309" s="15" t="s">
        <v>1536</v>
      </c>
      <c r="E309" s="2" t="s">
        <v>1097</v>
      </c>
      <c r="F309" s="26">
        <v>9518199384</v>
      </c>
      <c r="G309" s="26" t="s">
        <v>1959</v>
      </c>
      <c r="H309" s="2" t="s">
        <v>1141</v>
      </c>
      <c r="I309" s="2"/>
      <c r="J309" s="16" t="s">
        <v>1146</v>
      </c>
      <c r="K309" s="16"/>
      <c r="L309" s="2" t="s">
        <v>9</v>
      </c>
      <c r="M309" s="16">
        <v>5.93</v>
      </c>
      <c r="N309" s="16">
        <v>6.77</v>
      </c>
      <c r="O309" s="2">
        <v>6.82</v>
      </c>
      <c r="P309" s="2">
        <v>7.68</v>
      </c>
      <c r="Q309" s="16"/>
      <c r="R309" s="17"/>
      <c r="S309">
        <f t="shared" si="4"/>
        <v>6.8</v>
      </c>
    </row>
    <row r="310" spans="1:19" x14ac:dyDescent="0.3">
      <c r="A310" s="5">
        <v>309</v>
      </c>
      <c r="B310" s="2">
        <v>1323309</v>
      </c>
      <c r="C310" s="2" t="s">
        <v>314</v>
      </c>
      <c r="D310" s="15" t="s">
        <v>756</v>
      </c>
      <c r="E310" s="2" t="s">
        <v>1303</v>
      </c>
      <c r="F310" s="26">
        <v>9812607681</v>
      </c>
      <c r="G310" s="26" t="s">
        <v>1960</v>
      </c>
      <c r="H310" s="2" t="s">
        <v>1141</v>
      </c>
      <c r="I310" s="2"/>
      <c r="J310" s="16" t="s">
        <v>1145</v>
      </c>
      <c r="K310" s="16"/>
      <c r="L310" s="2" t="s">
        <v>9</v>
      </c>
      <c r="M310" s="16" t="s">
        <v>1625</v>
      </c>
      <c r="N310" s="16">
        <v>6.27</v>
      </c>
      <c r="O310" s="2" t="s">
        <v>953</v>
      </c>
      <c r="P310" s="2">
        <v>7.45</v>
      </c>
      <c r="Q310" s="16"/>
      <c r="R310" s="17"/>
      <c r="S310">
        <f t="shared" si="4"/>
        <v>6.8599999999999994</v>
      </c>
    </row>
    <row r="311" spans="1:19" x14ac:dyDescent="0.3">
      <c r="A311" s="5">
        <v>310</v>
      </c>
      <c r="B311" s="2">
        <v>1323310</v>
      </c>
      <c r="C311" s="2" t="s">
        <v>315</v>
      </c>
      <c r="D311" s="15" t="s">
        <v>1537</v>
      </c>
      <c r="E311" s="2" t="s">
        <v>1304</v>
      </c>
      <c r="F311" s="26">
        <v>8112906729</v>
      </c>
      <c r="G311" s="26" t="s">
        <v>1961</v>
      </c>
      <c r="H311" s="2" t="s">
        <v>1141</v>
      </c>
      <c r="I311" s="2"/>
      <c r="J311" s="16" t="s">
        <v>1146</v>
      </c>
      <c r="K311" s="16"/>
      <c r="L311" s="2" t="s">
        <v>9</v>
      </c>
      <c r="M311" s="16">
        <v>8.0500000000000007</v>
      </c>
      <c r="N311" s="16">
        <v>8.27</v>
      </c>
      <c r="O311" s="2">
        <v>7.64</v>
      </c>
      <c r="P311" s="2">
        <v>7.55</v>
      </c>
      <c r="Q311" s="16"/>
      <c r="R311" s="17"/>
      <c r="S311">
        <f t="shared" si="4"/>
        <v>7.8775000000000004</v>
      </c>
    </row>
    <row r="312" spans="1:19" x14ac:dyDescent="0.3">
      <c r="A312" s="5">
        <v>311</v>
      </c>
      <c r="B312" s="2">
        <v>1323311</v>
      </c>
      <c r="C312" s="2" t="s">
        <v>316</v>
      </c>
      <c r="D312" s="15" t="s">
        <v>757</v>
      </c>
      <c r="E312" s="2" t="s">
        <v>1305</v>
      </c>
      <c r="F312" s="26">
        <v>7015836668</v>
      </c>
      <c r="G312" s="26" t="s">
        <v>1962</v>
      </c>
      <c r="H312" s="2" t="s">
        <v>1141</v>
      </c>
      <c r="I312" s="2"/>
      <c r="J312" s="16" t="s">
        <v>1146</v>
      </c>
      <c r="K312" s="16"/>
      <c r="L312" s="2" t="s">
        <v>9</v>
      </c>
      <c r="M312" s="16">
        <v>7.68</v>
      </c>
      <c r="N312" s="16">
        <v>7.32</v>
      </c>
      <c r="O312" s="2" t="s">
        <v>2224</v>
      </c>
      <c r="P312" s="2">
        <v>7.59</v>
      </c>
      <c r="Q312" s="16"/>
      <c r="R312" s="17"/>
      <c r="S312">
        <f t="shared" si="4"/>
        <v>7.53</v>
      </c>
    </row>
    <row r="313" spans="1:19" x14ac:dyDescent="0.3">
      <c r="A313" s="5">
        <v>312</v>
      </c>
      <c r="B313" s="2">
        <v>1323312</v>
      </c>
      <c r="C313" s="2" t="s">
        <v>317</v>
      </c>
      <c r="D313" s="15" t="s">
        <v>1538</v>
      </c>
      <c r="E313" s="2" t="s">
        <v>1082</v>
      </c>
      <c r="F313" s="26">
        <v>8814980343</v>
      </c>
      <c r="G313" s="26" t="s">
        <v>1963</v>
      </c>
      <c r="H313" s="2" t="s">
        <v>1141</v>
      </c>
      <c r="I313" s="2"/>
      <c r="J313" s="16" t="s">
        <v>1145</v>
      </c>
      <c r="K313" s="16"/>
      <c r="L313" s="2" t="s">
        <v>9</v>
      </c>
      <c r="M313" s="16">
        <v>7.86</v>
      </c>
      <c r="N313" s="16">
        <v>7.41</v>
      </c>
      <c r="O313" s="2" t="s">
        <v>2210</v>
      </c>
      <c r="P313" s="2">
        <v>7.91</v>
      </c>
      <c r="Q313" s="16"/>
      <c r="R313" s="17"/>
      <c r="S313">
        <f t="shared" si="4"/>
        <v>7.7266666666666666</v>
      </c>
    </row>
    <row r="314" spans="1:19" x14ac:dyDescent="0.3">
      <c r="A314" s="5">
        <v>313</v>
      </c>
      <c r="B314" s="2">
        <v>1323313</v>
      </c>
      <c r="C314" s="2" t="s">
        <v>318</v>
      </c>
      <c r="D314" s="15" t="s">
        <v>1539</v>
      </c>
      <c r="E314" s="2" t="s">
        <v>1306</v>
      </c>
      <c r="F314" s="26">
        <v>8816086683</v>
      </c>
      <c r="G314" s="26" t="s">
        <v>1964</v>
      </c>
      <c r="H314" s="2" t="s">
        <v>1141</v>
      </c>
      <c r="I314" s="2"/>
      <c r="J314" s="16" t="s">
        <v>1146</v>
      </c>
      <c r="K314" s="16"/>
      <c r="L314" s="2" t="s">
        <v>9</v>
      </c>
      <c r="M314" s="16">
        <v>7.34</v>
      </c>
      <c r="N314" s="16">
        <v>7.32</v>
      </c>
      <c r="O314" s="2">
        <v>7.39</v>
      </c>
      <c r="P314" s="2">
        <v>6.32</v>
      </c>
      <c r="Q314" s="16"/>
      <c r="R314" s="17"/>
      <c r="S314">
        <f t="shared" si="4"/>
        <v>7.0925000000000002</v>
      </c>
    </row>
    <row r="315" spans="1:19" x14ac:dyDescent="0.3">
      <c r="A315" s="5">
        <v>314</v>
      </c>
      <c r="B315" s="2">
        <v>1323314</v>
      </c>
      <c r="C315" s="2" t="s">
        <v>319</v>
      </c>
      <c r="D315" s="15" t="s">
        <v>750</v>
      </c>
      <c r="E315" s="2" t="s">
        <v>1307</v>
      </c>
      <c r="F315" s="26">
        <v>9518413019</v>
      </c>
      <c r="G315" s="26" t="s">
        <v>1965</v>
      </c>
      <c r="H315" s="2" t="s">
        <v>1141</v>
      </c>
      <c r="I315" s="2"/>
      <c r="J315" s="16" t="s">
        <v>1145</v>
      </c>
      <c r="K315" s="16"/>
      <c r="L315" s="2" t="s">
        <v>9</v>
      </c>
      <c r="M315" s="16">
        <v>6.23</v>
      </c>
      <c r="N315" s="16">
        <v>6.25</v>
      </c>
      <c r="O315" s="2" t="s">
        <v>2212</v>
      </c>
      <c r="P315" s="2" t="s">
        <v>954</v>
      </c>
      <c r="Q315" s="16"/>
      <c r="R315" s="17"/>
      <c r="S315">
        <f t="shared" si="4"/>
        <v>6.24</v>
      </c>
    </row>
    <row r="316" spans="1:19" x14ac:dyDescent="0.3">
      <c r="A316" s="5">
        <v>315</v>
      </c>
      <c r="B316" s="2">
        <v>1323315</v>
      </c>
      <c r="C316" s="2" t="s">
        <v>320</v>
      </c>
      <c r="D316" s="15" t="s">
        <v>758</v>
      </c>
      <c r="E316" s="2" t="s">
        <v>1308</v>
      </c>
      <c r="F316" s="26"/>
      <c r="G316" s="26"/>
      <c r="H316" s="2"/>
      <c r="I316" s="2"/>
      <c r="J316" s="16"/>
      <c r="K316" s="16"/>
      <c r="L316" s="2" t="s">
        <v>9</v>
      </c>
      <c r="M316" s="16" t="s">
        <v>1639</v>
      </c>
      <c r="N316" s="16" t="s">
        <v>1663</v>
      </c>
      <c r="O316" s="2"/>
      <c r="P316" s="2"/>
      <c r="Q316" s="16"/>
      <c r="R316" s="17"/>
      <c r="S316" t="e">
        <f t="shared" si="4"/>
        <v>#DIV/0!</v>
      </c>
    </row>
    <row r="317" spans="1:19" x14ac:dyDescent="0.3">
      <c r="A317" s="5">
        <v>316</v>
      </c>
      <c r="B317" s="2">
        <v>1323316</v>
      </c>
      <c r="C317" s="2" t="s">
        <v>321</v>
      </c>
      <c r="D317" s="15" t="s">
        <v>759</v>
      </c>
      <c r="E317" s="2" t="s">
        <v>1309</v>
      </c>
      <c r="F317" s="26">
        <v>9012645792</v>
      </c>
      <c r="G317" s="26" t="s">
        <v>1966</v>
      </c>
      <c r="H317" s="2" t="s">
        <v>1141</v>
      </c>
      <c r="I317" s="2"/>
      <c r="J317" s="16" t="s">
        <v>1146</v>
      </c>
      <c r="K317" s="16"/>
      <c r="L317" s="2" t="s">
        <v>9</v>
      </c>
      <c r="M317" s="16" t="s">
        <v>1625</v>
      </c>
      <c r="N317" s="16">
        <v>6.2</v>
      </c>
      <c r="O317" s="2">
        <v>6</v>
      </c>
      <c r="P317" s="2" t="s">
        <v>2250</v>
      </c>
      <c r="Q317" s="16"/>
      <c r="R317" s="17"/>
      <c r="S317">
        <f t="shared" si="4"/>
        <v>6.1</v>
      </c>
    </row>
    <row r="318" spans="1:19" x14ac:dyDescent="0.3">
      <c r="A318" s="5">
        <v>317</v>
      </c>
      <c r="B318" s="2">
        <v>1323317</v>
      </c>
      <c r="C318" s="2" t="s">
        <v>322</v>
      </c>
      <c r="D318" s="15" t="s">
        <v>1540</v>
      </c>
      <c r="E318" s="2" t="s">
        <v>1310</v>
      </c>
      <c r="F318" s="26"/>
      <c r="G318" s="26"/>
      <c r="H318" s="2" t="s">
        <v>1141</v>
      </c>
      <c r="I318" s="2"/>
      <c r="J318" s="16"/>
      <c r="K318" s="16"/>
      <c r="L318" s="2" t="s">
        <v>9</v>
      </c>
      <c r="M318" s="16" t="s">
        <v>1640</v>
      </c>
      <c r="N318" s="16" t="s">
        <v>1662</v>
      </c>
      <c r="O318" s="2"/>
      <c r="P318" s="2"/>
      <c r="Q318" s="16"/>
      <c r="R318" s="17"/>
      <c r="S318" t="e">
        <f t="shared" si="4"/>
        <v>#DIV/0!</v>
      </c>
    </row>
    <row r="319" spans="1:19" x14ac:dyDescent="0.3">
      <c r="A319" s="5">
        <v>318</v>
      </c>
      <c r="B319" s="2">
        <v>1323318</v>
      </c>
      <c r="C319" s="2" t="s">
        <v>323</v>
      </c>
      <c r="D319" s="15" t="s">
        <v>760</v>
      </c>
      <c r="E319" s="2" t="s">
        <v>1128</v>
      </c>
      <c r="F319" s="26">
        <v>8901872038</v>
      </c>
      <c r="G319" s="26" t="s">
        <v>1967</v>
      </c>
      <c r="H319" s="2" t="s">
        <v>1141</v>
      </c>
      <c r="I319" s="2"/>
      <c r="J319" s="16" t="s">
        <v>1145</v>
      </c>
      <c r="K319" s="16"/>
      <c r="L319" s="2" t="s">
        <v>9</v>
      </c>
      <c r="M319" s="16" t="s">
        <v>1625</v>
      </c>
      <c r="N319" s="16">
        <v>6.64</v>
      </c>
      <c r="O319" s="2" t="s">
        <v>2210</v>
      </c>
      <c r="P319" s="2" t="s">
        <v>2279</v>
      </c>
      <c r="Q319" s="16"/>
      <c r="R319" s="17"/>
      <c r="S319">
        <f t="shared" si="4"/>
        <v>6.64</v>
      </c>
    </row>
    <row r="320" spans="1:19" x14ac:dyDescent="0.3">
      <c r="A320" s="5">
        <v>319</v>
      </c>
      <c r="B320" s="2">
        <v>1323319</v>
      </c>
      <c r="C320" s="2" t="s">
        <v>324</v>
      </c>
      <c r="D320" s="15" t="s">
        <v>761</v>
      </c>
      <c r="E320" s="2" t="s">
        <v>1311</v>
      </c>
      <c r="F320" s="26">
        <v>9468200074</v>
      </c>
      <c r="G320" s="26" t="s">
        <v>1968</v>
      </c>
      <c r="H320" s="2" t="s">
        <v>1141</v>
      </c>
      <c r="I320" s="2"/>
      <c r="J320" s="16" t="s">
        <v>1146</v>
      </c>
      <c r="K320" s="16"/>
      <c r="L320" s="2" t="s">
        <v>9</v>
      </c>
      <c r="M320" s="16" t="s">
        <v>1641</v>
      </c>
      <c r="N320" s="16" t="s">
        <v>1687</v>
      </c>
      <c r="O320" s="2" t="s">
        <v>2208</v>
      </c>
      <c r="P320" s="2" t="s">
        <v>2280</v>
      </c>
      <c r="Q320" s="16"/>
      <c r="R320" s="17"/>
      <c r="S320" t="e">
        <f t="shared" si="4"/>
        <v>#DIV/0!</v>
      </c>
    </row>
    <row r="321" spans="1:19" x14ac:dyDescent="0.3">
      <c r="A321" s="5">
        <v>320</v>
      </c>
      <c r="B321" s="2">
        <v>1323320</v>
      </c>
      <c r="C321" s="2" t="s">
        <v>325</v>
      </c>
      <c r="D321" s="15" t="s">
        <v>773</v>
      </c>
      <c r="E321" s="2" t="s">
        <v>1312</v>
      </c>
      <c r="F321" s="26"/>
      <c r="G321" s="26"/>
      <c r="H321" s="2"/>
      <c r="I321" s="2"/>
      <c r="J321" s="16"/>
      <c r="K321" s="16"/>
      <c r="L321" s="2"/>
      <c r="M321" s="16" t="s">
        <v>958</v>
      </c>
      <c r="N321" s="16"/>
      <c r="O321" s="2"/>
      <c r="P321" s="2"/>
      <c r="Q321" s="16"/>
      <c r="R321" s="17"/>
      <c r="S321" t="e">
        <f t="shared" si="4"/>
        <v>#DIV/0!</v>
      </c>
    </row>
    <row r="322" spans="1:19" x14ac:dyDescent="0.3">
      <c r="A322" s="5">
        <v>321</v>
      </c>
      <c r="B322" s="2">
        <v>1323321</v>
      </c>
      <c r="C322" s="2" t="s">
        <v>326</v>
      </c>
      <c r="D322" s="15" t="s">
        <v>1541</v>
      </c>
      <c r="E322" s="2" t="s">
        <v>1313</v>
      </c>
      <c r="F322" s="26">
        <v>9416740712</v>
      </c>
      <c r="G322" s="26" t="s">
        <v>1969</v>
      </c>
      <c r="H322" s="2" t="s">
        <v>1142</v>
      </c>
      <c r="I322" s="2"/>
      <c r="J322" s="16" t="s">
        <v>1146</v>
      </c>
      <c r="K322" s="16"/>
      <c r="L322" s="2" t="s">
        <v>8</v>
      </c>
      <c r="M322" s="16">
        <v>7.5</v>
      </c>
      <c r="N322" s="16">
        <v>7.23</v>
      </c>
      <c r="O322" s="2" t="s">
        <v>2208</v>
      </c>
      <c r="P322" s="2">
        <v>7.77</v>
      </c>
      <c r="Q322" s="16"/>
      <c r="R322" s="17"/>
      <c r="S322">
        <f t="shared" ref="S322:S385" si="5">AVERAGE(M322:P322)</f>
        <v>7.5</v>
      </c>
    </row>
    <row r="323" spans="1:19" x14ac:dyDescent="0.3">
      <c r="A323" s="5">
        <v>322</v>
      </c>
      <c r="B323" s="2">
        <v>1323322</v>
      </c>
      <c r="C323" s="2" t="s">
        <v>327</v>
      </c>
      <c r="D323" s="15" t="s">
        <v>1542</v>
      </c>
      <c r="E323" s="2" t="s">
        <v>1314</v>
      </c>
      <c r="F323" s="26">
        <v>7906417399</v>
      </c>
      <c r="G323" s="26" t="s">
        <v>1970</v>
      </c>
      <c r="H323" s="2" t="s">
        <v>1142</v>
      </c>
      <c r="I323" s="2"/>
      <c r="J323" s="16" t="s">
        <v>1146</v>
      </c>
      <c r="K323" s="16"/>
      <c r="L323" s="2" t="s">
        <v>8</v>
      </c>
      <c r="M323" s="16">
        <v>8.36</v>
      </c>
      <c r="N323" s="16" t="s">
        <v>1664</v>
      </c>
      <c r="O323" s="2" t="s">
        <v>954</v>
      </c>
      <c r="P323" s="2">
        <v>7.95</v>
      </c>
      <c r="Q323" s="16"/>
      <c r="R323" s="17"/>
      <c r="S323">
        <f t="shared" si="5"/>
        <v>8.1549999999999994</v>
      </c>
    </row>
    <row r="324" spans="1:19" x14ac:dyDescent="0.3">
      <c r="A324" s="5">
        <v>323</v>
      </c>
      <c r="B324" s="2">
        <v>1323323</v>
      </c>
      <c r="C324" s="2" t="s">
        <v>328</v>
      </c>
      <c r="D324" s="15" t="s">
        <v>735</v>
      </c>
      <c r="E324" s="2" t="s">
        <v>1315</v>
      </c>
      <c r="F324" s="26">
        <v>9050178487</v>
      </c>
      <c r="G324" s="26" t="s">
        <v>1971</v>
      </c>
      <c r="H324" s="2" t="s">
        <v>1142</v>
      </c>
      <c r="I324" s="2"/>
      <c r="J324" s="16" t="s">
        <v>8</v>
      </c>
      <c r="K324" s="16"/>
      <c r="L324" s="2" t="s">
        <v>8</v>
      </c>
      <c r="M324" s="16">
        <v>7.86</v>
      </c>
      <c r="N324" s="16">
        <v>7.68</v>
      </c>
      <c r="O324" s="2">
        <v>8.14</v>
      </c>
      <c r="P324" s="2">
        <v>7.77</v>
      </c>
      <c r="Q324" s="16"/>
      <c r="R324" s="17"/>
      <c r="S324">
        <f t="shared" si="5"/>
        <v>7.8624999999999998</v>
      </c>
    </row>
    <row r="325" spans="1:19" x14ac:dyDescent="0.3">
      <c r="A325" s="5">
        <v>324</v>
      </c>
      <c r="B325" s="2">
        <v>1323324</v>
      </c>
      <c r="C325" s="2" t="s">
        <v>329</v>
      </c>
      <c r="D325" s="18" t="s">
        <v>1543</v>
      </c>
      <c r="E325" s="2" t="s">
        <v>1253</v>
      </c>
      <c r="F325" s="26">
        <v>9306309656</v>
      </c>
      <c r="G325" s="26" t="s">
        <v>1972</v>
      </c>
      <c r="H325" s="2" t="s">
        <v>1142</v>
      </c>
      <c r="I325" s="2"/>
      <c r="J325" s="16" t="s">
        <v>8</v>
      </c>
      <c r="K325" s="16"/>
      <c r="L325" s="2" t="s">
        <v>8</v>
      </c>
      <c r="M325" s="16" t="s">
        <v>1625</v>
      </c>
      <c r="N325" s="16">
        <v>5.93</v>
      </c>
      <c r="O325" s="2">
        <v>5.68</v>
      </c>
      <c r="P325" s="2" t="s">
        <v>2249</v>
      </c>
      <c r="Q325" s="16"/>
      <c r="R325" s="17"/>
      <c r="S325">
        <f t="shared" si="5"/>
        <v>5.8049999999999997</v>
      </c>
    </row>
    <row r="326" spans="1:19" x14ac:dyDescent="0.3">
      <c r="A326" s="5">
        <v>325</v>
      </c>
      <c r="B326" s="2">
        <v>1323325</v>
      </c>
      <c r="C326" s="2" t="s">
        <v>330</v>
      </c>
      <c r="D326" s="15" t="s">
        <v>1544</v>
      </c>
      <c r="E326" s="2" t="s">
        <v>1316</v>
      </c>
      <c r="F326" s="26"/>
      <c r="G326" s="26"/>
      <c r="H326" s="2"/>
      <c r="I326" s="2"/>
      <c r="J326" s="16"/>
      <c r="K326" s="16"/>
      <c r="L326" s="2"/>
      <c r="M326" s="16" t="s">
        <v>954</v>
      </c>
      <c r="N326" s="16" t="s">
        <v>954</v>
      </c>
      <c r="O326" s="2"/>
      <c r="P326" s="2"/>
      <c r="Q326" s="16"/>
      <c r="R326" s="17"/>
      <c r="S326" t="e">
        <f t="shared" si="5"/>
        <v>#DIV/0!</v>
      </c>
    </row>
    <row r="327" spans="1:19" x14ac:dyDescent="0.3">
      <c r="A327" s="5">
        <v>326</v>
      </c>
      <c r="B327" s="2">
        <v>1323326</v>
      </c>
      <c r="C327" s="2" t="s">
        <v>331</v>
      </c>
      <c r="D327" s="15" t="s">
        <v>1545</v>
      </c>
      <c r="E327" s="2" t="s">
        <v>1317</v>
      </c>
      <c r="F327" s="26"/>
      <c r="G327" s="26"/>
      <c r="H327" s="2"/>
      <c r="I327" s="2"/>
      <c r="J327" s="16"/>
      <c r="K327" s="16"/>
      <c r="L327" s="2"/>
      <c r="M327" s="16" t="s">
        <v>1642</v>
      </c>
      <c r="N327" s="16">
        <v>6.05</v>
      </c>
      <c r="O327" s="2"/>
      <c r="P327" s="2"/>
      <c r="Q327" s="16"/>
      <c r="R327" s="17"/>
      <c r="S327">
        <f t="shared" si="5"/>
        <v>6.05</v>
      </c>
    </row>
    <row r="328" spans="1:19" x14ac:dyDescent="0.3">
      <c r="A328" s="5">
        <v>327</v>
      </c>
      <c r="B328" s="2">
        <v>1323327</v>
      </c>
      <c r="C328" s="2" t="s">
        <v>332</v>
      </c>
      <c r="D328" s="15" t="s">
        <v>1546</v>
      </c>
      <c r="E328" s="2" t="s">
        <v>1318</v>
      </c>
      <c r="F328" s="26">
        <v>9813529198</v>
      </c>
      <c r="G328" s="26" t="s">
        <v>1973</v>
      </c>
      <c r="H328" s="2" t="s">
        <v>1142</v>
      </c>
      <c r="I328" s="2"/>
      <c r="J328" s="16" t="s">
        <v>1145</v>
      </c>
      <c r="K328" s="16"/>
      <c r="L328" s="2" t="s">
        <v>8</v>
      </c>
      <c r="M328" s="16">
        <v>5.73</v>
      </c>
      <c r="N328" s="16">
        <v>8</v>
      </c>
      <c r="O328" s="2">
        <v>5.82</v>
      </c>
      <c r="P328" s="2">
        <v>5.82</v>
      </c>
      <c r="Q328" s="16"/>
      <c r="R328" s="17"/>
      <c r="S328">
        <f t="shared" si="5"/>
        <v>6.3425000000000002</v>
      </c>
    </row>
    <row r="329" spans="1:19" x14ac:dyDescent="0.3">
      <c r="A329" s="5">
        <v>328</v>
      </c>
      <c r="B329" s="2">
        <v>1323328</v>
      </c>
      <c r="C329" s="2" t="s">
        <v>333</v>
      </c>
      <c r="D329" s="15" t="s">
        <v>1547</v>
      </c>
      <c r="E329" s="2" t="s">
        <v>1102</v>
      </c>
      <c r="F329" s="26">
        <v>9546310140</v>
      </c>
      <c r="G329" s="26" t="s">
        <v>1974</v>
      </c>
      <c r="H329" s="2" t="s">
        <v>1142</v>
      </c>
      <c r="I329" s="2"/>
      <c r="J329" s="16" t="s">
        <v>1146</v>
      </c>
      <c r="K329" s="16"/>
      <c r="L329" s="2" t="s">
        <v>8</v>
      </c>
      <c r="M329" s="16">
        <v>7.73</v>
      </c>
      <c r="N329" s="16">
        <v>8.27</v>
      </c>
      <c r="O329" s="2">
        <v>6.95</v>
      </c>
      <c r="P329" s="2">
        <v>7.86</v>
      </c>
      <c r="Q329" s="16"/>
      <c r="R329" s="17"/>
      <c r="S329">
        <f t="shared" si="5"/>
        <v>7.7024999999999997</v>
      </c>
    </row>
    <row r="330" spans="1:19" x14ac:dyDescent="0.3">
      <c r="A330" s="5">
        <v>329</v>
      </c>
      <c r="B330" s="2">
        <v>1323329</v>
      </c>
      <c r="C330" s="2" t="s">
        <v>334</v>
      </c>
      <c r="D330" s="15" t="s">
        <v>1548</v>
      </c>
      <c r="E330" s="2" t="s">
        <v>1319</v>
      </c>
      <c r="F330" s="26">
        <v>7206868413</v>
      </c>
      <c r="G330" s="26" t="s">
        <v>1975</v>
      </c>
      <c r="H330" s="2" t="s">
        <v>1142</v>
      </c>
      <c r="I330" s="2"/>
      <c r="J330" s="16" t="s">
        <v>1145</v>
      </c>
      <c r="K330" s="16"/>
      <c r="L330" s="2" t="s">
        <v>8</v>
      </c>
      <c r="M330" s="16">
        <v>8.18</v>
      </c>
      <c r="N330" s="16"/>
      <c r="O330" s="2">
        <v>7.45</v>
      </c>
      <c r="P330" s="2">
        <v>6.93</v>
      </c>
      <c r="Q330" s="16"/>
      <c r="R330" s="17"/>
      <c r="S330">
        <f t="shared" si="5"/>
        <v>7.52</v>
      </c>
    </row>
    <row r="331" spans="1:19" x14ac:dyDescent="0.3">
      <c r="A331" s="5">
        <v>330</v>
      </c>
      <c r="B331" s="2">
        <v>1323330</v>
      </c>
      <c r="C331" s="2" t="s">
        <v>335</v>
      </c>
      <c r="D331" s="15"/>
      <c r="E331" s="2"/>
      <c r="F331" s="26"/>
      <c r="G331" s="26"/>
      <c r="H331" s="2"/>
      <c r="I331" s="2"/>
      <c r="J331" s="16"/>
      <c r="K331" s="16"/>
      <c r="L331" s="2"/>
      <c r="M331" s="16"/>
      <c r="N331" s="16"/>
      <c r="O331" s="2"/>
      <c r="P331" s="2"/>
      <c r="Q331" s="16"/>
      <c r="R331" s="17"/>
      <c r="S331" t="e">
        <f t="shared" si="5"/>
        <v>#DIV/0!</v>
      </c>
    </row>
    <row r="332" spans="1:19" x14ac:dyDescent="0.3">
      <c r="A332" s="5">
        <v>331</v>
      </c>
      <c r="B332" s="2">
        <v>1323331</v>
      </c>
      <c r="C332" s="2" t="s">
        <v>336</v>
      </c>
      <c r="D332" s="15" t="s">
        <v>1549</v>
      </c>
      <c r="E332" s="2" t="s">
        <v>1320</v>
      </c>
      <c r="F332" s="26"/>
      <c r="G332" s="26"/>
      <c r="H332" s="2" t="s">
        <v>1142</v>
      </c>
      <c r="I332" s="2"/>
      <c r="J332" s="16"/>
      <c r="K332" s="16"/>
      <c r="L332" s="2" t="s">
        <v>8</v>
      </c>
      <c r="M332" s="16">
        <v>7.45</v>
      </c>
      <c r="N332" s="16" t="s">
        <v>1663</v>
      </c>
      <c r="O332" s="2" t="s">
        <v>954</v>
      </c>
      <c r="P332" s="2"/>
      <c r="Q332" s="16"/>
      <c r="R332" s="17"/>
      <c r="S332">
        <f t="shared" si="5"/>
        <v>7.45</v>
      </c>
    </row>
    <row r="333" spans="1:19" x14ac:dyDescent="0.3">
      <c r="A333" s="5">
        <v>332</v>
      </c>
      <c r="B333" s="2">
        <v>1323332</v>
      </c>
      <c r="C333" s="2" t="s">
        <v>941</v>
      </c>
      <c r="D333" s="15" t="s">
        <v>1550</v>
      </c>
      <c r="E333" s="2" t="s">
        <v>1321</v>
      </c>
      <c r="F333" s="26"/>
      <c r="G333" s="26"/>
      <c r="H333" s="2"/>
      <c r="I333" s="2"/>
      <c r="J333" s="16"/>
      <c r="K333" s="16"/>
      <c r="L333" s="2" t="s">
        <v>928</v>
      </c>
      <c r="M333" s="16" t="s">
        <v>1637</v>
      </c>
      <c r="N333" s="16" t="s">
        <v>1688</v>
      </c>
      <c r="O333" s="2"/>
      <c r="P333" s="2"/>
      <c r="Q333" s="16"/>
      <c r="R333" s="17"/>
      <c r="S333" t="e">
        <f t="shared" si="5"/>
        <v>#DIV/0!</v>
      </c>
    </row>
    <row r="334" spans="1:19" x14ac:dyDescent="0.3">
      <c r="A334" s="5">
        <v>333</v>
      </c>
      <c r="B334" s="2">
        <v>1323333</v>
      </c>
      <c r="C334" s="2" t="s">
        <v>941</v>
      </c>
      <c r="D334" s="15" t="s">
        <v>762</v>
      </c>
      <c r="E334" s="2" t="s">
        <v>1322</v>
      </c>
      <c r="F334" s="26"/>
      <c r="G334" s="26"/>
      <c r="H334" s="2"/>
      <c r="I334" s="2"/>
      <c r="J334" s="16"/>
      <c r="K334" s="16"/>
      <c r="L334" s="2"/>
      <c r="M334" s="16">
        <v>8.86</v>
      </c>
      <c r="N334" s="16">
        <v>8.32</v>
      </c>
      <c r="O334" s="2"/>
      <c r="P334" s="2"/>
      <c r="Q334" s="16"/>
      <c r="R334" s="17"/>
      <c r="S334">
        <f t="shared" si="5"/>
        <v>8.59</v>
      </c>
    </row>
    <row r="335" spans="1:19" x14ac:dyDescent="0.3">
      <c r="A335" s="5">
        <v>334</v>
      </c>
      <c r="B335" s="2">
        <v>1323334</v>
      </c>
      <c r="C335" s="2" t="s">
        <v>600</v>
      </c>
      <c r="D335" s="15"/>
      <c r="E335" s="2"/>
      <c r="F335" s="26">
        <v>7047172288</v>
      </c>
      <c r="G335" s="26" t="s">
        <v>1976</v>
      </c>
      <c r="H335" s="2" t="s">
        <v>1142</v>
      </c>
      <c r="I335" s="2"/>
      <c r="J335" s="16" t="s">
        <v>1146</v>
      </c>
      <c r="K335" s="16"/>
      <c r="L335" s="2" t="s">
        <v>8</v>
      </c>
      <c r="M335" s="16"/>
      <c r="N335" s="16">
        <v>7.82</v>
      </c>
      <c r="O335" s="2">
        <v>7.55</v>
      </c>
      <c r="P335" s="2">
        <v>8.14</v>
      </c>
      <c r="Q335" s="16"/>
      <c r="R335" s="17"/>
      <c r="S335">
        <f t="shared" si="5"/>
        <v>7.8366666666666669</v>
      </c>
    </row>
    <row r="336" spans="1:19" x14ac:dyDescent="0.3">
      <c r="A336" s="5">
        <v>335</v>
      </c>
      <c r="B336" s="2">
        <v>1323335</v>
      </c>
      <c r="C336" s="2" t="s">
        <v>337</v>
      </c>
      <c r="D336" s="18" t="s">
        <v>1551</v>
      </c>
      <c r="E336" s="2" t="s">
        <v>1323</v>
      </c>
      <c r="F336" s="26">
        <v>8210919030</v>
      </c>
      <c r="G336" s="26" t="s">
        <v>1977</v>
      </c>
      <c r="H336" s="2" t="s">
        <v>1142</v>
      </c>
      <c r="I336" s="2"/>
      <c r="J336" s="16" t="s">
        <v>1145</v>
      </c>
      <c r="K336" s="16"/>
      <c r="L336" s="2" t="s">
        <v>8</v>
      </c>
      <c r="M336" s="16">
        <v>6.77</v>
      </c>
      <c r="N336" s="16">
        <v>8.0500000000000007</v>
      </c>
      <c r="O336" s="2">
        <v>7.05</v>
      </c>
      <c r="P336" s="2">
        <v>6.73</v>
      </c>
      <c r="Q336" s="16"/>
      <c r="R336" s="17"/>
      <c r="S336">
        <f t="shared" si="5"/>
        <v>7.15</v>
      </c>
    </row>
    <row r="337" spans="1:19" x14ac:dyDescent="0.3">
      <c r="A337" s="5">
        <v>336</v>
      </c>
      <c r="B337" s="2">
        <v>1323336</v>
      </c>
      <c r="C337" s="2" t="s">
        <v>338</v>
      </c>
      <c r="D337" s="18" t="s">
        <v>763</v>
      </c>
      <c r="E337" s="2" t="s">
        <v>1324</v>
      </c>
      <c r="F337" s="26">
        <v>8708105383</v>
      </c>
      <c r="G337" s="26" t="s">
        <v>1978</v>
      </c>
      <c r="H337" s="2" t="s">
        <v>1142</v>
      </c>
      <c r="I337" s="2"/>
      <c r="J337" s="16" t="s">
        <v>8</v>
      </c>
      <c r="K337" s="16"/>
      <c r="L337" s="2" t="s">
        <v>8</v>
      </c>
      <c r="M337" s="16">
        <v>7.77</v>
      </c>
      <c r="N337" s="16">
        <v>6.68</v>
      </c>
      <c r="O337" s="2">
        <v>7.68</v>
      </c>
      <c r="P337" s="2" t="s">
        <v>2281</v>
      </c>
      <c r="Q337" s="16"/>
      <c r="R337" s="17"/>
      <c r="S337">
        <f t="shared" si="5"/>
        <v>7.376666666666666</v>
      </c>
    </row>
    <row r="338" spans="1:19" x14ac:dyDescent="0.3">
      <c r="A338" s="5">
        <v>337</v>
      </c>
      <c r="B338" s="2">
        <v>1323337</v>
      </c>
      <c r="C338" s="2" t="s">
        <v>339</v>
      </c>
      <c r="D338" s="15" t="s">
        <v>764</v>
      </c>
      <c r="E338" s="2" t="s">
        <v>1325</v>
      </c>
      <c r="F338" s="26">
        <v>8950993026</v>
      </c>
      <c r="G338" s="26" t="s">
        <v>1979</v>
      </c>
      <c r="H338" s="2" t="s">
        <v>1142</v>
      </c>
      <c r="I338" s="2"/>
      <c r="J338" s="16" t="s">
        <v>8</v>
      </c>
      <c r="K338" s="16"/>
      <c r="L338" s="2" t="s">
        <v>8</v>
      </c>
      <c r="M338" s="16">
        <v>5.91</v>
      </c>
      <c r="N338" s="16">
        <v>7.5</v>
      </c>
      <c r="O338" s="2" t="s">
        <v>2214</v>
      </c>
      <c r="P338" s="2">
        <v>6.43</v>
      </c>
      <c r="Q338" s="16"/>
      <c r="R338" s="17"/>
      <c r="S338">
        <f t="shared" si="5"/>
        <v>6.6133333333333333</v>
      </c>
    </row>
    <row r="339" spans="1:19" x14ac:dyDescent="0.3">
      <c r="A339" s="5">
        <v>338</v>
      </c>
      <c r="B339" s="2">
        <v>1323338</v>
      </c>
      <c r="C339" s="2" t="s">
        <v>340</v>
      </c>
      <c r="D339" s="18" t="s">
        <v>765</v>
      </c>
      <c r="E339" s="2" t="s">
        <v>1326</v>
      </c>
      <c r="F339" s="26">
        <v>9050588400</v>
      </c>
      <c r="G339" s="26" t="s">
        <v>1980</v>
      </c>
      <c r="H339" s="2" t="s">
        <v>1142</v>
      </c>
      <c r="I339" s="2"/>
      <c r="J339" s="16" t="s">
        <v>1146</v>
      </c>
      <c r="K339" s="16"/>
      <c r="L339" s="2" t="s">
        <v>8</v>
      </c>
      <c r="M339" s="16">
        <v>6.82</v>
      </c>
      <c r="N339" s="16">
        <v>8.68</v>
      </c>
      <c r="O339" s="2" t="s">
        <v>954</v>
      </c>
      <c r="P339" s="2">
        <v>6.77</v>
      </c>
      <c r="Q339" s="16"/>
      <c r="R339" s="17"/>
      <c r="S339">
        <f t="shared" si="5"/>
        <v>7.4233333333333329</v>
      </c>
    </row>
    <row r="340" spans="1:19" x14ac:dyDescent="0.3">
      <c r="A340" s="5">
        <v>339</v>
      </c>
      <c r="B340" s="2">
        <v>1323339</v>
      </c>
      <c r="C340" s="2" t="s">
        <v>601</v>
      </c>
      <c r="D340" s="18" t="s">
        <v>1552</v>
      </c>
      <c r="E340" s="2" t="s">
        <v>1327</v>
      </c>
      <c r="F340" s="26"/>
      <c r="G340" s="26"/>
      <c r="H340" s="2"/>
      <c r="I340" s="2"/>
      <c r="J340" s="16"/>
      <c r="K340" s="16"/>
      <c r="L340" s="2" t="s">
        <v>8</v>
      </c>
      <c r="M340" s="16">
        <v>8.32</v>
      </c>
      <c r="N340" s="16" t="s">
        <v>1687</v>
      </c>
      <c r="O340" s="2" t="s">
        <v>954</v>
      </c>
      <c r="P340" s="2"/>
      <c r="Q340" s="16"/>
      <c r="R340" s="17"/>
      <c r="S340">
        <f t="shared" si="5"/>
        <v>8.32</v>
      </c>
    </row>
    <row r="341" spans="1:19" x14ac:dyDescent="0.3">
      <c r="A341" s="5">
        <v>340</v>
      </c>
      <c r="B341" s="2">
        <v>1323340</v>
      </c>
      <c r="C341" s="2" t="s">
        <v>341</v>
      </c>
      <c r="D341" s="18" t="s">
        <v>641</v>
      </c>
      <c r="E341" s="2" t="s">
        <v>1328</v>
      </c>
      <c r="F341" s="26">
        <v>9306325950</v>
      </c>
      <c r="G341" s="26" t="s">
        <v>1981</v>
      </c>
      <c r="H341" s="2" t="s">
        <v>1142</v>
      </c>
      <c r="I341" s="2"/>
      <c r="J341" s="16" t="s">
        <v>1145</v>
      </c>
      <c r="K341" s="16"/>
      <c r="L341" s="2" t="s">
        <v>8</v>
      </c>
      <c r="M341" s="16">
        <v>7</v>
      </c>
      <c r="N341" s="16">
        <v>6.41</v>
      </c>
      <c r="O341" s="2" t="s">
        <v>2218</v>
      </c>
      <c r="P341" s="2" t="s">
        <v>2282</v>
      </c>
      <c r="Q341" s="16"/>
      <c r="R341" s="17"/>
      <c r="S341">
        <f t="shared" si="5"/>
        <v>6.7050000000000001</v>
      </c>
    </row>
    <row r="342" spans="1:19" x14ac:dyDescent="0.3">
      <c r="A342" s="5">
        <v>341</v>
      </c>
      <c r="B342" s="2">
        <v>1323341</v>
      </c>
      <c r="C342" s="2" t="s">
        <v>342</v>
      </c>
      <c r="D342" s="15" t="s">
        <v>766</v>
      </c>
      <c r="E342" s="2" t="s">
        <v>1329</v>
      </c>
      <c r="F342" s="26">
        <v>9350916176</v>
      </c>
      <c r="G342" s="26" t="s">
        <v>1982</v>
      </c>
      <c r="H342" s="2" t="s">
        <v>1142</v>
      </c>
      <c r="I342" s="2"/>
      <c r="J342" s="16" t="s">
        <v>1145</v>
      </c>
      <c r="K342" s="16"/>
      <c r="L342" s="2" t="s">
        <v>928</v>
      </c>
      <c r="M342" s="16">
        <v>6.14</v>
      </c>
      <c r="N342" s="16">
        <v>8.36</v>
      </c>
      <c r="O342" s="2">
        <v>7.18</v>
      </c>
      <c r="P342" s="2">
        <v>6.36</v>
      </c>
      <c r="Q342" s="16"/>
      <c r="R342" s="17"/>
      <c r="S342">
        <f t="shared" si="5"/>
        <v>7.01</v>
      </c>
    </row>
    <row r="343" spans="1:19" x14ac:dyDescent="0.3">
      <c r="A343" s="5">
        <v>342</v>
      </c>
      <c r="B343" s="2">
        <v>1323342</v>
      </c>
      <c r="C343" s="2" t="s">
        <v>343</v>
      </c>
      <c r="D343" s="18" t="s">
        <v>1553</v>
      </c>
      <c r="E343" s="2" t="s">
        <v>1330</v>
      </c>
      <c r="F343" s="26">
        <v>9812293190</v>
      </c>
      <c r="G343" s="26" t="s">
        <v>1983</v>
      </c>
      <c r="H343" s="2" t="s">
        <v>1142</v>
      </c>
      <c r="I343" s="2"/>
      <c r="J343" s="16" t="s">
        <v>8</v>
      </c>
      <c r="K343" s="16"/>
      <c r="L343" s="2" t="s">
        <v>8</v>
      </c>
      <c r="M343" s="16">
        <v>8.59</v>
      </c>
      <c r="N343" s="16" t="s">
        <v>953</v>
      </c>
      <c r="O343" s="2">
        <v>7.86</v>
      </c>
      <c r="P343" s="2">
        <v>8.41</v>
      </c>
      <c r="Q343" s="16"/>
      <c r="R343" s="17"/>
      <c r="S343">
        <f t="shared" si="5"/>
        <v>8.2866666666666671</v>
      </c>
    </row>
    <row r="344" spans="1:19" x14ac:dyDescent="0.3">
      <c r="A344" s="5">
        <v>343</v>
      </c>
      <c r="B344" s="2">
        <v>1323343</v>
      </c>
      <c r="C344" s="2" t="s">
        <v>344</v>
      </c>
      <c r="D344" s="15" t="s">
        <v>1554</v>
      </c>
      <c r="E344" s="2" t="s">
        <v>1284</v>
      </c>
      <c r="F344" s="26">
        <v>9813627978</v>
      </c>
      <c r="G344" s="26" t="s">
        <v>1984</v>
      </c>
      <c r="H344" s="2" t="s">
        <v>1142</v>
      </c>
      <c r="I344" s="2"/>
      <c r="J344" s="16" t="s">
        <v>1146</v>
      </c>
      <c r="K344" s="16"/>
      <c r="L344" s="2" t="s">
        <v>8</v>
      </c>
      <c r="M344" s="16">
        <v>8.59</v>
      </c>
      <c r="N344" s="16">
        <v>7.68</v>
      </c>
      <c r="O344" s="2">
        <v>8.23</v>
      </c>
      <c r="P344" s="2">
        <v>8.14</v>
      </c>
      <c r="Q344" s="16"/>
      <c r="R344" s="17"/>
      <c r="S344">
        <f t="shared" si="5"/>
        <v>8.16</v>
      </c>
    </row>
    <row r="345" spans="1:19" x14ac:dyDescent="0.3">
      <c r="A345" s="5">
        <v>344</v>
      </c>
      <c r="B345" s="2">
        <v>1323344</v>
      </c>
      <c r="C345" s="2" t="s">
        <v>345</v>
      </c>
      <c r="D345" s="15" t="s">
        <v>767</v>
      </c>
      <c r="E345" s="2" t="s">
        <v>1172</v>
      </c>
      <c r="F345" s="26">
        <v>9417002556</v>
      </c>
      <c r="G345" s="26" t="s">
        <v>1985</v>
      </c>
      <c r="H345" s="2" t="s">
        <v>1142</v>
      </c>
      <c r="I345" s="2"/>
      <c r="J345" s="16" t="s">
        <v>8</v>
      </c>
      <c r="K345" s="16"/>
      <c r="L345" s="2" t="s">
        <v>8</v>
      </c>
      <c r="M345" s="16">
        <v>7.73</v>
      </c>
      <c r="N345" s="16" t="s">
        <v>1667</v>
      </c>
      <c r="O345" s="2">
        <v>7.18</v>
      </c>
      <c r="P345" s="2" t="s">
        <v>2281</v>
      </c>
      <c r="Q345" s="16"/>
      <c r="R345" s="17"/>
      <c r="S345">
        <f t="shared" si="5"/>
        <v>7.4550000000000001</v>
      </c>
    </row>
    <row r="346" spans="1:19" x14ac:dyDescent="0.3">
      <c r="A346" s="5">
        <v>345</v>
      </c>
      <c r="B346" s="2">
        <v>1323345</v>
      </c>
      <c r="C346" s="2" t="s">
        <v>346</v>
      </c>
      <c r="D346" s="18" t="s">
        <v>686</v>
      </c>
      <c r="E346" s="2" t="s">
        <v>1331</v>
      </c>
      <c r="F346" s="26"/>
      <c r="G346" s="26"/>
      <c r="H346" s="2"/>
      <c r="I346" s="2"/>
      <c r="J346" s="16"/>
      <c r="K346" s="16"/>
      <c r="L346" s="2" t="s">
        <v>8</v>
      </c>
      <c r="M346" s="16">
        <v>5.89</v>
      </c>
      <c r="N346" s="16">
        <v>7.18</v>
      </c>
      <c r="O346" s="2"/>
      <c r="P346" s="2"/>
      <c r="Q346" s="16"/>
      <c r="R346" s="17"/>
      <c r="S346">
        <f t="shared" si="5"/>
        <v>6.5350000000000001</v>
      </c>
    </row>
    <row r="347" spans="1:19" x14ac:dyDescent="0.3">
      <c r="A347" s="5">
        <v>346</v>
      </c>
      <c r="B347" s="2">
        <v>1323346</v>
      </c>
      <c r="C347" s="2" t="s">
        <v>347</v>
      </c>
      <c r="D347" s="18" t="s">
        <v>854</v>
      </c>
      <c r="E347" s="2" t="s">
        <v>1332</v>
      </c>
      <c r="F347" s="26">
        <v>9693838724</v>
      </c>
      <c r="G347" s="26" t="s">
        <v>1986</v>
      </c>
      <c r="H347" s="2" t="s">
        <v>1142</v>
      </c>
      <c r="I347" s="2"/>
      <c r="J347" s="16" t="s">
        <v>1145</v>
      </c>
      <c r="K347" s="16"/>
      <c r="L347" s="2" t="s">
        <v>8</v>
      </c>
      <c r="M347" s="16">
        <v>6.82</v>
      </c>
      <c r="N347" s="16"/>
      <c r="O347" s="2">
        <v>7.27</v>
      </c>
      <c r="P347" s="2">
        <v>7.05</v>
      </c>
      <c r="Q347" s="16"/>
      <c r="R347" s="17"/>
      <c r="S347">
        <f t="shared" si="5"/>
        <v>7.0466666666666669</v>
      </c>
    </row>
    <row r="348" spans="1:19" x14ac:dyDescent="0.3">
      <c r="A348" s="5">
        <v>347</v>
      </c>
      <c r="B348" s="2">
        <v>1323347</v>
      </c>
      <c r="C348" s="2" t="s">
        <v>348</v>
      </c>
      <c r="D348" s="18" t="s">
        <v>625</v>
      </c>
      <c r="E348" s="2" t="s">
        <v>1333</v>
      </c>
      <c r="F348" s="26"/>
      <c r="G348" s="26"/>
      <c r="H348" s="2"/>
      <c r="I348" s="2"/>
      <c r="J348" s="16"/>
      <c r="K348" s="16"/>
      <c r="L348" s="2"/>
      <c r="M348" s="16" t="s">
        <v>1643</v>
      </c>
      <c r="N348" s="16"/>
      <c r="O348" s="2"/>
      <c r="P348" s="2"/>
      <c r="Q348" s="16"/>
      <c r="R348" s="17"/>
      <c r="S348" t="e">
        <f t="shared" si="5"/>
        <v>#DIV/0!</v>
      </c>
    </row>
    <row r="349" spans="1:19" x14ac:dyDescent="0.3">
      <c r="A349" s="5">
        <v>348</v>
      </c>
      <c r="B349" s="2">
        <v>1323348</v>
      </c>
      <c r="C349" s="2" t="s">
        <v>349</v>
      </c>
      <c r="D349" s="15" t="s">
        <v>1555</v>
      </c>
      <c r="E349" s="2" t="s">
        <v>1334</v>
      </c>
      <c r="F349" s="26"/>
      <c r="G349" s="26"/>
      <c r="H349" s="2"/>
      <c r="I349" s="2"/>
      <c r="J349" s="16"/>
      <c r="K349" s="16"/>
      <c r="L349" s="2" t="s">
        <v>8</v>
      </c>
      <c r="M349" s="16" t="s">
        <v>958</v>
      </c>
      <c r="N349" s="16"/>
      <c r="O349" s="2"/>
      <c r="P349" s="2"/>
      <c r="Q349" s="16"/>
      <c r="R349" s="17"/>
      <c r="S349" t="e">
        <f t="shared" si="5"/>
        <v>#DIV/0!</v>
      </c>
    </row>
    <row r="350" spans="1:19" x14ac:dyDescent="0.3">
      <c r="A350" s="5">
        <v>349</v>
      </c>
      <c r="B350" s="2">
        <v>1323349</v>
      </c>
      <c r="C350" s="2" t="s">
        <v>350</v>
      </c>
      <c r="D350" s="15" t="s">
        <v>768</v>
      </c>
      <c r="E350" s="2" t="s">
        <v>1335</v>
      </c>
      <c r="F350" s="26">
        <v>8816901625</v>
      </c>
      <c r="G350" s="26" t="s">
        <v>1987</v>
      </c>
      <c r="H350" s="2" t="s">
        <v>1142</v>
      </c>
      <c r="I350" s="2"/>
      <c r="J350" s="16" t="s">
        <v>1146</v>
      </c>
      <c r="K350" s="16"/>
      <c r="L350" s="2" t="s">
        <v>8</v>
      </c>
      <c r="M350" s="16">
        <v>8.09</v>
      </c>
      <c r="N350" s="16">
        <v>8.4499999999999993</v>
      </c>
      <c r="O350" s="2">
        <v>7.82</v>
      </c>
      <c r="P350" s="2">
        <v>7.68</v>
      </c>
      <c r="Q350" s="16"/>
      <c r="R350" s="17"/>
      <c r="S350">
        <f t="shared" si="5"/>
        <v>8.01</v>
      </c>
    </row>
    <row r="351" spans="1:19" x14ac:dyDescent="0.3">
      <c r="A351" s="5">
        <v>350</v>
      </c>
      <c r="B351" s="2">
        <v>1323350</v>
      </c>
      <c r="C351" s="2" t="s">
        <v>351</v>
      </c>
      <c r="D351" s="15" t="s">
        <v>769</v>
      </c>
      <c r="E351" s="2" t="s">
        <v>1336</v>
      </c>
      <c r="F351" s="26">
        <v>9588526134</v>
      </c>
      <c r="G351" s="26" t="s">
        <v>1988</v>
      </c>
      <c r="H351" s="2" t="s">
        <v>1142</v>
      </c>
      <c r="I351" s="2"/>
      <c r="J351" s="16" t="s">
        <v>1146</v>
      </c>
      <c r="K351" s="16"/>
      <c r="L351" s="2" t="s">
        <v>8</v>
      </c>
      <c r="M351" s="16">
        <v>6.77</v>
      </c>
      <c r="N351" s="16">
        <v>6.45</v>
      </c>
      <c r="O351" s="2">
        <v>5.98</v>
      </c>
      <c r="P351" s="2">
        <v>5.89</v>
      </c>
      <c r="Q351" s="16"/>
      <c r="R351" s="17"/>
      <c r="S351">
        <f t="shared" si="5"/>
        <v>6.2725</v>
      </c>
    </row>
    <row r="352" spans="1:19" x14ac:dyDescent="0.3">
      <c r="A352" s="5">
        <v>351</v>
      </c>
      <c r="B352" s="2">
        <v>1323351</v>
      </c>
      <c r="C352" s="2" t="s">
        <v>352</v>
      </c>
      <c r="D352" s="15" t="s">
        <v>770</v>
      </c>
      <c r="E352" s="2" t="s">
        <v>1337</v>
      </c>
      <c r="F352" s="26">
        <v>9467155845</v>
      </c>
      <c r="G352" s="26" t="s">
        <v>1989</v>
      </c>
      <c r="H352" s="2" t="s">
        <v>1142</v>
      </c>
      <c r="I352" s="2"/>
      <c r="J352" s="16" t="s">
        <v>8</v>
      </c>
      <c r="K352" s="16"/>
      <c r="L352" s="2" t="s">
        <v>8</v>
      </c>
      <c r="M352" s="16">
        <v>7.59</v>
      </c>
      <c r="N352" s="16">
        <v>7.95</v>
      </c>
      <c r="O352" s="2">
        <v>7.45</v>
      </c>
      <c r="P352" s="2">
        <v>7.3</v>
      </c>
      <c r="Q352" s="16"/>
      <c r="R352" s="17"/>
      <c r="S352">
        <f t="shared" si="5"/>
        <v>7.5724999999999998</v>
      </c>
    </row>
    <row r="353" spans="1:19" x14ac:dyDescent="0.3">
      <c r="A353" s="5">
        <v>352</v>
      </c>
      <c r="B353" s="2">
        <v>1323352</v>
      </c>
      <c r="C353" s="2" t="s">
        <v>353</v>
      </c>
      <c r="D353" s="15" t="s">
        <v>787</v>
      </c>
      <c r="E353" s="2" t="s">
        <v>1338</v>
      </c>
      <c r="F353" s="26">
        <v>7779873499</v>
      </c>
      <c r="G353" s="26" t="s">
        <v>1990</v>
      </c>
      <c r="H353" s="2" t="s">
        <v>1142</v>
      </c>
      <c r="I353" s="2"/>
      <c r="J353" s="16"/>
      <c r="K353" s="16"/>
      <c r="L353" s="2" t="s">
        <v>928</v>
      </c>
      <c r="M353" s="16">
        <v>7.18</v>
      </c>
      <c r="N353" s="16">
        <v>7.14</v>
      </c>
      <c r="O353" s="2" t="s">
        <v>2218</v>
      </c>
      <c r="P353" s="2">
        <v>6.32</v>
      </c>
      <c r="Q353" s="16"/>
      <c r="R353" s="17"/>
      <c r="S353">
        <f t="shared" si="5"/>
        <v>6.88</v>
      </c>
    </row>
    <row r="354" spans="1:19" x14ac:dyDescent="0.3">
      <c r="A354" s="5">
        <v>353</v>
      </c>
      <c r="B354" s="2">
        <v>1323353</v>
      </c>
      <c r="C354" s="2" t="s">
        <v>354</v>
      </c>
      <c r="D354" s="15" t="s">
        <v>1556</v>
      </c>
      <c r="E354" s="2" t="s">
        <v>789</v>
      </c>
      <c r="F354" s="26">
        <v>9576652026</v>
      </c>
      <c r="G354" s="26" t="s">
        <v>1991</v>
      </c>
      <c r="H354" s="2" t="s">
        <v>1142</v>
      </c>
      <c r="I354" s="2"/>
      <c r="J354" s="16" t="s">
        <v>1146</v>
      </c>
      <c r="K354" s="16"/>
      <c r="L354" s="2" t="s">
        <v>926</v>
      </c>
      <c r="M354" s="16">
        <v>7.14</v>
      </c>
      <c r="N354" s="16">
        <v>7.39</v>
      </c>
      <c r="O354" s="2" t="s">
        <v>2218</v>
      </c>
      <c r="P354" s="2">
        <v>7.64</v>
      </c>
      <c r="Q354" s="16"/>
      <c r="R354" s="17"/>
      <c r="S354">
        <f t="shared" si="5"/>
        <v>7.39</v>
      </c>
    </row>
    <row r="355" spans="1:19" x14ac:dyDescent="0.3">
      <c r="A355" s="5">
        <v>354</v>
      </c>
      <c r="B355" s="2">
        <v>1323354</v>
      </c>
      <c r="C355" s="2" t="s">
        <v>355</v>
      </c>
      <c r="D355" s="15" t="s">
        <v>1557</v>
      </c>
      <c r="E355" s="2" t="s">
        <v>1339</v>
      </c>
      <c r="F355" s="26">
        <v>8630842848</v>
      </c>
      <c r="G355" s="26" t="s">
        <v>1992</v>
      </c>
      <c r="H355" s="2" t="s">
        <v>1142</v>
      </c>
      <c r="I355" s="2"/>
      <c r="J355" s="16" t="s">
        <v>8</v>
      </c>
      <c r="K355" s="16"/>
      <c r="L355" s="2" t="s">
        <v>8</v>
      </c>
      <c r="M355" s="16" t="s">
        <v>1630</v>
      </c>
      <c r="N355" s="16" t="s">
        <v>1677</v>
      </c>
      <c r="O355" s="2" t="s">
        <v>953</v>
      </c>
      <c r="P355" s="2" t="s">
        <v>2273</v>
      </c>
      <c r="Q355" s="16"/>
      <c r="R355" s="17"/>
      <c r="S355" t="e">
        <f t="shared" si="5"/>
        <v>#DIV/0!</v>
      </c>
    </row>
    <row r="356" spans="1:19" x14ac:dyDescent="0.3">
      <c r="A356" s="5">
        <v>355</v>
      </c>
      <c r="B356" s="2">
        <v>1323355</v>
      </c>
      <c r="C356" s="2" t="s">
        <v>941</v>
      </c>
      <c r="D356" s="15"/>
      <c r="E356" s="2"/>
      <c r="F356" s="26"/>
      <c r="G356" s="26"/>
      <c r="H356" s="2"/>
      <c r="I356" s="2"/>
      <c r="J356" s="16"/>
      <c r="K356" s="16"/>
      <c r="L356" s="2"/>
      <c r="M356" s="16"/>
      <c r="N356" s="16"/>
      <c r="O356" s="2"/>
      <c r="P356" s="2"/>
      <c r="Q356" s="16"/>
      <c r="R356" s="17"/>
      <c r="S356" t="e">
        <f t="shared" si="5"/>
        <v>#DIV/0!</v>
      </c>
    </row>
    <row r="357" spans="1:19" x14ac:dyDescent="0.3">
      <c r="A357" s="5">
        <v>356</v>
      </c>
      <c r="B357" s="2">
        <v>1323356</v>
      </c>
      <c r="C357" s="2" t="s">
        <v>356</v>
      </c>
      <c r="D357" s="15" t="s">
        <v>641</v>
      </c>
      <c r="E357" s="2" t="s">
        <v>1205</v>
      </c>
      <c r="F357" s="26"/>
      <c r="G357" s="26"/>
      <c r="H357" s="2"/>
      <c r="I357" s="2"/>
      <c r="J357" s="16"/>
      <c r="K357" s="16"/>
      <c r="L357" s="2" t="s">
        <v>8</v>
      </c>
      <c r="M357" s="16" t="s">
        <v>1644</v>
      </c>
      <c r="N357" s="16" t="s">
        <v>1663</v>
      </c>
      <c r="O357" s="2"/>
      <c r="P357" s="2"/>
      <c r="Q357" s="16"/>
      <c r="R357" s="17"/>
      <c r="S357" t="e">
        <f t="shared" si="5"/>
        <v>#DIV/0!</v>
      </c>
    </row>
    <row r="358" spans="1:19" x14ac:dyDescent="0.3">
      <c r="A358" s="5">
        <v>357</v>
      </c>
      <c r="B358" s="2">
        <v>1323357</v>
      </c>
      <c r="C358" s="2" t="s">
        <v>357</v>
      </c>
      <c r="D358" s="15" t="s">
        <v>656</v>
      </c>
      <c r="E358" s="2" t="s">
        <v>668</v>
      </c>
      <c r="F358" s="26">
        <v>9468161265</v>
      </c>
      <c r="G358" s="26" t="s">
        <v>1993</v>
      </c>
      <c r="H358" s="2" t="s">
        <v>1142</v>
      </c>
      <c r="I358" s="2"/>
      <c r="J358" s="16" t="s">
        <v>1146</v>
      </c>
      <c r="K358" s="16"/>
      <c r="L358" s="2" t="s">
        <v>8</v>
      </c>
      <c r="M358" s="16">
        <v>6.18</v>
      </c>
      <c r="N358" s="16">
        <v>6.7</v>
      </c>
      <c r="O358" s="2" t="s">
        <v>2214</v>
      </c>
      <c r="P358" s="2">
        <v>6.73</v>
      </c>
      <c r="Q358" s="16"/>
      <c r="R358" s="17"/>
      <c r="S358">
        <f t="shared" si="5"/>
        <v>6.5366666666666662</v>
      </c>
    </row>
    <row r="359" spans="1:19" x14ac:dyDescent="0.3">
      <c r="A359" s="5">
        <v>358</v>
      </c>
      <c r="B359" s="2">
        <v>1323358</v>
      </c>
      <c r="C359" s="2" t="s">
        <v>358</v>
      </c>
      <c r="D359" s="15"/>
      <c r="E359" s="2"/>
      <c r="F359" s="26"/>
      <c r="G359" s="26"/>
      <c r="H359" s="2"/>
      <c r="I359" s="2"/>
      <c r="J359" s="16"/>
      <c r="K359" s="16"/>
      <c r="L359" s="2"/>
      <c r="M359" s="16"/>
      <c r="N359" s="16"/>
      <c r="O359" s="2"/>
      <c r="P359" s="2"/>
      <c r="Q359" s="16"/>
      <c r="R359" s="17"/>
      <c r="S359" t="e">
        <f t="shared" si="5"/>
        <v>#DIV/0!</v>
      </c>
    </row>
    <row r="360" spans="1:19" x14ac:dyDescent="0.3">
      <c r="A360" s="5">
        <v>359</v>
      </c>
      <c r="B360" s="2">
        <v>1323359</v>
      </c>
      <c r="C360" s="2" t="s">
        <v>359</v>
      </c>
      <c r="D360" s="15" t="s">
        <v>771</v>
      </c>
      <c r="E360" s="2" t="s">
        <v>964</v>
      </c>
      <c r="F360" s="26">
        <v>9027907210</v>
      </c>
      <c r="G360" s="26" t="s">
        <v>1994</v>
      </c>
      <c r="H360" s="2" t="s">
        <v>1142</v>
      </c>
      <c r="I360" s="2"/>
      <c r="J360" s="16" t="s">
        <v>8</v>
      </c>
      <c r="K360" s="16"/>
      <c r="L360" s="2" t="s">
        <v>8</v>
      </c>
      <c r="M360" s="16" t="s">
        <v>958</v>
      </c>
      <c r="N360" s="16">
        <v>6.05</v>
      </c>
      <c r="O360" s="2" t="s">
        <v>2218</v>
      </c>
      <c r="P360" s="2" t="s">
        <v>2283</v>
      </c>
      <c r="Q360" s="16"/>
      <c r="R360" s="17"/>
      <c r="S360">
        <f t="shared" si="5"/>
        <v>6.05</v>
      </c>
    </row>
    <row r="361" spans="1:19" x14ac:dyDescent="0.3">
      <c r="A361" s="5">
        <v>360</v>
      </c>
      <c r="B361" s="2">
        <v>1323360</v>
      </c>
      <c r="C361" s="2" t="s">
        <v>360</v>
      </c>
      <c r="D361" s="15" t="s">
        <v>1558</v>
      </c>
      <c r="E361" s="2" t="s">
        <v>1303</v>
      </c>
      <c r="F361" s="26">
        <v>7419120154</v>
      </c>
      <c r="G361" s="26" t="s">
        <v>1995</v>
      </c>
      <c r="H361" s="2" t="s">
        <v>1142</v>
      </c>
      <c r="I361" s="2"/>
      <c r="J361" s="16" t="s">
        <v>8</v>
      </c>
      <c r="K361" s="16"/>
      <c r="L361" s="2" t="s">
        <v>8</v>
      </c>
      <c r="M361" s="16">
        <v>7.68</v>
      </c>
      <c r="N361" s="16">
        <v>8.5500000000000007</v>
      </c>
      <c r="O361" s="2">
        <v>8.0500000000000007</v>
      </c>
      <c r="P361" s="2">
        <v>8.59</v>
      </c>
      <c r="Q361" s="16"/>
      <c r="R361" s="17"/>
      <c r="S361">
        <f t="shared" si="5"/>
        <v>8.2175000000000011</v>
      </c>
    </row>
    <row r="362" spans="1:19" x14ac:dyDescent="0.3">
      <c r="A362" s="5">
        <v>361</v>
      </c>
      <c r="B362" s="2">
        <v>1323361</v>
      </c>
      <c r="C362" s="2" t="s">
        <v>602</v>
      </c>
      <c r="D362" s="15" t="s">
        <v>1559</v>
      </c>
      <c r="E362" s="2" t="s">
        <v>1340</v>
      </c>
      <c r="F362" s="26">
        <v>8252541771</v>
      </c>
      <c r="G362" s="26" t="s">
        <v>1996</v>
      </c>
      <c r="H362" s="2" t="s">
        <v>1142</v>
      </c>
      <c r="I362" s="2"/>
      <c r="J362" s="16" t="s">
        <v>1145</v>
      </c>
      <c r="K362" s="16"/>
      <c r="L362" s="2" t="s">
        <v>928</v>
      </c>
      <c r="M362" s="16" t="s">
        <v>1616</v>
      </c>
      <c r="N362" s="16">
        <v>7.45</v>
      </c>
      <c r="O362" s="2" t="s">
        <v>2235</v>
      </c>
      <c r="P362" s="2">
        <v>7.84</v>
      </c>
      <c r="Q362" s="16"/>
      <c r="R362" s="17"/>
      <c r="S362">
        <f t="shared" si="5"/>
        <v>7.6449999999999996</v>
      </c>
    </row>
    <row r="363" spans="1:19" x14ac:dyDescent="0.3">
      <c r="A363" s="5">
        <v>362</v>
      </c>
      <c r="B363" s="2">
        <v>1323362</v>
      </c>
      <c r="C363" s="2" t="s">
        <v>361</v>
      </c>
      <c r="D363" s="15" t="s">
        <v>654</v>
      </c>
      <c r="E363" s="2" t="s">
        <v>1208</v>
      </c>
      <c r="F363" s="26">
        <v>9350211679</v>
      </c>
      <c r="G363" s="26" t="s">
        <v>1997</v>
      </c>
      <c r="H363" s="2" t="s">
        <v>1142</v>
      </c>
      <c r="I363" s="2"/>
      <c r="J363" s="16" t="s">
        <v>1146</v>
      </c>
      <c r="K363" s="16"/>
      <c r="L363" s="2" t="s">
        <v>926</v>
      </c>
      <c r="M363" s="16">
        <v>7.57</v>
      </c>
      <c r="N363" s="16">
        <v>7.77</v>
      </c>
      <c r="O363" s="2" t="s">
        <v>2236</v>
      </c>
      <c r="P363" s="2" t="s">
        <v>2284</v>
      </c>
      <c r="Q363" s="16"/>
      <c r="R363" s="17"/>
      <c r="S363">
        <f t="shared" si="5"/>
        <v>7.67</v>
      </c>
    </row>
    <row r="364" spans="1:19" x14ac:dyDescent="0.3">
      <c r="A364" s="5">
        <v>363</v>
      </c>
      <c r="B364" s="2">
        <v>1323363</v>
      </c>
      <c r="C364" s="2" t="s">
        <v>362</v>
      </c>
      <c r="D364" s="15" t="s">
        <v>1560</v>
      </c>
      <c r="E364" s="2" t="s">
        <v>1341</v>
      </c>
      <c r="F364" s="26">
        <v>7258071560</v>
      </c>
      <c r="G364" s="26" t="s">
        <v>1998</v>
      </c>
      <c r="H364" s="2" t="s">
        <v>1142</v>
      </c>
      <c r="I364" s="2"/>
      <c r="J364" s="16" t="s">
        <v>1146</v>
      </c>
      <c r="K364" s="16"/>
      <c r="L364" s="2" t="s">
        <v>8</v>
      </c>
      <c r="M364" s="16">
        <v>7.77</v>
      </c>
      <c r="N364" s="16">
        <v>7.86</v>
      </c>
      <c r="O364" s="2">
        <v>8</v>
      </c>
      <c r="P364" s="2">
        <v>7.2</v>
      </c>
      <c r="Q364" s="16"/>
      <c r="R364" s="17"/>
      <c r="S364">
        <f t="shared" si="5"/>
        <v>7.7074999999999996</v>
      </c>
    </row>
    <row r="365" spans="1:19" x14ac:dyDescent="0.3">
      <c r="A365" s="5">
        <v>364</v>
      </c>
      <c r="B365" s="2">
        <v>1323364</v>
      </c>
      <c r="C365" s="2" t="s">
        <v>363</v>
      </c>
      <c r="D365" s="15" t="s">
        <v>772</v>
      </c>
      <c r="E365" s="2" t="s">
        <v>1342</v>
      </c>
      <c r="F365" s="26">
        <v>9034658803</v>
      </c>
      <c r="G365" s="26" t="s">
        <v>1999</v>
      </c>
      <c r="H365" s="2" t="s">
        <v>1142</v>
      </c>
      <c r="I365" s="2"/>
      <c r="J365" s="16" t="s">
        <v>1145</v>
      </c>
      <c r="K365" s="16"/>
      <c r="L365" s="2" t="s">
        <v>8</v>
      </c>
      <c r="M365" s="16">
        <v>7.95</v>
      </c>
      <c r="N365" s="16">
        <v>8.32</v>
      </c>
      <c r="O365" s="2">
        <v>8.27</v>
      </c>
      <c r="P365" s="2">
        <v>8.09</v>
      </c>
      <c r="Q365" s="16"/>
      <c r="R365" s="17"/>
      <c r="S365">
        <f t="shared" si="5"/>
        <v>8.1574999999999989</v>
      </c>
    </row>
    <row r="366" spans="1:19" x14ac:dyDescent="0.3">
      <c r="A366" s="5">
        <v>365</v>
      </c>
      <c r="B366" s="2">
        <v>1323365</v>
      </c>
      <c r="C366" s="2" t="s">
        <v>364</v>
      </c>
      <c r="D366" s="15" t="s">
        <v>1561</v>
      </c>
      <c r="E366" s="2" t="s">
        <v>1201</v>
      </c>
      <c r="F366" s="26">
        <v>8570833982</v>
      </c>
      <c r="G366" s="26" t="s">
        <v>2000</v>
      </c>
      <c r="H366" s="2" t="s">
        <v>1142</v>
      </c>
      <c r="I366" s="2"/>
      <c r="J366" s="16" t="s">
        <v>1146</v>
      </c>
      <c r="K366" s="16"/>
      <c r="L366" s="2" t="s">
        <v>8</v>
      </c>
      <c r="M366" s="16">
        <v>7.73</v>
      </c>
      <c r="N366" s="16">
        <v>8</v>
      </c>
      <c r="O366" s="2">
        <v>7.8</v>
      </c>
      <c r="P366" s="2">
        <v>6.45</v>
      </c>
      <c r="Q366" s="16"/>
      <c r="R366" s="17"/>
      <c r="S366">
        <f t="shared" si="5"/>
        <v>7.4950000000000001</v>
      </c>
    </row>
    <row r="367" spans="1:19" x14ac:dyDescent="0.3">
      <c r="A367" s="5">
        <v>366</v>
      </c>
      <c r="B367" s="2">
        <v>1323366</v>
      </c>
      <c r="C367" s="2" t="s">
        <v>365</v>
      </c>
      <c r="D367" s="15" t="s">
        <v>773</v>
      </c>
      <c r="E367" s="2" t="s">
        <v>1177</v>
      </c>
      <c r="F367" s="26">
        <v>9050452413</v>
      </c>
      <c r="G367" s="26" t="s">
        <v>2001</v>
      </c>
      <c r="H367" s="2" t="s">
        <v>1142</v>
      </c>
      <c r="I367" s="2"/>
      <c r="J367" s="16" t="s">
        <v>8</v>
      </c>
      <c r="K367" s="16"/>
      <c r="L367" s="2" t="s">
        <v>8</v>
      </c>
      <c r="M367" s="16">
        <v>6.2</v>
      </c>
      <c r="N367" s="16" t="s">
        <v>1687</v>
      </c>
      <c r="O367" s="2" t="s">
        <v>2237</v>
      </c>
      <c r="P367" s="2" t="s">
        <v>953</v>
      </c>
      <c r="Q367" s="16"/>
      <c r="R367" s="17"/>
      <c r="S367">
        <f t="shared" si="5"/>
        <v>6.2</v>
      </c>
    </row>
    <row r="368" spans="1:19" x14ac:dyDescent="0.3">
      <c r="A368" s="5">
        <v>367</v>
      </c>
      <c r="B368" s="2">
        <v>1323367</v>
      </c>
      <c r="C368" s="2" t="s">
        <v>366</v>
      </c>
      <c r="D368" s="15" t="s">
        <v>774</v>
      </c>
      <c r="E368" s="2" t="s">
        <v>1343</v>
      </c>
      <c r="F368" s="26">
        <v>7056988808</v>
      </c>
      <c r="G368" s="26" t="s">
        <v>2002</v>
      </c>
      <c r="H368" s="2" t="s">
        <v>1142</v>
      </c>
      <c r="I368" s="2"/>
      <c r="J368" s="16" t="s">
        <v>1146</v>
      </c>
      <c r="K368" s="16"/>
      <c r="L368" s="2" t="s">
        <v>8</v>
      </c>
      <c r="M368" s="16">
        <v>8.64</v>
      </c>
      <c r="N368" s="16">
        <v>8.82</v>
      </c>
      <c r="O368" s="2">
        <v>8.27</v>
      </c>
      <c r="P368" s="2">
        <v>8.4499999999999993</v>
      </c>
      <c r="Q368" s="16"/>
      <c r="R368" s="17"/>
      <c r="S368">
        <f t="shared" si="5"/>
        <v>8.5449999999999999</v>
      </c>
    </row>
    <row r="369" spans="1:19" x14ac:dyDescent="0.3">
      <c r="A369" s="5">
        <v>368</v>
      </c>
      <c r="B369" s="2">
        <v>1323368</v>
      </c>
      <c r="C369" s="2" t="s">
        <v>367</v>
      </c>
      <c r="D369" s="15" t="s">
        <v>1562</v>
      </c>
      <c r="E369" s="2" t="s">
        <v>1344</v>
      </c>
      <c r="F369" s="26">
        <v>9991379464</v>
      </c>
      <c r="G369" s="26" t="s">
        <v>2003</v>
      </c>
      <c r="H369" s="2" t="s">
        <v>1142</v>
      </c>
      <c r="I369" s="2"/>
      <c r="J369" s="16" t="s">
        <v>8</v>
      </c>
      <c r="K369" s="16"/>
      <c r="L369" s="2" t="s">
        <v>8</v>
      </c>
      <c r="M369" s="16">
        <v>5.95</v>
      </c>
      <c r="N369" s="16" t="s">
        <v>1677</v>
      </c>
      <c r="O369" s="2" t="s">
        <v>953</v>
      </c>
      <c r="P369" s="2" t="s">
        <v>2285</v>
      </c>
      <c r="Q369" s="16"/>
      <c r="R369" s="17"/>
      <c r="S369">
        <f t="shared" si="5"/>
        <v>5.95</v>
      </c>
    </row>
    <row r="370" spans="1:19" x14ac:dyDescent="0.3">
      <c r="A370" s="5">
        <v>369</v>
      </c>
      <c r="B370" s="2">
        <v>1323369</v>
      </c>
      <c r="C370" s="2" t="s">
        <v>368</v>
      </c>
      <c r="D370" s="15" t="s">
        <v>775</v>
      </c>
      <c r="E370" s="2" t="s">
        <v>1345</v>
      </c>
      <c r="F370" s="26">
        <v>7061822044</v>
      </c>
      <c r="G370" s="26" t="s">
        <v>2004</v>
      </c>
      <c r="H370" s="2" t="s">
        <v>1142</v>
      </c>
      <c r="I370" s="2"/>
      <c r="J370" s="16" t="s">
        <v>1145</v>
      </c>
      <c r="K370" s="16"/>
      <c r="L370" s="2" t="s">
        <v>928</v>
      </c>
      <c r="M370" s="16">
        <v>7</v>
      </c>
      <c r="N370" s="16">
        <v>6.77</v>
      </c>
      <c r="O370" s="2" t="s">
        <v>2221</v>
      </c>
      <c r="P370" s="2" t="s">
        <v>2250</v>
      </c>
      <c r="Q370" s="16"/>
      <c r="R370" s="17"/>
      <c r="S370">
        <f t="shared" si="5"/>
        <v>6.8849999999999998</v>
      </c>
    </row>
    <row r="371" spans="1:19" x14ac:dyDescent="0.3">
      <c r="A371" s="5">
        <v>370</v>
      </c>
      <c r="B371" s="2">
        <v>1323370</v>
      </c>
      <c r="C371" s="2" t="s">
        <v>369</v>
      </c>
      <c r="D371" s="15" t="s">
        <v>776</v>
      </c>
      <c r="E371" s="2" t="s">
        <v>1346</v>
      </c>
      <c r="F371" s="26">
        <v>9931554481</v>
      </c>
      <c r="G371" s="26" t="s">
        <v>2005</v>
      </c>
      <c r="H371" s="2" t="s">
        <v>1142</v>
      </c>
      <c r="I371" s="2"/>
      <c r="J371" s="16" t="s">
        <v>8</v>
      </c>
      <c r="K371" s="16"/>
      <c r="L371" s="2" t="s">
        <v>928</v>
      </c>
      <c r="M371" s="16">
        <v>6.5</v>
      </c>
      <c r="N371" s="16">
        <v>6.09</v>
      </c>
      <c r="O371" s="2">
        <v>6.05</v>
      </c>
      <c r="P371" s="2" t="s">
        <v>2250</v>
      </c>
      <c r="Q371" s="16"/>
      <c r="R371" s="17"/>
      <c r="S371">
        <f t="shared" si="5"/>
        <v>6.2133333333333338</v>
      </c>
    </row>
    <row r="372" spans="1:19" x14ac:dyDescent="0.3">
      <c r="A372" s="5">
        <v>371</v>
      </c>
      <c r="B372" s="2">
        <v>1323371</v>
      </c>
      <c r="C372" s="2" t="s">
        <v>370</v>
      </c>
      <c r="D372" s="15" t="s">
        <v>777</v>
      </c>
      <c r="E372" s="2" t="s">
        <v>1347</v>
      </c>
      <c r="F372" s="26">
        <v>7070015806</v>
      </c>
      <c r="G372" s="26" t="s">
        <v>2006</v>
      </c>
      <c r="H372" s="2" t="s">
        <v>1142</v>
      </c>
      <c r="I372" s="2"/>
      <c r="J372" s="16" t="s">
        <v>1146</v>
      </c>
      <c r="K372" s="16"/>
      <c r="L372" s="2" t="s">
        <v>8</v>
      </c>
      <c r="M372" s="16" t="s">
        <v>1630</v>
      </c>
      <c r="N372" s="16" t="s">
        <v>1664</v>
      </c>
      <c r="O372" s="2">
        <v>5.59</v>
      </c>
      <c r="P372" s="2" t="s">
        <v>2272</v>
      </c>
      <c r="Q372" s="16"/>
      <c r="R372" s="17"/>
      <c r="S372">
        <f t="shared" si="5"/>
        <v>5.59</v>
      </c>
    </row>
    <row r="373" spans="1:19" x14ac:dyDescent="0.3">
      <c r="A373" s="5">
        <v>372</v>
      </c>
      <c r="B373" s="2">
        <v>1323372</v>
      </c>
      <c r="C373" s="2" t="s">
        <v>371</v>
      </c>
      <c r="D373" s="15"/>
      <c r="E373" s="2"/>
      <c r="F373" s="26"/>
      <c r="G373" s="26"/>
      <c r="H373" s="2"/>
      <c r="I373" s="2"/>
      <c r="J373" s="16"/>
      <c r="K373" s="16"/>
      <c r="L373" s="2"/>
      <c r="M373" s="16"/>
      <c r="N373" s="16"/>
      <c r="O373" s="2"/>
      <c r="P373" s="2"/>
      <c r="Q373" s="16"/>
      <c r="R373" s="17"/>
      <c r="S373" t="e">
        <f t="shared" si="5"/>
        <v>#DIV/0!</v>
      </c>
    </row>
    <row r="374" spans="1:19" x14ac:dyDescent="0.3">
      <c r="A374" s="5">
        <v>373</v>
      </c>
      <c r="B374" s="2">
        <v>1323373</v>
      </c>
      <c r="C374" s="2" t="s">
        <v>372</v>
      </c>
      <c r="D374" s="15" t="s">
        <v>778</v>
      </c>
      <c r="E374" s="2" t="s">
        <v>1348</v>
      </c>
      <c r="F374" s="26">
        <v>9128785464</v>
      </c>
      <c r="G374" s="26" t="s">
        <v>2007</v>
      </c>
      <c r="H374" s="2" t="s">
        <v>1142</v>
      </c>
      <c r="I374" s="2"/>
      <c r="J374" s="16" t="s">
        <v>8</v>
      </c>
      <c r="K374" s="16"/>
      <c r="L374" s="2" t="s">
        <v>8</v>
      </c>
      <c r="M374" s="16">
        <v>6</v>
      </c>
      <c r="N374" s="16" t="s">
        <v>1676</v>
      </c>
      <c r="O374" s="2" t="s">
        <v>2238</v>
      </c>
      <c r="P374" s="2">
        <v>5.59</v>
      </c>
      <c r="Q374" s="16"/>
      <c r="R374" s="17"/>
      <c r="S374">
        <f t="shared" si="5"/>
        <v>5.7949999999999999</v>
      </c>
    </row>
    <row r="375" spans="1:19" x14ac:dyDescent="0.3">
      <c r="A375" s="5">
        <v>374</v>
      </c>
      <c r="B375" s="2">
        <v>1323374</v>
      </c>
      <c r="C375" s="2" t="s">
        <v>373</v>
      </c>
      <c r="D375" s="15" t="s">
        <v>1563</v>
      </c>
      <c r="E375" s="2" t="s">
        <v>1349</v>
      </c>
      <c r="F375" s="26">
        <v>9518403256</v>
      </c>
      <c r="G375" s="26" t="s">
        <v>2008</v>
      </c>
      <c r="H375" s="2" t="s">
        <v>1142</v>
      </c>
      <c r="I375" s="2"/>
      <c r="J375" s="16" t="s">
        <v>8</v>
      </c>
      <c r="K375" s="16"/>
      <c r="L375" s="2" t="s">
        <v>8</v>
      </c>
      <c r="M375" s="16">
        <v>6.75</v>
      </c>
      <c r="N375" s="16" t="s">
        <v>1676</v>
      </c>
      <c r="O375" s="2">
        <v>7.5</v>
      </c>
      <c r="P375" s="2">
        <v>6.34</v>
      </c>
      <c r="Q375" s="16"/>
      <c r="R375" s="17"/>
      <c r="S375">
        <f t="shared" si="5"/>
        <v>6.8633333333333333</v>
      </c>
    </row>
    <row r="376" spans="1:19" x14ac:dyDescent="0.3">
      <c r="A376" s="5">
        <v>375</v>
      </c>
      <c r="B376" s="2">
        <v>1323375</v>
      </c>
      <c r="C376" s="2" t="s">
        <v>374</v>
      </c>
      <c r="D376" s="15" t="s">
        <v>779</v>
      </c>
      <c r="E376" s="2" t="s">
        <v>1350</v>
      </c>
      <c r="F376" s="26">
        <v>8950828718</v>
      </c>
      <c r="G376" s="26" t="s">
        <v>2009</v>
      </c>
      <c r="H376" s="2" t="s">
        <v>1142</v>
      </c>
      <c r="I376" s="2"/>
      <c r="J376" s="16" t="s">
        <v>1146</v>
      </c>
      <c r="K376" s="16"/>
      <c r="L376" s="2" t="s">
        <v>8</v>
      </c>
      <c r="M376" s="16">
        <v>8.32</v>
      </c>
      <c r="N376" s="16" t="s">
        <v>1662</v>
      </c>
      <c r="O376" s="2">
        <v>8.18</v>
      </c>
      <c r="P376" s="2">
        <v>8.52</v>
      </c>
      <c r="Q376" s="16"/>
      <c r="R376" s="17"/>
      <c r="S376">
        <f t="shared" si="5"/>
        <v>8.34</v>
      </c>
    </row>
    <row r="377" spans="1:19" x14ac:dyDescent="0.3">
      <c r="A377" s="5">
        <v>376</v>
      </c>
      <c r="B377" s="2">
        <v>1323376</v>
      </c>
      <c r="C377" s="2" t="s">
        <v>941</v>
      </c>
      <c r="D377" s="15" t="s">
        <v>1564</v>
      </c>
      <c r="E377" s="2" t="s">
        <v>1351</v>
      </c>
      <c r="F377" s="26"/>
      <c r="G377" s="26"/>
      <c r="H377" s="2"/>
      <c r="I377" s="2"/>
      <c r="J377" s="16"/>
      <c r="K377" s="16"/>
      <c r="L377" s="2" t="s">
        <v>8</v>
      </c>
      <c r="M377" s="16" t="s">
        <v>1633</v>
      </c>
      <c r="N377" s="16" t="s">
        <v>1689</v>
      </c>
      <c r="O377" s="2"/>
      <c r="P377" s="2"/>
      <c r="Q377" s="16"/>
      <c r="R377" s="17"/>
      <c r="S377" t="e">
        <f t="shared" si="5"/>
        <v>#DIV/0!</v>
      </c>
    </row>
    <row r="378" spans="1:19" x14ac:dyDescent="0.3">
      <c r="A378" s="5">
        <v>377</v>
      </c>
      <c r="B378" s="2">
        <v>1323377</v>
      </c>
      <c r="C378" s="2" t="s">
        <v>375</v>
      </c>
      <c r="D378" s="15" t="s">
        <v>780</v>
      </c>
      <c r="E378" s="2" t="s">
        <v>916</v>
      </c>
      <c r="F378" s="26">
        <v>7827476472</v>
      </c>
      <c r="G378" s="26" t="s">
        <v>2010</v>
      </c>
      <c r="H378" s="2" t="s">
        <v>1142</v>
      </c>
      <c r="I378" s="2"/>
      <c r="J378" s="16" t="s">
        <v>1146</v>
      </c>
      <c r="K378" s="16"/>
      <c r="L378" s="2" t="s">
        <v>926</v>
      </c>
      <c r="M378" s="16" t="s">
        <v>1632</v>
      </c>
      <c r="N378" s="16">
        <v>8.41</v>
      </c>
      <c r="O378" s="2">
        <v>8.68</v>
      </c>
      <c r="P378" s="2">
        <v>9</v>
      </c>
      <c r="Q378" s="16"/>
      <c r="R378" s="17"/>
      <c r="S378">
        <f t="shared" si="5"/>
        <v>8.6966666666666672</v>
      </c>
    </row>
    <row r="379" spans="1:19" x14ac:dyDescent="0.3">
      <c r="A379" s="5">
        <v>378</v>
      </c>
      <c r="B379" s="2">
        <v>1323378</v>
      </c>
      <c r="C379" s="2" t="s">
        <v>376</v>
      </c>
      <c r="D379" s="15" t="s">
        <v>641</v>
      </c>
      <c r="E379" s="2" t="s">
        <v>1352</v>
      </c>
      <c r="F379" s="26">
        <v>7056570021</v>
      </c>
      <c r="G379" s="26" t="s">
        <v>2011</v>
      </c>
      <c r="H379" s="2" t="s">
        <v>1142</v>
      </c>
      <c r="I379" s="2"/>
      <c r="J379" s="16" t="s">
        <v>1146</v>
      </c>
      <c r="K379" s="16"/>
      <c r="L379" s="2" t="s">
        <v>8</v>
      </c>
      <c r="M379" s="16">
        <v>6.43</v>
      </c>
      <c r="N379" s="16">
        <v>6.23</v>
      </c>
      <c r="O379" s="2" t="s">
        <v>2208</v>
      </c>
      <c r="P379" s="2" t="s">
        <v>2250</v>
      </c>
      <c r="Q379" s="16"/>
      <c r="R379" s="17"/>
      <c r="S379">
        <f t="shared" si="5"/>
        <v>6.33</v>
      </c>
    </row>
    <row r="380" spans="1:19" x14ac:dyDescent="0.3">
      <c r="A380" s="5">
        <v>379</v>
      </c>
      <c r="B380" s="2">
        <v>1323379</v>
      </c>
      <c r="C380" s="2" t="s">
        <v>377</v>
      </c>
      <c r="D380" s="18" t="s">
        <v>781</v>
      </c>
      <c r="E380" s="2" t="s">
        <v>1353</v>
      </c>
      <c r="F380" s="26">
        <v>9546016107</v>
      </c>
      <c r="G380" s="26" t="s">
        <v>2012</v>
      </c>
      <c r="H380" s="2" t="s">
        <v>1142</v>
      </c>
      <c r="I380" s="2"/>
      <c r="J380" s="16" t="s">
        <v>1146</v>
      </c>
      <c r="K380" s="16"/>
      <c r="L380" s="2" t="s">
        <v>8</v>
      </c>
      <c r="M380" s="16">
        <v>7.27</v>
      </c>
      <c r="N380" s="16">
        <v>7.34</v>
      </c>
      <c r="O380" s="2">
        <v>7.27</v>
      </c>
      <c r="P380" s="2">
        <v>7.14</v>
      </c>
      <c r="Q380" s="16"/>
      <c r="R380" s="17"/>
      <c r="S380">
        <f t="shared" si="5"/>
        <v>7.2549999999999999</v>
      </c>
    </row>
    <row r="381" spans="1:19" x14ac:dyDescent="0.3">
      <c r="A381" s="5">
        <v>380</v>
      </c>
      <c r="B381" s="2">
        <v>1323380</v>
      </c>
      <c r="C381" s="2" t="s">
        <v>378</v>
      </c>
      <c r="D381" s="18" t="s">
        <v>1356</v>
      </c>
      <c r="E381" s="2" t="s">
        <v>1354</v>
      </c>
      <c r="F381" s="26">
        <v>9817251606</v>
      </c>
      <c r="G381" s="26" t="s">
        <v>2013</v>
      </c>
      <c r="H381" s="2" t="s">
        <v>1142</v>
      </c>
      <c r="I381" s="2"/>
      <c r="J381" s="16" t="s">
        <v>8</v>
      </c>
      <c r="K381" s="16"/>
      <c r="L381" s="2" t="s">
        <v>8</v>
      </c>
      <c r="M381" s="16" t="s">
        <v>1616</v>
      </c>
      <c r="N381" s="16" t="s">
        <v>1676</v>
      </c>
      <c r="O381" s="2" t="s">
        <v>2239</v>
      </c>
      <c r="P381" s="2">
        <v>5.86</v>
      </c>
      <c r="Q381" s="16"/>
      <c r="R381" s="17"/>
      <c r="S381">
        <f t="shared" si="5"/>
        <v>5.86</v>
      </c>
    </row>
    <row r="382" spans="1:19" x14ac:dyDescent="0.3">
      <c r="A382" s="5">
        <v>381</v>
      </c>
      <c r="B382" s="2">
        <v>1323381</v>
      </c>
      <c r="C382" s="2" t="s">
        <v>379</v>
      </c>
      <c r="D382" s="18" t="s">
        <v>782</v>
      </c>
      <c r="E382" s="2" t="s">
        <v>1355</v>
      </c>
      <c r="F382" s="26">
        <v>7404487267</v>
      </c>
      <c r="G382" s="26" t="s">
        <v>2014</v>
      </c>
      <c r="H382" s="2" t="s">
        <v>1142</v>
      </c>
      <c r="I382" s="2"/>
      <c r="J382" s="16" t="s">
        <v>8</v>
      </c>
      <c r="K382" s="16"/>
      <c r="L382" s="2" t="s">
        <v>926</v>
      </c>
      <c r="M382" s="16">
        <v>6.3</v>
      </c>
      <c r="N382" s="16" t="s">
        <v>1676</v>
      </c>
      <c r="O382" s="2" t="s">
        <v>953</v>
      </c>
      <c r="P382" s="2" t="s">
        <v>954</v>
      </c>
      <c r="Q382" s="16"/>
      <c r="R382" s="17"/>
      <c r="S382">
        <f t="shared" si="5"/>
        <v>6.3</v>
      </c>
    </row>
    <row r="383" spans="1:19" x14ac:dyDescent="0.3">
      <c r="A383" s="5">
        <v>382</v>
      </c>
      <c r="B383" s="2">
        <v>1323382</v>
      </c>
      <c r="C383" s="2" t="s">
        <v>380</v>
      </c>
      <c r="D383" s="18" t="s">
        <v>774</v>
      </c>
      <c r="E383" s="2" t="s">
        <v>1356</v>
      </c>
      <c r="F383" s="26">
        <v>9992245885</v>
      </c>
      <c r="G383" s="26" t="s">
        <v>2015</v>
      </c>
      <c r="H383" s="2" t="s">
        <v>1142</v>
      </c>
      <c r="I383" s="2"/>
      <c r="J383" s="16" t="s">
        <v>1146</v>
      </c>
      <c r="K383" s="16"/>
      <c r="L383" s="2" t="s">
        <v>8</v>
      </c>
      <c r="M383" s="16">
        <v>6.68</v>
      </c>
      <c r="N383" s="16" t="s">
        <v>1664</v>
      </c>
      <c r="O383" s="2" t="s">
        <v>2240</v>
      </c>
      <c r="P383" s="2">
        <v>6.82</v>
      </c>
      <c r="Q383" s="16"/>
      <c r="R383" s="17"/>
      <c r="S383">
        <f t="shared" si="5"/>
        <v>6.75</v>
      </c>
    </row>
    <row r="384" spans="1:19" x14ac:dyDescent="0.3">
      <c r="A384" s="5">
        <v>383</v>
      </c>
      <c r="B384" s="2">
        <v>1323383</v>
      </c>
      <c r="C384" s="2" t="s">
        <v>381</v>
      </c>
      <c r="D384" s="18" t="s">
        <v>783</v>
      </c>
      <c r="E384" s="2" t="s">
        <v>1357</v>
      </c>
      <c r="F384" s="26">
        <v>9851021022</v>
      </c>
      <c r="G384" s="26" t="s">
        <v>2016</v>
      </c>
      <c r="H384" s="2" t="s">
        <v>1142</v>
      </c>
      <c r="I384" s="2"/>
      <c r="J384" s="16" t="s">
        <v>8</v>
      </c>
      <c r="K384" s="16"/>
      <c r="L384" s="2" t="s">
        <v>8</v>
      </c>
      <c r="M384" s="16" t="s">
        <v>958</v>
      </c>
      <c r="N384" s="16" t="s">
        <v>1676</v>
      </c>
      <c r="O384" s="2" t="s">
        <v>953</v>
      </c>
      <c r="P384" s="2" t="s">
        <v>2250</v>
      </c>
      <c r="Q384" s="16"/>
      <c r="R384" s="17"/>
      <c r="S384" t="e">
        <f t="shared" si="5"/>
        <v>#DIV/0!</v>
      </c>
    </row>
    <row r="385" spans="1:19" x14ac:dyDescent="0.3">
      <c r="A385" s="5">
        <v>384</v>
      </c>
      <c r="B385" s="2">
        <v>1323384</v>
      </c>
      <c r="C385" s="2" t="s">
        <v>382</v>
      </c>
      <c r="D385" s="18" t="s">
        <v>1565</v>
      </c>
      <c r="E385" s="2" t="s">
        <v>1358</v>
      </c>
      <c r="F385" s="26"/>
      <c r="G385" s="26"/>
      <c r="H385" s="2"/>
      <c r="I385" s="2"/>
      <c r="J385" s="16"/>
      <c r="K385" s="16"/>
      <c r="L385" s="2"/>
      <c r="M385" s="16" t="s">
        <v>1645</v>
      </c>
      <c r="N385" s="16"/>
      <c r="O385" s="2"/>
      <c r="P385" s="2"/>
      <c r="Q385" s="16"/>
      <c r="R385" s="17"/>
      <c r="S385" t="e">
        <f t="shared" si="5"/>
        <v>#DIV/0!</v>
      </c>
    </row>
    <row r="386" spans="1:19" x14ac:dyDescent="0.3">
      <c r="A386" s="5">
        <v>385</v>
      </c>
      <c r="B386" s="2">
        <v>1323385</v>
      </c>
      <c r="C386" s="2" t="s">
        <v>383</v>
      </c>
      <c r="D386" s="18"/>
      <c r="E386" s="2"/>
      <c r="F386" s="26"/>
      <c r="G386" s="26"/>
      <c r="H386" s="2"/>
      <c r="I386" s="2"/>
      <c r="J386" s="16"/>
      <c r="K386" s="16"/>
      <c r="L386" s="2"/>
      <c r="M386" s="16"/>
      <c r="N386" s="16"/>
      <c r="O386" s="2"/>
      <c r="P386" s="2"/>
      <c r="Q386" s="16"/>
      <c r="R386" s="17"/>
      <c r="S386" t="e">
        <f t="shared" ref="S386:S449" si="6">AVERAGE(M386:P386)</f>
        <v>#DIV/0!</v>
      </c>
    </row>
    <row r="387" spans="1:19" x14ac:dyDescent="0.3">
      <c r="A387" s="5">
        <v>386</v>
      </c>
      <c r="B387" s="2">
        <v>1323386</v>
      </c>
      <c r="C387" s="2" t="s">
        <v>384</v>
      </c>
      <c r="D387" s="18" t="s">
        <v>1566</v>
      </c>
      <c r="E387" s="2" t="s">
        <v>1303</v>
      </c>
      <c r="F387" s="26"/>
      <c r="G387" s="26"/>
      <c r="H387" s="2"/>
      <c r="I387" s="2"/>
      <c r="J387" s="16"/>
      <c r="K387" s="16"/>
      <c r="L387" s="2"/>
      <c r="M387" s="16" t="s">
        <v>958</v>
      </c>
      <c r="N387" s="16" t="s">
        <v>958</v>
      </c>
      <c r="O387" s="2"/>
      <c r="P387" s="2"/>
      <c r="Q387" s="16"/>
      <c r="R387" s="17"/>
      <c r="S387" t="e">
        <f t="shared" si="6"/>
        <v>#DIV/0!</v>
      </c>
    </row>
    <row r="388" spans="1:19" x14ac:dyDescent="0.3">
      <c r="A388" s="5">
        <v>387</v>
      </c>
      <c r="B388" s="2">
        <v>1323387</v>
      </c>
      <c r="C388" s="2" t="s">
        <v>385</v>
      </c>
      <c r="D388" s="18" t="s">
        <v>784</v>
      </c>
      <c r="E388" s="2" t="s">
        <v>1359</v>
      </c>
      <c r="F388" s="26">
        <v>9518192302</v>
      </c>
      <c r="G388" s="26" t="s">
        <v>2017</v>
      </c>
      <c r="H388" s="2" t="s">
        <v>1142</v>
      </c>
      <c r="I388" s="2"/>
      <c r="J388" s="16" t="s">
        <v>1146</v>
      </c>
      <c r="K388" s="16"/>
      <c r="L388" s="2" t="s">
        <v>8</v>
      </c>
      <c r="M388" s="16">
        <v>8.41</v>
      </c>
      <c r="N388" s="16">
        <v>8.36</v>
      </c>
      <c r="O388" s="2">
        <v>8</v>
      </c>
      <c r="P388" s="2">
        <v>8.09</v>
      </c>
      <c r="Q388" s="16"/>
      <c r="R388" s="17"/>
      <c r="S388">
        <f t="shared" si="6"/>
        <v>8.2149999999999999</v>
      </c>
    </row>
    <row r="389" spans="1:19" x14ac:dyDescent="0.3">
      <c r="A389" s="5">
        <v>388</v>
      </c>
      <c r="B389" s="2">
        <v>1323388</v>
      </c>
      <c r="C389" s="2" t="s">
        <v>386</v>
      </c>
      <c r="D389" s="18" t="s">
        <v>785</v>
      </c>
      <c r="E389" s="2" t="s">
        <v>1360</v>
      </c>
      <c r="F389" s="26">
        <v>8307291608</v>
      </c>
      <c r="G389" s="26" t="s">
        <v>2018</v>
      </c>
      <c r="H389" s="2" t="s">
        <v>1142</v>
      </c>
      <c r="I389" s="2"/>
      <c r="J389" s="16" t="s">
        <v>1146</v>
      </c>
      <c r="K389" s="16"/>
      <c r="L389" s="2" t="s">
        <v>8</v>
      </c>
      <c r="M389" s="16">
        <v>8.59</v>
      </c>
      <c r="N389" s="16">
        <v>8.64</v>
      </c>
      <c r="O389" s="2">
        <v>8</v>
      </c>
      <c r="P389" s="2">
        <v>8.09</v>
      </c>
      <c r="Q389" s="16"/>
      <c r="R389" s="17"/>
      <c r="S389">
        <f t="shared" si="6"/>
        <v>8.33</v>
      </c>
    </row>
    <row r="390" spans="1:19" x14ac:dyDescent="0.3">
      <c r="A390" s="5">
        <v>389</v>
      </c>
      <c r="B390" s="2">
        <v>1323389</v>
      </c>
      <c r="C390" s="2" t="s">
        <v>387</v>
      </c>
      <c r="D390" s="18" t="s">
        <v>786</v>
      </c>
      <c r="E390" s="2" t="s">
        <v>1361</v>
      </c>
      <c r="F390" s="26">
        <v>7667276551</v>
      </c>
      <c r="G390" s="26" t="s">
        <v>2019</v>
      </c>
      <c r="H390" s="2" t="s">
        <v>1142</v>
      </c>
      <c r="I390" s="2"/>
      <c r="J390" s="16" t="s">
        <v>1146</v>
      </c>
      <c r="K390" s="16"/>
      <c r="L390" s="2" t="s">
        <v>8</v>
      </c>
      <c r="M390" s="16" t="s">
        <v>1632</v>
      </c>
      <c r="N390" s="16" t="s">
        <v>1676</v>
      </c>
      <c r="O390" s="2" t="s">
        <v>2212</v>
      </c>
      <c r="P390" s="2">
        <v>7.23</v>
      </c>
      <c r="Q390" s="16"/>
      <c r="R390" s="17"/>
      <c r="S390">
        <f t="shared" si="6"/>
        <v>7.23</v>
      </c>
    </row>
    <row r="391" spans="1:19" x14ac:dyDescent="0.3">
      <c r="A391" s="5">
        <v>390</v>
      </c>
      <c r="B391" s="2">
        <v>1323390</v>
      </c>
      <c r="C391" s="2" t="s">
        <v>388</v>
      </c>
      <c r="D391" s="18" t="s">
        <v>787</v>
      </c>
      <c r="E391" s="2" t="s">
        <v>1362</v>
      </c>
      <c r="F391" s="26"/>
      <c r="G391" s="26"/>
      <c r="H391" s="2" t="s">
        <v>1142</v>
      </c>
      <c r="I391" s="2"/>
      <c r="J391" s="16" t="s">
        <v>8</v>
      </c>
      <c r="K391" s="16"/>
      <c r="L391" s="2" t="s">
        <v>928</v>
      </c>
      <c r="M391" s="16" t="s">
        <v>1625</v>
      </c>
      <c r="N391" s="16" t="s">
        <v>1673</v>
      </c>
      <c r="O391" s="2" t="s">
        <v>954</v>
      </c>
      <c r="P391" s="2" t="s">
        <v>954</v>
      </c>
      <c r="Q391" s="16"/>
      <c r="R391" s="17"/>
      <c r="S391" t="e">
        <f t="shared" si="6"/>
        <v>#DIV/0!</v>
      </c>
    </row>
    <row r="392" spans="1:19" x14ac:dyDescent="0.3">
      <c r="A392" s="5">
        <v>391</v>
      </c>
      <c r="B392" s="2">
        <v>1323391</v>
      </c>
      <c r="C392" s="2" t="s">
        <v>389</v>
      </c>
      <c r="D392" s="18"/>
      <c r="E392" s="2"/>
      <c r="F392" s="26"/>
      <c r="G392" s="26"/>
      <c r="H392" s="2"/>
      <c r="I392" s="2"/>
      <c r="J392" s="16"/>
      <c r="K392" s="16"/>
      <c r="L392" s="2"/>
      <c r="M392" s="16"/>
      <c r="N392" s="16"/>
      <c r="O392" s="2"/>
      <c r="P392" s="2"/>
      <c r="Q392" s="16"/>
      <c r="R392" s="17"/>
      <c r="S392" t="e">
        <f t="shared" si="6"/>
        <v>#DIV/0!</v>
      </c>
    </row>
    <row r="393" spans="1:19" x14ac:dyDescent="0.3">
      <c r="A393" s="5">
        <v>392</v>
      </c>
      <c r="B393" s="2">
        <v>1323392</v>
      </c>
      <c r="C393" s="2" t="s">
        <v>390</v>
      </c>
      <c r="D393" s="18" t="s">
        <v>788</v>
      </c>
      <c r="E393" s="2" t="s">
        <v>1363</v>
      </c>
      <c r="F393" s="26">
        <v>8168528592</v>
      </c>
      <c r="G393" s="26" t="s">
        <v>2020</v>
      </c>
      <c r="H393" s="2" t="s">
        <v>1142</v>
      </c>
      <c r="I393" s="2"/>
      <c r="J393" s="16" t="s">
        <v>8</v>
      </c>
      <c r="K393" s="16"/>
      <c r="L393" s="2" t="s">
        <v>926</v>
      </c>
      <c r="M393" s="16">
        <v>6.57</v>
      </c>
      <c r="N393" s="16">
        <v>6.14</v>
      </c>
      <c r="O393" s="2" t="s">
        <v>953</v>
      </c>
      <c r="P393" s="2">
        <v>5.8</v>
      </c>
      <c r="Q393" s="16"/>
      <c r="R393" s="17"/>
      <c r="S393">
        <f t="shared" si="6"/>
        <v>6.1700000000000008</v>
      </c>
    </row>
    <row r="394" spans="1:19" x14ac:dyDescent="0.3">
      <c r="A394" s="5">
        <v>393</v>
      </c>
      <c r="B394" s="2">
        <v>1323393</v>
      </c>
      <c r="C394" s="2" t="s">
        <v>391</v>
      </c>
      <c r="D394" s="18" t="s">
        <v>789</v>
      </c>
      <c r="E394" s="2" t="s">
        <v>1364</v>
      </c>
      <c r="F394" s="26">
        <v>8873972638</v>
      </c>
      <c r="G394" s="26" t="s">
        <v>2021</v>
      </c>
      <c r="H394" s="2" t="s">
        <v>1142</v>
      </c>
      <c r="I394" s="2"/>
      <c r="J394" s="16" t="s">
        <v>1145</v>
      </c>
      <c r="K394" s="16"/>
      <c r="L394" s="2" t="s">
        <v>928</v>
      </c>
      <c r="M394" s="16">
        <v>7.91</v>
      </c>
      <c r="N394" s="16">
        <v>7.91</v>
      </c>
      <c r="O394" s="2">
        <v>7.95</v>
      </c>
      <c r="P394" s="2">
        <v>7.91</v>
      </c>
      <c r="Q394" s="16"/>
      <c r="R394" s="17"/>
      <c r="S394">
        <f t="shared" si="6"/>
        <v>7.92</v>
      </c>
    </row>
    <row r="395" spans="1:19" x14ac:dyDescent="0.3">
      <c r="A395" s="5">
        <v>394</v>
      </c>
      <c r="B395" s="2">
        <v>1323394</v>
      </c>
      <c r="C395" s="2" t="s">
        <v>392</v>
      </c>
      <c r="D395" s="18" t="s">
        <v>790</v>
      </c>
      <c r="E395" s="2" t="s">
        <v>1365</v>
      </c>
      <c r="F395" s="26">
        <v>7250410648</v>
      </c>
      <c r="G395" s="26" t="s">
        <v>2022</v>
      </c>
      <c r="H395" s="2" t="s">
        <v>1142</v>
      </c>
      <c r="I395" s="2"/>
      <c r="J395" s="16" t="s">
        <v>1146</v>
      </c>
      <c r="K395" s="16"/>
      <c r="L395" s="2" t="s">
        <v>8</v>
      </c>
      <c r="M395" s="16">
        <v>6.48</v>
      </c>
      <c r="N395" s="16">
        <v>6.66</v>
      </c>
      <c r="O395" s="2">
        <v>7.05</v>
      </c>
      <c r="P395" s="2">
        <v>5.84</v>
      </c>
      <c r="Q395" s="16"/>
      <c r="R395" s="17"/>
      <c r="S395">
        <f t="shared" si="6"/>
        <v>6.5075000000000003</v>
      </c>
    </row>
    <row r="396" spans="1:19" x14ac:dyDescent="0.3">
      <c r="A396" s="5">
        <v>395</v>
      </c>
      <c r="B396" s="2">
        <v>1323395</v>
      </c>
      <c r="C396" s="2" t="s">
        <v>393</v>
      </c>
      <c r="D396" s="15" t="s">
        <v>1567</v>
      </c>
      <c r="E396" s="2" t="s">
        <v>1366</v>
      </c>
      <c r="F396" s="26"/>
      <c r="G396" s="26"/>
      <c r="H396" s="2"/>
      <c r="I396" s="2"/>
      <c r="J396" s="16"/>
      <c r="K396" s="16"/>
      <c r="L396" s="2"/>
      <c r="M396" s="16" t="s">
        <v>1646</v>
      </c>
      <c r="N396" s="16"/>
      <c r="O396" s="2"/>
      <c r="P396" s="2"/>
      <c r="Q396" s="16"/>
      <c r="R396" s="17"/>
      <c r="S396" t="e">
        <f t="shared" si="6"/>
        <v>#DIV/0!</v>
      </c>
    </row>
    <row r="397" spans="1:19" x14ac:dyDescent="0.3">
      <c r="A397" s="5">
        <v>396</v>
      </c>
      <c r="B397" s="2">
        <v>1323396</v>
      </c>
      <c r="C397" s="2" t="s">
        <v>394</v>
      </c>
      <c r="D397" s="18"/>
      <c r="E397" s="2"/>
      <c r="F397" s="26"/>
      <c r="G397" s="26"/>
      <c r="H397" s="2"/>
      <c r="I397" s="2"/>
      <c r="J397" s="16"/>
      <c r="K397" s="16"/>
      <c r="L397" s="2"/>
      <c r="M397" s="16"/>
      <c r="N397" s="16"/>
      <c r="O397" s="2"/>
      <c r="P397" s="2"/>
      <c r="Q397" s="16"/>
      <c r="R397" s="17"/>
      <c r="S397" t="e">
        <f t="shared" si="6"/>
        <v>#DIV/0!</v>
      </c>
    </row>
    <row r="398" spans="1:19" x14ac:dyDescent="0.3">
      <c r="A398" s="5">
        <v>397</v>
      </c>
      <c r="B398" s="2">
        <v>1323397</v>
      </c>
      <c r="C398" s="2" t="s">
        <v>395</v>
      </c>
      <c r="D398" s="18"/>
      <c r="E398" s="2"/>
      <c r="F398" s="26"/>
      <c r="G398" s="26"/>
      <c r="H398" s="2"/>
      <c r="I398" s="2"/>
      <c r="J398" s="16"/>
      <c r="K398" s="16"/>
      <c r="L398" s="2"/>
      <c r="M398" s="16"/>
      <c r="N398" s="16"/>
      <c r="O398" s="2"/>
      <c r="P398" s="2"/>
      <c r="Q398" s="16"/>
      <c r="R398" s="17"/>
      <c r="S398" t="e">
        <f t="shared" si="6"/>
        <v>#DIV/0!</v>
      </c>
    </row>
    <row r="399" spans="1:19" x14ac:dyDescent="0.3">
      <c r="A399" s="5">
        <v>398</v>
      </c>
      <c r="B399" s="2">
        <v>1323398</v>
      </c>
      <c r="C399" s="2" t="s">
        <v>396</v>
      </c>
      <c r="D399" s="18" t="s">
        <v>791</v>
      </c>
      <c r="E399" s="2" t="s">
        <v>1367</v>
      </c>
      <c r="F399" s="26">
        <v>7070953846</v>
      </c>
      <c r="G399" s="26" t="s">
        <v>2023</v>
      </c>
      <c r="H399" s="2" t="s">
        <v>1142</v>
      </c>
      <c r="I399" s="2"/>
      <c r="J399" s="16" t="s">
        <v>1146</v>
      </c>
      <c r="K399" s="16"/>
      <c r="L399" s="2" t="s">
        <v>928</v>
      </c>
      <c r="M399" s="16" t="s">
        <v>1637</v>
      </c>
      <c r="N399" s="16">
        <v>6.27</v>
      </c>
      <c r="O399" s="2">
        <v>6.95</v>
      </c>
      <c r="P399" s="2" t="s">
        <v>2286</v>
      </c>
      <c r="Q399" s="16"/>
      <c r="R399" s="17"/>
      <c r="S399">
        <f t="shared" si="6"/>
        <v>6.6099999999999994</v>
      </c>
    </row>
    <row r="400" spans="1:19" x14ac:dyDescent="0.3">
      <c r="A400" s="5">
        <v>399</v>
      </c>
      <c r="B400" s="2">
        <v>1323399</v>
      </c>
      <c r="C400" s="2" t="s">
        <v>397</v>
      </c>
      <c r="D400" s="18" t="s">
        <v>792</v>
      </c>
      <c r="E400" s="2" t="s">
        <v>1368</v>
      </c>
      <c r="F400" s="26"/>
      <c r="G400" s="26"/>
      <c r="H400" s="2"/>
      <c r="I400" s="2"/>
      <c r="J400" s="16"/>
      <c r="K400" s="16"/>
      <c r="L400" s="2" t="s">
        <v>928</v>
      </c>
      <c r="M400" s="16" t="s">
        <v>1637</v>
      </c>
      <c r="N400" s="16" t="s">
        <v>1663</v>
      </c>
      <c r="O400" s="2"/>
      <c r="P400" s="2"/>
      <c r="Q400" s="16"/>
      <c r="R400" s="17"/>
      <c r="S400" t="e">
        <f t="shared" si="6"/>
        <v>#DIV/0!</v>
      </c>
    </row>
    <row r="401" spans="1:19" x14ac:dyDescent="0.3">
      <c r="A401" s="5">
        <v>400</v>
      </c>
      <c r="B401" s="2">
        <v>1323400</v>
      </c>
      <c r="C401" s="2" t="s">
        <v>398</v>
      </c>
      <c r="D401" s="18" t="s">
        <v>793</v>
      </c>
      <c r="E401" s="2" t="s">
        <v>1369</v>
      </c>
      <c r="F401" s="26">
        <v>9113196203</v>
      </c>
      <c r="G401" s="26" t="s">
        <v>2024</v>
      </c>
      <c r="H401" s="2" t="s">
        <v>1143</v>
      </c>
      <c r="I401" s="2"/>
      <c r="J401" s="16" t="s">
        <v>1146</v>
      </c>
      <c r="K401" s="16"/>
      <c r="L401" s="2" t="s">
        <v>8</v>
      </c>
      <c r="M401" s="16">
        <v>7.77</v>
      </c>
      <c r="N401" s="16">
        <v>8.18</v>
      </c>
      <c r="O401" s="2">
        <v>8.18</v>
      </c>
      <c r="P401" s="2">
        <v>7.84</v>
      </c>
      <c r="Q401" s="16"/>
      <c r="R401" s="17"/>
      <c r="S401">
        <f t="shared" si="6"/>
        <v>7.9924999999999997</v>
      </c>
    </row>
    <row r="402" spans="1:19" x14ac:dyDescent="0.3">
      <c r="A402" s="5">
        <v>401</v>
      </c>
      <c r="B402" s="2">
        <v>1323401</v>
      </c>
      <c r="C402" s="2" t="s">
        <v>399</v>
      </c>
      <c r="D402" s="18" t="s">
        <v>794</v>
      </c>
      <c r="E402" s="2" t="s">
        <v>1370</v>
      </c>
      <c r="F402" s="26">
        <v>9905812926</v>
      </c>
      <c r="G402" s="26" t="s">
        <v>2025</v>
      </c>
      <c r="H402" s="2" t="s">
        <v>1143</v>
      </c>
      <c r="I402" s="2"/>
      <c r="J402" s="16" t="s">
        <v>1146</v>
      </c>
      <c r="K402" s="16"/>
      <c r="L402" s="2" t="s">
        <v>8</v>
      </c>
      <c r="M402" s="16">
        <v>7.27</v>
      </c>
      <c r="N402" s="16">
        <v>8.5</v>
      </c>
      <c r="O402" s="2">
        <v>8.5</v>
      </c>
      <c r="P402" s="2">
        <v>7.57</v>
      </c>
      <c r="Q402" s="16"/>
      <c r="R402" s="17"/>
      <c r="S402">
        <f t="shared" si="6"/>
        <v>7.96</v>
      </c>
    </row>
    <row r="403" spans="1:19" x14ac:dyDescent="0.3">
      <c r="A403" s="5">
        <v>402</v>
      </c>
      <c r="B403" s="2">
        <v>1323402</v>
      </c>
      <c r="C403" s="2" t="s">
        <v>400</v>
      </c>
      <c r="D403" s="18" t="s">
        <v>795</v>
      </c>
      <c r="E403" s="2" t="s">
        <v>1371</v>
      </c>
      <c r="F403" s="26">
        <v>9523022192</v>
      </c>
      <c r="G403" s="26" t="s">
        <v>2026</v>
      </c>
      <c r="H403" s="2" t="s">
        <v>1143</v>
      </c>
      <c r="I403" s="2"/>
      <c r="J403" s="16" t="s">
        <v>8</v>
      </c>
      <c r="K403" s="16"/>
      <c r="L403" s="2" t="s">
        <v>8</v>
      </c>
      <c r="M403" s="16">
        <v>6.52</v>
      </c>
      <c r="N403" s="16" t="s">
        <v>1676</v>
      </c>
      <c r="O403" s="2" t="s">
        <v>2221</v>
      </c>
      <c r="P403" s="2" t="s">
        <v>2286</v>
      </c>
      <c r="Q403" s="16"/>
      <c r="R403" s="17"/>
      <c r="S403">
        <f t="shared" si="6"/>
        <v>6.52</v>
      </c>
    </row>
    <row r="404" spans="1:19" x14ac:dyDescent="0.3">
      <c r="A404" s="5">
        <v>403</v>
      </c>
      <c r="B404" s="2">
        <v>1323403</v>
      </c>
      <c r="C404" s="2" t="s">
        <v>401</v>
      </c>
      <c r="D404" s="18" t="s">
        <v>777</v>
      </c>
      <c r="E404" s="2" t="s">
        <v>1372</v>
      </c>
      <c r="F404" s="26">
        <v>9142496994</v>
      </c>
      <c r="G404" s="26" t="s">
        <v>2027</v>
      </c>
      <c r="H404" s="2" t="s">
        <v>1143</v>
      </c>
      <c r="I404" s="2"/>
      <c r="J404" s="16" t="s">
        <v>1145</v>
      </c>
      <c r="K404" s="16"/>
      <c r="L404" s="2" t="s">
        <v>8</v>
      </c>
      <c r="M404" s="16">
        <v>7.82</v>
      </c>
      <c r="N404" s="16">
        <v>8.5</v>
      </c>
      <c r="O404" s="2">
        <v>7.82</v>
      </c>
      <c r="P404" s="2">
        <v>8.11</v>
      </c>
      <c r="Q404" s="16"/>
      <c r="R404" s="17"/>
      <c r="S404">
        <f t="shared" si="6"/>
        <v>8.0625</v>
      </c>
    </row>
    <row r="405" spans="1:19" x14ac:dyDescent="0.3">
      <c r="A405" s="5">
        <v>404</v>
      </c>
      <c r="B405" s="2">
        <v>1323404</v>
      </c>
      <c r="C405" s="2" t="s">
        <v>402</v>
      </c>
      <c r="D405" s="18" t="s">
        <v>796</v>
      </c>
      <c r="E405" s="2" t="s">
        <v>1373</v>
      </c>
      <c r="F405" s="26">
        <v>8298610546</v>
      </c>
      <c r="G405" s="26" t="s">
        <v>2028</v>
      </c>
      <c r="H405" s="2" t="s">
        <v>1143</v>
      </c>
      <c r="I405" s="2"/>
      <c r="J405" s="16" t="s">
        <v>8</v>
      </c>
      <c r="K405" s="16"/>
      <c r="L405" s="2" t="s">
        <v>8</v>
      </c>
      <c r="M405" s="16">
        <v>6.64</v>
      </c>
      <c r="N405" s="16" t="s">
        <v>1690</v>
      </c>
      <c r="O405" s="2">
        <v>6.55</v>
      </c>
      <c r="P405" s="2" t="s">
        <v>2250</v>
      </c>
      <c r="Q405" s="16"/>
      <c r="R405" s="17"/>
      <c r="S405">
        <f t="shared" si="6"/>
        <v>6.5949999999999998</v>
      </c>
    </row>
    <row r="406" spans="1:19" x14ac:dyDescent="0.3">
      <c r="A406" s="5">
        <v>405</v>
      </c>
      <c r="B406" s="2">
        <v>1323405</v>
      </c>
      <c r="C406" s="2" t="s">
        <v>403</v>
      </c>
      <c r="D406" s="18" t="s">
        <v>792</v>
      </c>
      <c r="E406" s="2" t="s">
        <v>1374</v>
      </c>
      <c r="F406" s="26">
        <v>7646024031</v>
      </c>
      <c r="G406" s="26" t="s">
        <v>2029</v>
      </c>
      <c r="H406" s="2" t="s">
        <v>1143</v>
      </c>
      <c r="I406" s="2"/>
      <c r="J406" s="16" t="s">
        <v>1146</v>
      </c>
      <c r="K406" s="16"/>
      <c r="L406" s="2" t="s">
        <v>8</v>
      </c>
      <c r="M406" s="16">
        <v>7.09</v>
      </c>
      <c r="N406" s="16">
        <v>7.91</v>
      </c>
      <c r="O406" s="2">
        <v>8.14</v>
      </c>
      <c r="P406" s="2">
        <v>6.93</v>
      </c>
      <c r="Q406" s="16"/>
      <c r="R406" s="17"/>
      <c r="S406">
        <f t="shared" si="6"/>
        <v>7.5175000000000001</v>
      </c>
    </row>
    <row r="407" spans="1:19" x14ac:dyDescent="0.3">
      <c r="A407" s="5">
        <v>406</v>
      </c>
      <c r="B407" s="2">
        <v>1323406</v>
      </c>
      <c r="C407" s="2" t="s">
        <v>404</v>
      </c>
      <c r="D407" s="18" t="s">
        <v>797</v>
      </c>
      <c r="E407" s="2" t="s">
        <v>1375</v>
      </c>
      <c r="F407" s="26">
        <v>8210529790</v>
      </c>
      <c r="G407" s="26" t="s">
        <v>2030</v>
      </c>
      <c r="H407" s="2" t="s">
        <v>1143</v>
      </c>
      <c r="I407" s="2"/>
      <c r="J407" s="16" t="s">
        <v>8</v>
      </c>
      <c r="K407" s="16"/>
      <c r="L407" s="2" t="s">
        <v>8</v>
      </c>
      <c r="M407" s="16">
        <v>7.82</v>
      </c>
      <c r="N407" s="16">
        <v>8.59</v>
      </c>
      <c r="O407" s="2">
        <v>8.41</v>
      </c>
      <c r="P407" s="2">
        <v>8.5500000000000007</v>
      </c>
      <c r="Q407" s="16"/>
      <c r="R407" s="17"/>
      <c r="S407">
        <f t="shared" si="6"/>
        <v>8.3425000000000011</v>
      </c>
    </row>
    <row r="408" spans="1:19" x14ac:dyDescent="0.3">
      <c r="A408" s="5">
        <v>407</v>
      </c>
      <c r="B408" s="2">
        <v>1323407</v>
      </c>
      <c r="C408" s="2" t="s">
        <v>405</v>
      </c>
      <c r="D408" s="18" t="s">
        <v>798</v>
      </c>
      <c r="E408" s="2" t="s">
        <v>1376</v>
      </c>
      <c r="F408" s="26">
        <v>9728879312</v>
      </c>
      <c r="G408" s="26" t="s">
        <v>2031</v>
      </c>
      <c r="H408" s="2" t="s">
        <v>1143</v>
      </c>
      <c r="I408" s="2"/>
      <c r="J408" s="16" t="s">
        <v>1145</v>
      </c>
      <c r="K408" s="16"/>
      <c r="L408" s="2" t="s">
        <v>8</v>
      </c>
      <c r="M408" s="16">
        <v>7.36</v>
      </c>
      <c r="N408" s="16">
        <v>7.91</v>
      </c>
      <c r="O408" s="2">
        <v>8.5500000000000007</v>
      </c>
      <c r="P408" s="2">
        <v>7.34</v>
      </c>
      <c r="Q408" s="16"/>
      <c r="R408" s="17"/>
      <c r="S408">
        <f t="shared" si="6"/>
        <v>7.79</v>
      </c>
    </row>
    <row r="409" spans="1:19" x14ac:dyDescent="0.3">
      <c r="A409" s="5">
        <v>408</v>
      </c>
      <c r="B409" s="2">
        <v>1323408</v>
      </c>
      <c r="C409" s="2" t="s">
        <v>406</v>
      </c>
      <c r="D409" s="18" t="s">
        <v>799</v>
      </c>
      <c r="E409" s="2" t="s">
        <v>1377</v>
      </c>
      <c r="F409" s="26">
        <v>9696232482</v>
      </c>
      <c r="G409" s="26" t="s">
        <v>2032</v>
      </c>
      <c r="H409" s="2" t="s">
        <v>1143</v>
      </c>
      <c r="I409" s="2"/>
      <c r="J409" s="16" t="s">
        <v>1146</v>
      </c>
      <c r="K409" s="16"/>
      <c r="L409" s="2" t="s">
        <v>8</v>
      </c>
      <c r="M409" s="16" t="s">
        <v>1626</v>
      </c>
      <c r="N409" s="16">
        <v>7.27</v>
      </c>
      <c r="O409" s="2">
        <v>7.86</v>
      </c>
      <c r="P409" s="2">
        <v>7.09</v>
      </c>
      <c r="Q409" s="16"/>
      <c r="R409" s="17"/>
      <c r="S409">
        <f t="shared" si="6"/>
        <v>7.4066666666666663</v>
      </c>
    </row>
    <row r="410" spans="1:19" x14ac:dyDescent="0.3">
      <c r="A410" s="5">
        <v>409</v>
      </c>
      <c r="B410" s="2">
        <v>1323409</v>
      </c>
      <c r="C410" s="2" t="s">
        <v>407</v>
      </c>
      <c r="D410" s="18" t="s">
        <v>800</v>
      </c>
      <c r="E410" s="2" t="s">
        <v>1378</v>
      </c>
      <c r="F410" s="26">
        <v>7360847928</v>
      </c>
      <c r="G410" s="26" t="s">
        <v>2033</v>
      </c>
      <c r="H410" s="2" t="s">
        <v>1143</v>
      </c>
      <c r="I410" s="2"/>
      <c r="J410" s="16" t="s">
        <v>1146</v>
      </c>
      <c r="K410" s="16"/>
      <c r="L410" s="2" t="s">
        <v>8</v>
      </c>
      <c r="M410" s="16">
        <v>9.14</v>
      </c>
      <c r="N410" s="16">
        <v>8.86</v>
      </c>
      <c r="O410" s="2">
        <v>8.91</v>
      </c>
      <c r="P410" s="2">
        <v>8.82</v>
      </c>
      <c r="Q410" s="16"/>
      <c r="R410" s="17"/>
      <c r="S410">
        <f t="shared" si="6"/>
        <v>8.932500000000001</v>
      </c>
    </row>
    <row r="411" spans="1:19" x14ac:dyDescent="0.3">
      <c r="A411" s="5">
        <v>410</v>
      </c>
      <c r="B411" s="2">
        <v>1323410</v>
      </c>
      <c r="C411" s="2" t="s">
        <v>408</v>
      </c>
      <c r="D411" s="18" t="s">
        <v>801</v>
      </c>
      <c r="E411" s="2" t="s">
        <v>1379</v>
      </c>
      <c r="F411" s="26">
        <v>6206663017</v>
      </c>
      <c r="G411" s="26" t="s">
        <v>2034</v>
      </c>
      <c r="H411" s="2" t="s">
        <v>1143</v>
      </c>
      <c r="I411" s="2"/>
      <c r="J411" s="16" t="s">
        <v>1146</v>
      </c>
      <c r="K411" s="16"/>
      <c r="L411" s="2" t="s">
        <v>8</v>
      </c>
      <c r="M411" s="16">
        <v>7.36</v>
      </c>
      <c r="N411" s="16">
        <v>7.68</v>
      </c>
      <c r="O411" s="2">
        <v>8.36</v>
      </c>
      <c r="P411" s="2">
        <v>7.05</v>
      </c>
      <c r="Q411" s="16"/>
      <c r="R411" s="17"/>
      <c r="S411">
        <f t="shared" si="6"/>
        <v>7.6124999999999998</v>
      </c>
    </row>
    <row r="412" spans="1:19" x14ac:dyDescent="0.3">
      <c r="A412" s="5">
        <v>411</v>
      </c>
      <c r="B412" s="2">
        <v>1323411</v>
      </c>
      <c r="C412" s="2" t="s">
        <v>409</v>
      </c>
      <c r="D412" s="18" t="s">
        <v>802</v>
      </c>
      <c r="E412" s="2" t="s">
        <v>1380</v>
      </c>
      <c r="F412" s="26">
        <v>9045689595</v>
      </c>
      <c r="G412" s="26" t="s">
        <v>2035</v>
      </c>
      <c r="H412" s="2" t="s">
        <v>1142</v>
      </c>
      <c r="I412" s="2"/>
      <c r="J412" s="16" t="s">
        <v>1146</v>
      </c>
      <c r="K412" s="16"/>
      <c r="L412" s="2" t="s">
        <v>926</v>
      </c>
      <c r="M412" s="16" t="s">
        <v>1647</v>
      </c>
      <c r="N412" s="16">
        <v>8.27</v>
      </c>
      <c r="O412" s="2">
        <v>8.64</v>
      </c>
      <c r="P412" s="2">
        <v>8.32</v>
      </c>
      <c r="Q412" s="16"/>
      <c r="R412" s="17"/>
      <c r="S412">
        <f t="shared" si="6"/>
        <v>8.41</v>
      </c>
    </row>
    <row r="413" spans="1:19" x14ac:dyDescent="0.3">
      <c r="A413" s="5">
        <v>412</v>
      </c>
      <c r="B413" s="2">
        <v>1323412</v>
      </c>
      <c r="C413" s="2" t="s">
        <v>410</v>
      </c>
      <c r="D413" s="18" t="s">
        <v>803</v>
      </c>
      <c r="E413" s="2" t="s">
        <v>1381</v>
      </c>
      <c r="F413" s="26">
        <v>9779846372</v>
      </c>
      <c r="G413" s="26" t="s">
        <v>2036</v>
      </c>
      <c r="H413" s="2" t="s">
        <v>1142</v>
      </c>
      <c r="I413" s="2"/>
      <c r="J413" s="16" t="s">
        <v>1145</v>
      </c>
      <c r="K413" s="16"/>
      <c r="L413" s="2" t="s">
        <v>8</v>
      </c>
      <c r="M413" s="16" t="s">
        <v>958</v>
      </c>
      <c r="N413" s="16">
        <v>6.09</v>
      </c>
      <c r="O413" s="2">
        <v>6.86</v>
      </c>
      <c r="P413" s="2" t="s">
        <v>2249</v>
      </c>
      <c r="Q413" s="16"/>
      <c r="R413" s="17"/>
      <c r="S413">
        <f t="shared" si="6"/>
        <v>6.4749999999999996</v>
      </c>
    </row>
    <row r="414" spans="1:19" x14ac:dyDescent="0.3">
      <c r="A414" s="5">
        <v>413</v>
      </c>
      <c r="B414" s="2">
        <v>1323413</v>
      </c>
      <c r="C414" s="2" t="s">
        <v>411</v>
      </c>
      <c r="D414" s="18" t="s">
        <v>804</v>
      </c>
      <c r="E414" s="2" t="s">
        <v>1382</v>
      </c>
      <c r="F414" s="26">
        <v>9102372831</v>
      </c>
      <c r="G414" s="26" t="s">
        <v>2037</v>
      </c>
      <c r="H414" s="2" t="s">
        <v>1143</v>
      </c>
      <c r="I414" s="2"/>
      <c r="J414" s="16" t="s">
        <v>1146</v>
      </c>
      <c r="K414" s="16"/>
      <c r="L414" s="2" t="s">
        <v>8</v>
      </c>
      <c r="M414" s="16">
        <v>6.91</v>
      </c>
      <c r="N414" s="16">
        <v>7.86</v>
      </c>
      <c r="O414" s="2">
        <v>7.95</v>
      </c>
      <c r="P414" s="2">
        <v>6.89</v>
      </c>
      <c r="Q414" s="16"/>
      <c r="R414" s="17"/>
      <c r="S414">
        <f t="shared" si="6"/>
        <v>7.4024999999999999</v>
      </c>
    </row>
    <row r="415" spans="1:19" x14ac:dyDescent="0.3">
      <c r="A415" s="5">
        <v>414</v>
      </c>
      <c r="B415" s="2">
        <v>1323414</v>
      </c>
      <c r="C415" s="2" t="s">
        <v>412</v>
      </c>
      <c r="D415" s="18" t="s">
        <v>805</v>
      </c>
      <c r="E415" s="2" t="s">
        <v>1383</v>
      </c>
      <c r="F415" s="26">
        <v>9572457368</v>
      </c>
      <c r="G415" s="26" t="s">
        <v>2038</v>
      </c>
      <c r="H415" s="2" t="s">
        <v>1143</v>
      </c>
      <c r="I415" s="2"/>
      <c r="J415" s="16" t="s">
        <v>1146</v>
      </c>
      <c r="K415" s="16"/>
      <c r="L415" s="2" t="s">
        <v>8</v>
      </c>
      <c r="M415" s="16">
        <v>7.05</v>
      </c>
      <c r="N415" s="16">
        <v>7.82</v>
      </c>
      <c r="O415" s="2">
        <v>8.14</v>
      </c>
      <c r="P415" s="2">
        <v>7.77</v>
      </c>
      <c r="Q415" s="16"/>
      <c r="R415" s="17"/>
      <c r="S415">
        <f t="shared" si="6"/>
        <v>7.6950000000000003</v>
      </c>
    </row>
    <row r="416" spans="1:19" x14ac:dyDescent="0.3">
      <c r="A416" s="5">
        <v>415</v>
      </c>
      <c r="B416" s="2">
        <v>1323415</v>
      </c>
      <c r="C416" s="2" t="s">
        <v>413</v>
      </c>
      <c r="D416" s="18"/>
      <c r="E416" s="2"/>
      <c r="F416" s="26"/>
      <c r="G416" s="26"/>
      <c r="H416" s="2"/>
      <c r="I416" s="2"/>
      <c r="J416" s="16"/>
      <c r="K416" s="16"/>
      <c r="L416" s="2"/>
      <c r="M416" s="16"/>
      <c r="N416" s="16"/>
      <c r="O416" s="2"/>
      <c r="P416" s="2"/>
      <c r="Q416" s="16"/>
      <c r="R416" s="17"/>
      <c r="S416" t="e">
        <f t="shared" si="6"/>
        <v>#DIV/0!</v>
      </c>
    </row>
    <row r="417" spans="1:19" x14ac:dyDescent="0.3">
      <c r="A417" s="5">
        <v>416</v>
      </c>
      <c r="B417" s="2">
        <v>1323416</v>
      </c>
      <c r="C417" s="2" t="s">
        <v>414</v>
      </c>
      <c r="D417" s="18" t="s">
        <v>806</v>
      </c>
      <c r="E417" s="2" t="s">
        <v>1384</v>
      </c>
      <c r="F417" s="26">
        <v>8930101099</v>
      </c>
      <c r="G417" s="26" t="s">
        <v>2039</v>
      </c>
      <c r="H417" s="2" t="s">
        <v>1142</v>
      </c>
      <c r="I417" s="2"/>
      <c r="J417" s="16" t="s">
        <v>1145</v>
      </c>
      <c r="K417" s="16"/>
      <c r="L417" s="2" t="s">
        <v>8</v>
      </c>
      <c r="M417" s="16" t="s">
        <v>1648</v>
      </c>
      <c r="N417" s="16" t="s">
        <v>1664</v>
      </c>
      <c r="O417" s="2" t="s">
        <v>2241</v>
      </c>
      <c r="P417" s="2" t="s">
        <v>2287</v>
      </c>
      <c r="Q417" s="16"/>
      <c r="R417" s="17"/>
      <c r="S417" t="e">
        <f t="shared" si="6"/>
        <v>#DIV/0!</v>
      </c>
    </row>
    <row r="418" spans="1:19" x14ac:dyDescent="0.3">
      <c r="A418" s="5">
        <v>417</v>
      </c>
      <c r="B418" s="2">
        <v>1323417</v>
      </c>
      <c r="C418" s="2" t="s">
        <v>415</v>
      </c>
      <c r="D418" s="18" t="s">
        <v>1568</v>
      </c>
      <c r="E418" s="2" t="s">
        <v>1385</v>
      </c>
      <c r="F418" s="26"/>
      <c r="G418" s="26"/>
      <c r="H418" s="2"/>
      <c r="I418" s="2"/>
      <c r="J418" s="16"/>
      <c r="K418" s="16"/>
      <c r="L418" s="2"/>
      <c r="M418" s="16" t="s">
        <v>1643</v>
      </c>
      <c r="N418" s="16"/>
      <c r="O418" s="2"/>
      <c r="P418" s="2"/>
      <c r="Q418" s="16"/>
      <c r="R418" s="17"/>
      <c r="S418" t="e">
        <f t="shared" si="6"/>
        <v>#DIV/0!</v>
      </c>
    </row>
    <row r="419" spans="1:19" x14ac:dyDescent="0.3">
      <c r="A419" s="5">
        <v>418</v>
      </c>
      <c r="B419" s="2">
        <v>1323418</v>
      </c>
      <c r="C419" s="2" t="s">
        <v>416</v>
      </c>
      <c r="D419" s="18" t="s">
        <v>796</v>
      </c>
      <c r="E419" s="2" t="s">
        <v>1386</v>
      </c>
      <c r="F419" s="26">
        <v>8102681022</v>
      </c>
      <c r="G419" s="26" t="s">
        <v>2040</v>
      </c>
      <c r="H419" s="2" t="s">
        <v>1143</v>
      </c>
      <c r="I419" s="2"/>
      <c r="J419" s="16" t="s">
        <v>1145</v>
      </c>
      <c r="K419" s="16"/>
      <c r="L419" s="2" t="s">
        <v>8</v>
      </c>
      <c r="M419" s="16">
        <v>7.64</v>
      </c>
      <c r="N419" s="16">
        <v>8.82</v>
      </c>
      <c r="O419" s="2">
        <v>8.36</v>
      </c>
      <c r="P419" s="2">
        <v>7.91</v>
      </c>
      <c r="Q419" s="16"/>
      <c r="R419" s="17"/>
      <c r="S419">
        <f t="shared" si="6"/>
        <v>8.182500000000001</v>
      </c>
    </row>
    <row r="420" spans="1:19" x14ac:dyDescent="0.3">
      <c r="A420" s="5">
        <v>419</v>
      </c>
      <c r="B420" s="2">
        <v>1323419</v>
      </c>
      <c r="C420" s="2" t="s">
        <v>417</v>
      </c>
      <c r="D420" s="18" t="s">
        <v>807</v>
      </c>
      <c r="E420" s="2" t="s">
        <v>1387</v>
      </c>
      <c r="F420" s="26">
        <v>9546841963</v>
      </c>
      <c r="G420" s="26" t="s">
        <v>2041</v>
      </c>
      <c r="H420" s="2" t="s">
        <v>1143</v>
      </c>
      <c r="I420" s="2"/>
      <c r="J420" s="16" t="s">
        <v>1145</v>
      </c>
      <c r="K420" s="16"/>
      <c r="L420" s="2" t="s">
        <v>8</v>
      </c>
      <c r="M420" s="16">
        <v>6.5</v>
      </c>
      <c r="N420" s="16">
        <v>6.25</v>
      </c>
      <c r="O420" s="2">
        <v>6.66</v>
      </c>
      <c r="P420" s="2">
        <v>6.91</v>
      </c>
      <c r="Q420" s="16"/>
      <c r="R420" s="17"/>
      <c r="S420">
        <f t="shared" si="6"/>
        <v>6.58</v>
      </c>
    </row>
    <row r="421" spans="1:19" x14ac:dyDescent="0.3">
      <c r="A421" s="5">
        <v>420</v>
      </c>
      <c r="B421" s="2">
        <v>1323420</v>
      </c>
      <c r="C421" s="2" t="s">
        <v>418</v>
      </c>
      <c r="D421" s="18" t="s">
        <v>808</v>
      </c>
      <c r="E421" s="2" t="s">
        <v>1388</v>
      </c>
      <c r="F421" s="26">
        <v>7840048547</v>
      </c>
      <c r="G421" s="26" t="s">
        <v>2042</v>
      </c>
      <c r="H421" s="2" t="s">
        <v>1143</v>
      </c>
      <c r="I421" s="2"/>
      <c r="J421" s="16" t="s">
        <v>1145</v>
      </c>
      <c r="K421" s="16"/>
      <c r="L421" s="2" t="s">
        <v>8</v>
      </c>
      <c r="M421" s="16">
        <v>5.68</v>
      </c>
      <c r="N421" s="16">
        <v>6.27</v>
      </c>
      <c r="O421" s="2">
        <v>5.89</v>
      </c>
      <c r="P421" s="2" t="s">
        <v>2250</v>
      </c>
      <c r="Q421" s="16"/>
      <c r="R421" s="17"/>
      <c r="S421">
        <f t="shared" si="6"/>
        <v>5.9466666666666663</v>
      </c>
    </row>
    <row r="422" spans="1:19" x14ac:dyDescent="0.3">
      <c r="A422" s="5">
        <v>421</v>
      </c>
      <c r="B422" s="2">
        <v>1323421</v>
      </c>
      <c r="C422" s="2" t="s">
        <v>419</v>
      </c>
      <c r="D422" s="18" t="s">
        <v>809</v>
      </c>
      <c r="E422" s="2" t="s">
        <v>1389</v>
      </c>
      <c r="F422" s="26">
        <v>7488840958</v>
      </c>
      <c r="G422" s="26" t="s">
        <v>2043</v>
      </c>
      <c r="H422" s="2" t="s">
        <v>1143</v>
      </c>
      <c r="I422" s="2"/>
      <c r="J422" s="16" t="s">
        <v>1146</v>
      </c>
      <c r="K422" s="16"/>
      <c r="L422" s="2" t="s">
        <v>8</v>
      </c>
      <c r="M422" s="16">
        <v>5.93</v>
      </c>
      <c r="N422" s="16">
        <v>6.84</v>
      </c>
      <c r="O422" s="2">
        <v>6.11</v>
      </c>
      <c r="P422" s="2">
        <v>6.57</v>
      </c>
      <c r="Q422" s="16"/>
      <c r="R422" s="17"/>
      <c r="S422">
        <f t="shared" si="6"/>
        <v>6.3624999999999998</v>
      </c>
    </row>
    <row r="423" spans="1:19" x14ac:dyDescent="0.3">
      <c r="A423" s="5">
        <v>422</v>
      </c>
      <c r="B423" s="2">
        <v>1323422</v>
      </c>
      <c r="C423" s="2" t="s">
        <v>420</v>
      </c>
      <c r="D423" s="18" t="s">
        <v>810</v>
      </c>
      <c r="E423" s="2" t="s">
        <v>1390</v>
      </c>
      <c r="F423" s="26">
        <v>8207421846</v>
      </c>
      <c r="G423" s="26" t="s">
        <v>2044</v>
      </c>
      <c r="H423" s="2" t="s">
        <v>1143</v>
      </c>
      <c r="I423" s="2"/>
      <c r="J423" s="16" t="s">
        <v>1146</v>
      </c>
      <c r="K423" s="16"/>
      <c r="L423" s="2" t="s">
        <v>8</v>
      </c>
      <c r="M423" s="16">
        <v>7.45</v>
      </c>
      <c r="N423" s="16">
        <v>7.77</v>
      </c>
      <c r="O423" s="2">
        <v>8.0500000000000007</v>
      </c>
      <c r="P423" s="2">
        <v>7.59</v>
      </c>
      <c r="Q423" s="16"/>
      <c r="R423" s="17"/>
      <c r="S423">
        <f t="shared" si="6"/>
        <v>7.7149999999999999</v>
      </c>
    </row>
    <row r="424" spans="1:19" x14ac:dyDescent="0.3">
      <c r="A424" s="5">
        <v>423</v>
      </c>
      <c r="B424" s="2">
        <v>1323423</v>
      </c>
      <c r="C424" s="2" t="s">
        <v>421</v>
      </c>
      <c r="D424" s="18" t="s">
        <v>811</v>
      </c>
      <c r="E424" s="2" t="s">
        <v>1391</v>
      </c>
      <c r="F424" s="26">
        <v>8797818704</v>
      </c>
      <c r="G424" s="26" t="s">
        <v>2045</v>
      </c>
      <c r="H424" s="2" t="s">
        <v>1143</v>
      </c>
      <c r="I424" s="2"/>
      <c r="J424" s="16" t="s">
        <v>1146</v>
      </c>
      <c r="K424" s="16"/>
      <c r="L424" s="2" t="s">
        <v>8</v>
      </c>
      <c r="M424" s="16">
        <v>6.86</v>
      </c>
      <c r="N424" s="16">
        <v>7.73</v>
      </c>
      <c r="O424" s="2">
        <v>7.32</v>
      </c>
      <c r="P424" s="2" t="s">
        <v>2250</v>
      </c>
      <c r="Q424" s="16"/>
      <c r="R424" s="17"/>
      <c r="S424">
        <f t="shared" si="6"/>
        <v>7.3033333333333337</v>
      </c>
    </row>
    <row r="425" spans="1:19" x14ac:dyDescent="0.3">
      <c r="A425" s="5">
        <v>424</v>
      </c>
      <c r="B425" s="2">
        <v>1323424</v>
      </c>
      <c r="C425" s="2" t="s">
        <v>422</v>
      </c>
      <c r="D425" s="18" t="s">
        <v>812</v>
      </c>
      <c r="E425" s="2" t="s">
        <v>1392</v>
      </c>
      <c r="F425" s="26">
        <v>7562881463</v>
      </c>
      <c r="G425" s="26" t="s">
        <v>2046</v>
      </c>
      <c r="H425" s="2" t="s">
        <v>1143</v>
      </c>
      <c r="I425" s="2"/>
      <c r="J425" s="16" t="s">
        <v>8</v>
      </c>
      <c r="K425" s="16"/>
      <c r="L425" s="2" t="s">
        <v>8</v>
      </c>
      <c r="M425" s="16">
        <v>7.32</v>
      </c>
      <c r="N425" s="16">
        <v>8.09</v>
      </c>
      <c r="O425" s="2">
        <v>7.18</v>
      </c>
      <c r="P425" s="2">
        <v>7.16</v>
      </c>
      <c r="Q425" s="16"/>
      <c r="R425" s="17"/>
      <c r="S425">
        <f t="shared" si="6"/>
        <v>7.4375</v>
      </c>
    </row>
    <row r="426" spans="1:19" x14ac:dyDescent="0.3">
      <c r="A426" s="5">
        <v>425</v>
      </c>
      <c r="B426" s="2">
        <v>1323425</v>
      </c>
      <c r="C426" s="2" t="s">
        <v>423</v>
      </c>
      <c r="D426" s="18" t="s">
        <v>813</v>
      </c>
      <c r="E426" s="2" t="s">
        <v>1393</v>
      </c>
      <c r="F426" s="26">
        <v>9031103100</v>
      </c>
      <c r="G426" s="26" t="s">
        <v>2047</v>
      </c>
      <c r="H426" s="2" t="s">
        <v>1143</v>
      </c>
      <c r="I426" s="2"/>
      <c r="J426" s="16" t="s">
        <v>1146</v>
      </c>
      <c r="K426" s="16"/>
      <c r="L426" s="2" t="s">
        <v>8</v>
      </c>
      <c r="M426" s="16">
        <v>6.73</v>
      </c>
      <c r="N426" s="16">
        <v>7.09</v>
      </c>
      <c r="O426" s="2">
        <v>6.59</v>
      </c>
      <c r="P426" s="2" t="s">
        <v>2250</v>
      </c>
      <c r="Q426" s="16"/>
      <c r="R426" s="17"/>
      <c r="S426">
        <f t="shared" si="6"/>
        <v>6.8033333333333337</v>
      </c>
    </row>
    <row r="427" spans="1:19" x14ac:dyDescent="0.3">
      <c r="A427" s="5">
        <v>426</v>
      </c>
      <c r="B427" s="2">
        <v>1323426</v>
      </c>
      <c r="C427" s="2" t="s">
        <v>424</v>
      </c>
      <c r="D427" s="18" t="s">
        <v>814</v>
      </c>
      <c r="E427" s="2" t="s">
        <v>1371</v>
      </c>
      <c r="F427" s="26">
        <v>6202738887</v>
      </c>
      <c r="G427" s="26" t="s">
        <v>2048</v>
      </c>
      <c r="H427" s="2" t="s">
        <v>1143</v>
      </c>
      <c r="I427" s="2"/>
      <c r="J427" s="16" t="s">
        <v>1146</v>
      </c>
      <c r="K427" s="16"/>
      <c r="L427" s="2" t="s">
        <v>8</v>
      </c>
      <c r="M427" s="16">
        <v>7.55</v>
      </c>
      <c r="N427" s="16">
        <v>8.77</v>
      </c>
      <c r="O427" s="2">
        <v>8.4499999999999993</v>
      </c>
      <c r="P427" s="2">
        <v>7.45</v>
      </c>
      <c r="Q427" s="16"/>
      <c r="R427" s="17"/>
      <c r="S427">
        <f t="shared" si="6"/>
        <v>8.0549999999999997</v>
      </c>
    </row>
    <row r="428" spans="1:19" x14ac:dyDescent="0.3">
      <c r="A428" s="5">
        <v>427</v>
      </c>
      <c r="B428" s="2">
        <v>1323427</v>
      </c>
      <c r="C428" s="2" t="s">
        <v>425</v>
      </c>
      <c r="D428" s="18" t="s">
        <v>815</v>
      </c>
      <c r="E428" s="2" t="s">
        <v>1394</v>
      </c>
      <c r="F428" s="26">
        <v>6209905769</v>
      </c>
      <c r="G428" s="26" t="s">
        <v>2049</v>
      </c>
      <c r="H428" s="2" t="s">
        <v>1143</v>
      </c>
      <c r="I428" s="2"/>
      <c r="J428" s="16" t="s">
        <v>1146</v>
      </c>
      <c r="K428" s="16"/>
      <c r="L428" s="2" t="s">
        <v>8</v>
      </c>
      <c r="M428" s="16">
        <v>7.91</v>
      </c>
      <c r="N428" s="16">
        <v>8.77</v>
      </c>
      <c r="O428" s="2">
        <v>8.73</v>
      </c>
      <c r="P428" s="2">
        <v>7.41</v>
      </c>
      <c r="Q428" s="16"/>
      <c r="R428" s="17"/>
      <c r="S428">
        <f t="shared" si="6"/>
        <v>8.2050000000000001</v>
      </c>
    </row>
    <row r="429" spans="1:19" x14ac:dyDescent="0.3">
      <c r="A429" s="5">
        <v>428</v>
      </c>
      <c r="B429" s="2">
        <v>1323428</v>
      </c>
      <c r="C429" s="2" t="s">
        <v>940</v>
      </c>
      <c r="D429" s="18"/>
      <c r="E429" s="2"/>
      <c r="F429" s="26"/>
      <c r="G429" s="26"/>
      <c r="H429" s="2"/>
      <c r="I429" s="2"/>
      <c r="J429" s="16"/>
      <c r="K429" s="16"/>
      <c r="L429" s="2"/>
      <c r="M429" s="16"/>
      <c r="N429" s="16"/>
      <c r="O429" s="2"/>
      <c r="P429" s="2"/>
      <c r="Q429" s="16"/>
      <c r="R429" s="17"/>
      <c r="S429" t="e">
        <f t="shared" si="6"/>
        <v>#DIV/0!</v>
      </c>
    </row>
    <row r="430" spans="1:19" x14ac:dyDescent="0.3">
      <c r="A430" s="5">
        <v>429</v>
      </c>
      <c r="B430" s="2">
        <v>1323429</v>
      </c>
      <c r="C430" s="2" t="s">
        <v>940</v>
      </c>
      <c r="D430" s="18"/>
      <c r="E430" s="2"/>
      <c r="F430" s="26"/>
      <c r="G430" s="26"/>
      <c r="H430" s="2"/>
      <c r="I430" s="2"/>
      <c r="J430" s="16"/>
      <c r="K430" s="16"/>
      <c r="L430" s="2"/>
      <c r="M430" s="16"/>
      <c r="N430" s="16"/>
      <c r="O430" s="2"/>
      <c r="P430" s="2"/>
      <c r="Q430" s="16"/>
      <c r="R430" s="17"/>
      <c r="S430" t="e">
        <f t="shared" si="6"/>
        <v>#DIV/0!</v>
      </c>
    </row>
    <row r="431" spans="1:19" x14ac:dyDescent="0.3">
      <c r="A431" s="5">
        <v>430</v>
      </c>
      <c r="B431" s="2">
        <v>1323430</v>
      </c>
      <c r="C431" s="2" t="s">
        <v>940</v>
      </c>
      <c r="D431" s="18"/>
      <c r="E431" s="2"/>
      <c r="F431" s="26"/>
      <c r="G431" s="26"/>
      <c r="H431" s="2"/>
      <c r="I431" s="2"/>
      <c r="J431" s="16"/>
      <c r="K431" s="16"/>
      <c r="L431" s="2"/>
      <c r="M431" s="16"/>
      <c r="N431" s="16"/>
      <c r="O431" s="2"/>
      <c r="P431" s="2"/>
      <c r="Q431" s="16"/>
      <c r="R431" s="17"/>
      <c r="S431" t="e">
        <f t="shared" si="6"/>
        <v>#DIV/0!</v>
      </c>
    </row>
    <row r="432" spans="1:19" x14ac:dyDescent="0.3">
      <c r="A432" s="5">
        <v>431</v>
      </c>
      <c r="B432" s="2">
        <v>1323431</v>
      </c>
      <c r="C432" s="2" t="s">
        <v>426</v>
      </c>
      <c r="D432" s="18" t="s">
        <v>816</v>
      </c>
      <c r="E432" s="2" t="s">
        <v>1395</v>
      </c>
      <c r="F432" s="26">
        <v>8789097372</v>
      </c>
      <c r="G432" s="26" t="s">
        <v>2050</v>
      </c>
      <c r="H432" s="2" t="s">
        <v>1143</v>
      </c>
      <c r="I432" s="2"/>
      <c r="J432" s="16" t="s">
        <v>1146</v>
      </c>
      <c r="K432" s="16"/>
      <c r="L432" s="2" t="s">
        <v>8</v>
      </c>
      <c r="M432" s="16">
        <v>8.4499999999999993</v>
      </c>
      <c r="N432" s="16">
        <v>8.9499999999999993</v>
      </c>
      <c r="O432" s="2">
        <v>9.14</v>
      </c>
      <c r="P432" s="2">
        <v>8</v>
      </c>
      <c r="Q432" s="16"/>
      <c r="R432" s="17"/>
      <c r="S432">
        <f t="shared" si="6"/>
        <v>8.6349999999999998</v>
      </c>
    </row>
    <row r="433" spans="1:19" x14ac:dyDescent="0.3">
      <c r="A433" s="5">
        <v>432</v>
      </c>
      <c r="B433" s="2">
        <v>1323432</v>
      </c>
      <c r="C433" s="2" t="s">
        <v>427</v>
      </c>
      <c r="D433" s="18" t="s">
        <v>817</v>
      </c>
      <c r="E433" s="2" t="s">
        <v>1396</v>
      </c>
      <c r="F433" s="26">
        <v>9135601973</v>
      </c>
      <c r="G433" s="26" t="s">
        <v>2051</v>
      </c>
      <c r="H433" s="2" t="s">
        <v>1143</v>
      </c>
      <c r="I433" s="2"/>
      <c r="J433" s="16" t="s">
        <v>1146</v>
      </c>
      <c r="K433" s="16"/>
      <c r="L433" s="2" t="s">
        <v>8</v>
      </c>
      <c r="M433" s="16" t="s">
        <v>1626</v>
      </c>
      <c r="N433" s="16">
        <v>7.32</v>
      </c>
      <c r="O433" s="2">
        <v>6.68</v>
      </c>
      <c r="P433" s="2">
        <v>6.27</v>
      </c>
      <c r="Q433" s="16"/>
      <c r="R433" s="17"/>
      <c r="S433">
        <f t="shared" si="6"/>
        <v>6.7566666666666668</v>
      </c>
    </row>
    <row r="434" spans="1:19" x14ac:dyDescent="0.3">
      <c r="A434" s="5">
        <v>433</v>
      </c>
      <c r="B434" s="2">
        <v>1323433</v>
      </c>
      <c r="C434" s="2" t="s">
        <v>428</v>
      </c>
      <c r="D434" s="18" t="s">
        <v>1569</v>
      </c>
      <c r="E434" s="2" t="s">
        <v>1397</v>
      </c>
      <c r="F434" s="26"/>
      <c r="G434" s="26"/>
      <c r="H434" s="2"/>
      <c r="I434" s="2"/>
      <c r="J434" s="16"/>
      <c r="K434" s="16"/>
      <c r="L434" s="2"/>
      <c r="M434" s="16" t="s">
        <v>958</v>
      </c>
      <c r="N434" s="16" t="s">
        <v>958</v>
      </c>
      <c r="O434" s="2"/>
      <c r="P434" s="2"/>
      <c r="Q434" s="16"/>
      <c r="R434" s="17"/>
      <c r="S434" t="e">
        <f t="shared" si="6"/>
        <v>#DIV/0!</v>
      </c>
    </row>
    <row r="435" spans="1:19" x14ac:dyDescent="0.3">
      <c r="A435" s="5">
        <v>434</v>
      </c>
      <c r="B435" s="2">
        <v>1323434</v>
      </c>
      <c r="C435" s="2" t="s">
        <v>429</v>
      </c>
      <c r="D435" s="18" t="s">
        <v>814</v>
      </c>
      <c r="E435" s="2" t="s">
        <v>1398</v>
      </c>
      <c r="F435" s="26"/>
      <c r="G435" s="26"/>
      <c r="H435" s="2" t="s">
        <v>1143</v>
      </c>
      <c r="I435" s="2"/>
      <c r="J435" s="16" t="s">
        <v>1146</v>
      </c>
      <c r="K435" s="16"/>
      <c r="L435" s="2" t="s">
        <v>8</v>
      </c>
      <c r="M435" s="16">
        <v>6.25</v>
      </c>
      <c r="N435" s="16">
        <v>6.55</v>
      </c>
      <c r="O435" s="2" t="s">
        <v>2209</v>
      </c>
      <c r="P435" s="2" t="s">
        <v>954</v>
      </c>
      <c r="Q435" s="16"/>
      <c r="R435" s="17"/>
      <c r="S435">
        <f t="shared" si="6"/>
        <v>6.4</v>
      </c>
    </row>
    <row r="436" spans="1:19" x14ac:dyDescent="0.3">
      <c r="A436" s="5">
        <v>435</v>
      </c>
      <c r="B436" s="2">
        <v>1323435</v>
      </c>
      <c r="C436" s="2" t="s">
        <v>430</v>
      </c>
      <c r="D436" s="18" t="s">
        <v>787</v>
      </c>
      <c r="E436" s="2" t="s">
        <v>1399</v>
      </c>
      <c r="F436" s="26">
        <v>9508068896</v>
      </c>
      <c r="G436" s="26" t="s">
        <v>2052</v>
      </c>
      <c r="H436" s="2" t="s">
        <v>1143</v>
      </c>
      <c r="I436" s="2"/>
      <c r="J436" s="16" t="s">
        <v>1145</v>
      </c>
      <c r="K436" s="16"/>
      <c r="L436" s="2" t="s">
        <v>8</v>
      </c>
      <c r="M436" s="16">
        <v>7.86</v>
      </c>
      <c r="N436" s="16">
        <v>8.5500000000000007</v>
      </c>
      <c r="O436" s="2">
        <v>7.82</v>
      </c>
      <c r="P436" s="2">
        <v>7.23</v>
      </c>
      <c r="Q436" s="16"/>
      <c r="R436" s="17"/>
      <c r="S436">
        <f t="shared" si="6"/>
        <v>7.8650000000000002</v>
      </c>
    </row>
    <row r="437" spans="1:19" x14ac:dyDescent="0.3">
      <c r="A437" s="5">
        <v>436</v>
      </c>
      <c r="B437" s="2">
        <v>1323436</v>
      </c>
      <c r="C437" s="2" t="s">
        <v>941</v>
      </c>
      <c r="D437" s="18"/>
      <c r="E437" s="2"/>
      <c r="F437" s="26"/>
      <c r="G437" s="26"/>
      <c r="H437" s="2"/>
      <c r="I437" s="2"/>
      <c r="J437" s="16"/>
      <c r="K437" s="16"/>
      <c r="L437" s="2"/>
      <c r="M437" s="16"/>
      <c r="N437" s="16"/>
      <c r="O437" s="2"/>
      <c r="P437" s="2"/>
      <c r="Q437" s="16"/>
      <c r="R437" s="17"/>
      <c r="S437" t="e">
        <f t="shared" si="6"/>
        <v>#DIV/0!</v>
      </c>
    </row>
    <row r="438" spans="1:19" x14ac:dyDescent="0.3">
      <c r="A438" s="5">
        <v>437</v>
      </c>
      <c r="B438" s="2">
        <v>1323437</v>
      </c>
      <c r="C438" s="2" t="s">
        <v>431</v>
      </c>
      <c r="D438" s="18" t="s">
        <v>818</v>
      </c>
      <c r="E438" s="2" t="s">
        <v>1400</v>
      </c>
      <c r="F438" s="26">
        <v>9350517435</v>
      </c>
      <c r="G438" s="26" t="s">
        <v>2053</v>
      </c>
      <c r="H438" s="2" t="s">
        <v>1142</v>
      </c>
      <c r="I438" s="2"/>
      <c r="J438" s="16" t="s">
        <v>1145</v>
      </c>
      <c r="K438" s="16"/>
      <c r="L438" s="2" t="s">
        <v>926</v>
      </c>
      <c r="M438" s="16">
        <v>7.45</v>
      </c>
      <c r="N438" s="16">
        <v>8.41</v>
      </c>
      <c r="O438" s="2" t="s">
        <v>2208</v>
      </c>
      <c r="P438" s="2">
        <v>7.48</v>
      </c>
      <c r="Q438" s="16"/>
      <c r="R438" s="17"/>
      <c r="S438">
        <f t="shared" si="6"/>
        <v>7.78</v>
      </c>
    </row>
    <row r="439" spans="1:19" x14ac:dyDescent="0.3">
      <c r="A439" s="5">
        <v>438</v>
      </c>
      <c r="B439" s="2">
        <v>1323438</v>
      </c>
      <c r="C439" s="2" t="s">
        <v>941</v>
      </c>
      <c r="D439" s="18"/>
      <c r="E439" s="2"/>
      <c r="F439" s="26"/>
      <c r="G439" s="26"/>
      <c r="H439" s="2"/>
      <c r="I439" s="2"/>
      <c r="J439" s="16"/>
      <c r="K439" s="16"/>
      <c r="L439" s="2"/>
      <c r="M439" s="16"/>
      <c r="N439" s="16"/>
      <c r="O439" s="2"/>
      <c r="P439" s="2"/>
      <c r="Q439" s="16"/>
      <c r="R439" s="17"/>
      <c r="S439" t="e">
        <f t="shared" si="6"/>
        <v>#DIV/0!</v>
      </c>
    </row>
    <row r="440" spans="1:19" x14ac:dyDescent="0.3">
      <c r="A440" s="5">
        <v>439</v>
      </c>
      <c r="B440" s="2">
        <v>1323439</v>
      </c>
      <c r="C440" s="2" t="s">
        <v>941</v>
      </c>
      <c r="D440" s="18"/>
      <c r="E440" s="2"/>
      <c r="F440" s="26"/>
      <c r="G440" s="26"/>
      <c r="H440" s="2"/>
      <c r="I440" s="2"/>
      <c r="J440" s="16"/>
      <c r="K440" s="16"/>
      <c r="L440" s="2"/>
      <c r="M440" s="16"/>
      <c r="N440" s="16"/>
      <c r="O440" s="2"/>
      <c r="P440" s="2"/>
      <c r="Q440" s="16"/>
      <c r="R440" s="17"/>
      <c r="S440" t="e">
        <f t="shared" si="6"/>
        <v>#DIV/0!</v>
      </c>
    </row>
    <row r="441" spans="1:19" x14ac:dyDescent="0.3">
      <c r="A441" s="5">
        <v>440</v>
      </c>
      <c r="B441" s="2">
        <v>1323440</v>
      </c>
      <c r="C441" s="2" t="s">
        <v>432</v>
      </c>
      <c r="D441" s="18" t="s">
        <v>819</v>
      </c>
      <c r="E441" s="2" t="s">
        <v>1401</v>
      </c>
      <c r="F441" s="26">
        <v>9729597165</v>
      </c>
      <c r="G441" s="26" t="s">
        <v>2054</v>
      </c>
      <c r="H441" s="2" t="s">
        <v>1142</v>
      </c>
      <c r="I441" s="2"/>
      <c r="J441" s="16" t="s">
        <v>1145</v>
      </c>
      <c r="K441" s="16"/>
      <c r="L441" s="2" t="s">
        <v>8</v>
      </c>
      <c r="M441" s="16" t="s">
        <v>1649</v>
      </c>
      <c r="N441" s="16" t="s">
        <v>1676</v>
      </c>
      <c r="O441" s="2">
        <v>6.5</v>
      </c>
      <c r="P441" s="2">
        <v>6.7</v>
      </c>
      <c r="Q441" s="16"/>
      <c r="R441" s="17"/>
      <c r="S441">
        <f t="shared" si="6"/>
        <v>6.6</v>
      </c>
    </row>
    <row r="442" spans="1:19" x14ac:dyDescent="0.3">
      <c r="A442" s="5">
        <v>441</v>
      </c>
      <c r="B442" s="2">
        <v>1323441</v>
      </c>
      <c r="C442" s="2" t="s">
        <v>433</v>
      </c>
      <c r="D442" s="18" t="s">
        <v>820</v>
      </c>
      <c r="E442" s="2" t="s">
        <v>1402</v>
      </c>
      <c r="F442" s="26">
        <v>9297765240</v>
      </c>
      <c r="G442" s="26" t="s">
        <v>2055</v>
      </c>
      <c r="H442" s="2" t="s">
        <v>1143</v>
      </c>
      <c r="I442" s="2"/>
      <c r="J442" s="16" t="s">
        <v>1146</v>
      </c>
      <c r="K442" s="16"/>
      <c r="L442" s="2" t="s">
        <v>8</v>
      </c>
      <c r="M442" s="16">
        <v>7.59</v>
      </c>
      <c r="N442" s="16">
        <v>9.09</v>
      </c>
      <c r="O442" s="2">
        <v>8.27</v>
      </c>
      <c r="P442" s="2">
        <v>7.7</v>
      </c>
      <c r="Q442" s="16"/>
      <c r="R442" s="17"/>
      <c r="S442">
        <f t="shared" si="6"/>
        <v>8.1624999999999996</v>
      </c>
    </row>
    <row r="443" spans="1:19" x14ac:dyDescent="0.3">
      <c r="A443" s="5">
        <v>442</v>
      </c>
      <c r="B443" s="2">
        <v>1323442</v>
      </c>
      <c r="C443" s="2" t="s">
        <v>434</v>
      </c>
      <c r="D443" s="18" t="s">
        <v>821</v>
      </c>
      <c r="E443" s="2" t="s">
        <v>1403</v>
      </c>
      <c r="F443" s="26">
        <v>8102157407</v>
      </c>
      <c r="G443" s="26" t="s">
        <v>2056</v>
      </c>
      <c r="H443" s="2" t="s">
        <v>1143</v>
      </c>
      <c r="I443" s="2"/>
      <c r="J443" s="16" t="s">
        <v>1146</v>
      </c>
      <c r="K443" s="16"/>
      <c r="L443" s="2" t="s">
        <v>8</v>
      </c>
      <c r="M443" s="16">
        <v>6.57</v>
      </c>
      <c r="N443" s="16">
        <v>8.23</v>
      </c>
      <c r="O443" s="2">
        <v>8.23</v>
      </c>
      <c r="P443" s="2" t="s">
        <v>2277</v>
      </c>
      <c r="Q443" s="16"/>
      <c r="R443" s="17"/>
      <c r="S443">
        <f t="shared" si="6"/>
        <v>7.6766666666666667</v>
      </c>
    </row>
    <row r="444" spans="1:19" x14ac:dyDescent="0.3">
      <c r="A444" s="5">
        <v>443</v>
      </c>
      <c r="B444" s="2">
        <v>1323443</v>
      </c>
      <c r="C444" s="2" t="s">
        <v>435</v>
      </c>
      <c r="D444" s="18" t="s">
        <v>822</v>
      </c>
      <c r="E444" s="2" t="s">
        <v>1404</v>
      </c>
      <c r="F444" s="26">
        <v>9153802551</v>
      </c>
      <c r="G444" s="26" t="s">
        <v>2057</v>
      </c>
      <c r="H444" s="2" t="s">
        <v>1143</v>
      </c>
      <c r="I444" s="2"/>
      <c r="J444" s="16" t="s">
        <v>1146</v>
      </c>
      <c r="K444" s="16"/>
      <c r="L444" s="2" t="s">
        <v>8</v>
      </c>
      <c r="M444" s="16">
        <v>6.95</v>
      </c>
      <c r="N444" s="16">
        <v>8.77</v>
      </c>
      <c r="O444" s="2">
        <v>8.64</v>
      </c>
      <c r="P444" s="2">
        <v>7.91</v>
      </c>
      <c r="Q444" s="16"/>
      <c r="R444" s="17"/>
      <c r="S444">
        <f t="shared" si="6"/>
        <v>8.067499999999999</v>
      </c>
    </row>
    <row r="445" spans="1:19" x14ac:dyDescent="0.3">
      <c r="A445" s="5">
        <v>444</v>
      </c>
      <c r="B445" s="2">
        <v>1323444</v>
      </c>
      <c r="C445" s="2" t="s">
        <v>436</v>
      </c>
      <c r="D445" s="19" t="s">
        <v>823</v>
      </c>
      <c r="E445" s="2" t="s">
        <v>1089</v>
      </c>
      <c r="F445" s="26">
        <v>9122788378</v>
      </c>
      <c r="G445" s="26" t="s">
        <v>2058</v>
      </c>
      <c r="H445" s="2" t="s">
        <v>1143</v>
      </c>
      <c r="I445" s="2"/>
      <c r="J445" s="16" t="s">
        <v>1145</v>
      </c>
      <c r="K445" s="16"/>
      <c r="L445" s="2" t="s">
        <v>8</v>
      </c>
      <c r="M445" s="16">
        <v>5.89</v>
      </c>
      <c r="N445" s="16">
        <v>7</v>
      </c>
      <c r="O445" s="2">
        <v>6.82</v>
      </c>
      <c r="P445" s="2">
        <v>6.36</v>
      </c>
      <c r="Q445" s="16"/>
      <c r="R445" s="17"/>
      <c r="S445">
        <f t="shared" si="6"/>
        <v>6.5175000000000001</v>
      </c>
    </row>
    <row r="446" spans="1:19" x14ac:dyDescent="0.3">
      <c r="A446" s="5">
        <v>445</v>
      </c>
      <c r="B446" s="2">
        <v>1323445</v>
      </c>
      <c r="C446" s="2" t="s">
        <v>437</v>
      </c>
      <c r="D446" s="18" t="s">
        <v>824</v>
      </c>
      <c r="E446" s="2" t="s">
        <v>1088</v>
      </c>
      <c r="F446" s="26">
        <v>9631901329</v>
      </c>
      <c r="G446" s="26" t="s">
        <v>2059</v>
      </c>
      <c r="H446" s="2" t="s">
        <v>1143</v>
      </c>
      <c r="I446" s="2"/>
      <c r="J446" s="16" t="s">
        <v>1146</v>
      </c>
      <c r="K446" s="16"/>
      <c r="L446" s="2" t="s">
        <v>8</v>
      </c>
      <c r="M446" s="16">
        <v>6.45</v>
      </c>
      <c r="N446" s="16">
        <v>8.82</v>
      </c>
      <c r="O446" s="2">
        <v>8.09</v>
      </c>
      <c r="P446" s="2">
        <v>7.39</v>
      </c>
      <c r="Q446" s="16"/>
      <c r="R446" s="17"/>
      <c r="S446">
        <f t="shared" si="6"/>
        <v>7.6875</v>
      </c>
    </row>
    <row r="447" spans="1:19" x14ac:dyDescent="0.3">
      <c r="A447" s="5">
        <v>446</v>
      </c>
      <c r="B447" s="2">
        <v>1323446</v>
      </c>
      <c r="C447" s="2" t="s">
        <v>438</v>
      </c>
      <c r="D447" s="18" t="s">
        <v>825</v>
      </c>
      <c r="E447" s="2" t="s">
        <v>1087</v>
      </c>
      <c r="F447" s="26">
        <v>8708547161</v>
      </c>
      <c r="G447" s="26" t="s">
        <v>2060</v>
      </c>
      <c r="H447" s="2" t="s">
        <v>1143</v>
      </c>
      <c r="I447" s="2"/>
      <c r="J447" s="16" t="s">
        <v>1146</v>
      </c>
      <c r="K447" s="16"/>
      <c r="L447" s="2" t="s">
        <v>8</v>
      </c>
      <c r="M447" s="16" t="s">
        <v>1632</v>
      </c>
      <c r="N447" s="16">
        <v>9.5</v>
      </c>
      <c r="O447" s="2">
        <v>9.14</v>
      </c>
      <c r="P447" s="2">
        <v>8.5500000000000007</v>
      </c>
      <c r="Q447" s="16"/>
      <c r="R447" s="17"/>
      <c r="S447">
        <f t="shared" si="6"/>
        <v>9.0633333333333344</v>
      </c>
    </row>
    <row r="448" spans="1:19" x14ac:dyDescent="0.3">
      <c r="A448" s="5">
        <v>447</v>
      </c>
      <c r="B448" s="2">
        <v>1323447</v>
      </c>
      <c r="C448" s="2" t="s">
        <v>439</v>
      </c>
      <c r="D448" s="18" t="s">
        <v>826</v>
      </c>
      <c r="E448" s="2" t="s">
        <v>1086</v>
      </c>
      <c r="F448" s="26">
        <v>9931828695</v>
      </c>
      <c r="G448" s="26" t="s">
        <v>2061</v>
      </c>
      <c r="H448" s="2" t="s">
        <v>1143</v>
      </c>
      <c r="I448" s="2"/>
      <c r="J448" s="16" t="s">
        <v>1146</v>
      </c>
      <c r="K448" s="16"/>
      <c r="L448" s="2" t="s">
        <v>8</v>
      </c>
      <c r="M448" s="16">
        <v>7.68</v>
      </c>
      <c r="N448" s="16">
        <v>9.18</v>
      </c>
      <c r="O448" s="2">
        <v>8.4499999999999993</v>
      </c>
      <c r="P448" s="2">
        <v>7.8</v>
      </c>
      <c r="Q448" s="16"/>
      <c r="R448" s="17"/>
      <c r="S448">
        <f t="shared" si="6"/>
        <v>8.2774999999999999</v>
      </c>
    </row>
    <row r="449" spans="1:19" x14ac:dyDescent="0.3">
      <c r="A449" s="5">
        <v>448</v>
      </c>
      <c r="B449" s="2">
        <v>1323448</v>
      </c>
      <c r="C449" s="2" t="s">
        <v>440</v>
      </c>
      <c r="D449" s="18" t="s">
        <v>827</v>
      </c>
      <c r="E449" s="2" t="s">
        <v>1085</v>
      </c>
      <c r="F449" s="26">
        <v>9631584849</v>
      </c>
      <c r="G449" s="26" t="s">
        <v>2062</v>
      </c>
      <c r="H449" s="2" t="s">
        <v>1143</v>
      </c>
      <c r="I449" s="2"/>
      <c r="J449" s="16" t="s">
        <v>1146</v>
      </c>
      <c r="K449" s="16"/>
      <c r="L449" s="2" t="s">
        <v>8</v>
      </c>
      <c r="M449" s="16">
        <v>8.41</v>
      </c>
      <c r="N449" s="16">
        <v>8.9499999999999993</v>
      </c>
      <c r="O449" s="2">
        <v>8.32</v>
      </c>
      <c r="P449" s="2">
        <v>8</v>
      </c>
      <c r="Q449" s="16"/>
      <c r="R449" s="17"/>
      <c r="S449">
        <f t="shared" si="6"/>
        <v>8.42</v>
      </c>
    </row>
    <row r="450" spans="1:19" x14ac:dyDescent="0.3">
      <c r="A450" s="5">
        <v>449</v>
      </c>
      <c r="B450" s="2">
        <v>1323449</v>
      </c>
      <c r="C450" s="2" t="s">
        <v>441</v>
      </c>
      <c r="D450" s="18" t="s">
        <v>828</v>
      </c>
      <c r="E450" s="2" t="s">
        <v>1084</v>
      </c>
      <c r="F450" s="26">
        <v>9709735904</v>
      </c>
      <c r="G450" s="26" t="s">
        <v>2063</v>
      </c>
      <c r="H450" s="2" t="s">
        <v>1143</v>
      </c>
      <c r="I450" s="2"/>
      <c r="J450" s="16" t="s">
        <v>1145</v>
      </c>
      <c r="K450" s="16"/>
      <c r="L450" s="2" t="s">
        <v>8</v>
      </c>
      <c r="M450" s="16">
        <v>7.05</v>
      </c>
      <c r="N450" s="16">
        <v>7.95</v>
      </c>
      <c r="O450" s="2">
        <v>7.86</v>
      </c>
      <c r="P450" s="2">
        <v>7.55</v>
      </c>
      <c r="Q450" s="16"/>
      <c r="R450" s="17"/>
      <c r="S450">
        <f t="shared" ref="S450:S513" si="7">AVERAGE(M450:P450)</f>
        <v>7.6025</v>
      </c>
    </row>
    <row r="451" spans="1:19" x14ac:dyDescent="0.3">
      <c r="A451" s="5">
        <v>450</v>
      </c>
      <c r="B451" s="2">
        <v>1323450</v>
      </c>
      <c r="C451" s="2" t="s">
        <v>442</v>
      </c>
      <c r="D451" s="18" t="s">
        <v>829</v>
      </c>
      <c r="E451" s="2" t="s">
        <v>1083</v>
      </c>
      <c r="F451" s="26">
        <v>9153200556</v>
      </c>
      <c r="G451" s="26" t="s">
        <v>2064</v>
      </c>
      <c r="H451" s="2" t="s">
        <v>1143</v>
      </c>
      <c r="I451" s="2"/>
      <c r="J451" s="16" t="s">
        <v>1146</v>
      </c>
      <c r="K451" s="16"/>
      <c r="L451" s="2" t="s">
        <v>8</v>
      </c>
      <c r="M451" s="16">
        <v>7.86</v>
      </c>
      <c r="N451" s="16">
        <v>8.5500000000000007</v>
      </c>
      <c r="O451" s="2">
        <v>8.73</v>
      </c>
      <c r="P451" s="2">
        <v>7.98</v>
      </c>
      <c r="Q451" s="16"/>
      <c r="R451" s="17"/>
      <c r="S451">
        <f t="shared" si="7"/>
        <v>8.2800000000000011</v>
      </c>
    </row>
    <row r="452" spans="1:19" x14ac:dyDescent="0.3">
      <c r="A452" s="5">
        <v>451</v>
      </c>
      <c r="B452" s="2">
        <v>1323451</v>
      </c>
      <c r="C452" s="2" t="s">
        <v>443</v>
      </c>
      <c r="D452" s="18" t="s">
        <v>830</v>
      </c>
      <c r="E452" s="2" t="s">
        <v>1082</v>
      </c>
      <c r="F452" s="26">
        <v>7070234336</v>
      </c>
      <c r="G452" s="26" t="s">
        <v>2065</v>
      </c>
      <c r="H452" s="2" t="s">
        <v>1143</v>
      </c>
      <c r="I452" s="2"/>
      <c r="J452" s="16" t="s">
        <v>1146</v>
      </c>
      <c r="K452" s="16"/>
      <c r="L452" s="2" t="s">
        <v>8</v>
      </c>
      <c r="M452" s="16" t="s">
        <v>1616</v>
      </c>
      <c r="N452" s="16">
        <v>8.09</v>
      </c>
      <c r="O452" s="2">
        <v>8.32</v>
      </c>
      <c r="P452" s="2">
        <v>7.36</v>
      </c>
      <c r="Q452" s="16"/>
      <c r="R452" s="17"/>
      <c r="S452">
        <f t="shared" si="7"/>
        <v>7.9233333333333329</v>
      </c>
    </row>
    <row r="453" spans="1:19" x14ac:dyDescent="0.3">
      <c r="A453" s="5">
        <v>452</v>
      </c>
      <c r="B453" s="2">
        <v>1323452</v>
      </c>
      <c r="C453" s="2" t="s">
        <v>444</v>
      </c>
      <c r="D453" s="18" t="s">
        <v>831</v>
      </c>
      <c r="E453" s="2" t="s">
        <v>1405</v>
      </c>
      <c r="F453" s="26"/>
      <c r="G453" s="26"/>
      <c r="H453" s="2"/>
      <c r="I453" s="2"/>
      <c r="J453" s="16"/>
      <c r="K453" s="16"/>
      <c r="L453" s="2" t="s">
        <v>8</v>
      </c>
      <c r="M453" s="16" t="s">
        <v>1643</v>
      </c>
      <c r="N453" s="16"/>
      <c r="O453" s="2"/>
      <c r="P453" s="2"/>
      <c r="Q453" s="16"/>
      <c r="R453" s="17"/>
      <c r="S453" t="e">
        <f t="shared" si="7"/>
        <v>#DIV/0!</v>
      </c>
    </row>
    <row r="454" spans="1:19" x14ac:dyDescent="0.3">
      <c r="A454" s="5">
        <v>453</v>
      </c>
      <c r="B454" s="2">
        <v>1323453</v>
      </c>
      <c r="C454" s="2" t="s">
        <v>445</v>
      </c>
      <c r="D454" s="18" t="s">
        <v>832</v>
      </c>
      <c r="E454" s="2" t="s">
        <v>891</v>
      </c>
      <c r="F454" s="26"/>
      <c r="G454" s="26"/>
      <c r="H454" s="2"/>
      <c r="I454" s="2"/>
      <c r="J454" s="16"/>
      <c r="K454" s="16"/>
      <c r="L454" s="2" t="s">
        <v>8</v>
      </c>
      <c r="M454" s="16" t="s">
        <v>1641</v>
      </c>
      <c r="N454" s="16">
        <v>7.18</v>
      </c>
      <c r="O454" s="2"/>
      <c r="P454" s="2"/>
      <c r="Q454" s="16"/>
      <c r="R454" s="17"/>
      <c r="S454">
        <f t="shared" si="7"/>
        <v>7.18</v>
      </c>
    </row>
    <row r="455" spans="1:19" x14ac:dyDescent="0.3">
      <c r="A455" s="5">
        <v>454</v>
      </c>
      <c r="B455" s="2">
        <v>1323454</v>
      </c>
      <c r="C455" s="2" t="s">
        <v>446</v>
      </c>
      <c r="D455" s="15" t="s">
        <v>833</v>
      </c>
      <c r="E455" s="2" t="s">
        <v>1081</v>
      </c>
      <c r="F455" s="26">
        <v>6202692190</v>
      </c>
      <c r="G455" s="26" t="s">
        <v>2066</v>
      </c>
      <c r="H455" s="2" t="s">
        <v>1143</v>
      </c>
      <c r="I455" s="2"/>
      <c r="J455" s="16" t="s">
        <v>8</v>
      </c>
      <c r="K455" s="16"/>
      <c r="L455" s="2" t="s">
        <v>8</v>
      </c>
      <c r="M455" s="16">
        <v>7.64</v>
      </c>
      <c r="N455" s="16">
        <v>8.23</v>
      </c>
      <c r="O455" s="2">
        <v>7.86</v>
      </c>
      <c r="P455" s="2">
        <v>7.43</v>
      </c>
      <c r="Q455" s="16"/>
      <c r="R455" s="17"/>
      <c r="S455">
        <f t="shared" si="7"/>
        <v>7.79</v>
      </c>
    </row>
    <row r="456" spans="1:19" x14ac:dyDescent="0.3">
      <c r="A456" s="5">
        <v>455</v>
      </c>
      <c r="B456" s="2">
        <v>1323455</v>
      </c>
      <c r="C456" s="2" t="s">
        <v>447</v>
      </c>
      <c r="D456" s="15" t="s">
        <v>834</v>
      </c>
      <c r="E456" s="2" t="s">
        <v>1080</v>
      </c>
      <c r="F456" s="26">
        <v>9117753395</v>
      </c>
      <c r="G456" s="26" t="s">
        <v>2067</v>
      </c>
      <c r="H456" s="2" t="s">
        <v>1143</v>
      </c>
      <c r="I456" s="2"/>
      <c r="J456" s="16" t="s">
        <v>8</v>
      </c>
      <c r="K456" s="16"/>
      <c r="L456" s="2" t="s">
        <v>8</v>
      </c>
      <c r="M456" s="16" t="s">
        <v>1632</v>
      </c>
      <c r="N456" s="16">
        <v>6.48</v>
      </c>
      <c r="O456" s="2">
        <v>7.64</v>
      </c>
      <c r="P456" s="2" t="s">
        <v>2268</v>
      </c>
      <c r="Q456" s="16"/>
      <c r="R456" s="17"/>
      <c r="S456">
        <f t="shared" si="7"/>
        <v>7.0600000000000005</v>
      </c>
    </row>
    <row r="457" spans="1:19" x14ac:dyDescent="0.3">
      <c r="A457" s="5">
        <v>456</v>
      </c>
      <c r="B457" s="2">
        <v>1323456</v>
      </c>
      <c r="C457" s="2" t="s">
        <v>448</v>
      </c>
      <c r="D457" s="18" t="s">
        <v>835</v>
      </c>
      <c r="E457" s="2" t="s">
        <v>1406</v>
      </c>
      <c r="F457" s="26">
        <v>8307133940</v>
      </c>
      <c r="G457" s="26" t="s">
        <v>2068</v>
      </c>
      <c r="H457" s="2" t="s">
        <v>1142</v>
      </c>
      <c r="I457" s="2"/>
      <c r="J457" s="16" t="s">
        <v>1145</v>
      </c>
      <c r="K457" s="16"/>
      <c r="L457" s="2" t="s">
        <v>8</v>
      </c>
      <c r="M457" s="16">
        <v>6.95</v>
      </c>
      <c r="N457" s="16">
        <v>7.68</v>
      </c>
      <c r="O457" s="2">
        <v>7.86</v>
      </c>
      <c r="P457" s="2">
        <v>6.59</v>
      </c>
      <c r="Q457" s="16"/>
      <c r="R457" s="17"/>
      <c r="S457">
        <f t="shared" si="7"/>
        <v>7.27</v>
      </c>
    </row>
    <row r="458" spans="1:19" x14ac:dyDescent="0.3">
      <c r="A458" s="5">
        <v>457</v>
      </c>
      <c r="B458" s="2">
        <v>1323457</v>
      </c>
      <c r="C458" s="2" t="s">
        <v>449</v>
      </c>
      <c r="D458" s="15" t="s">
        <v>836</v>
      </c>
      <c r="E458" s="1" t="s">
        <v>1292</v>
      </c>
      <c r="F458" s="26"/>
      <c r="G458" s="26"/>
      <c r="H458" s="2"/>
      <c r="I458" s="2"/>
      <c r="J458" s="16"/>
      <c r="K458" s="16"/>
      <c r="L458" s="2" t="s">
        <v>8</v>
      </c>
      <c r="M458" s="16" t="s">
        <v>1650</v>
      </c>
      <c r="N458" s="16" t="s">
        <v>954</v>
      </c>
      <c r="O458" s="2"/>
      <c r="P458" s="2"/>
      <c r="Q458" s="16"/>
      <c r="R458" s="17"/>
      <c r="S458" t="e">
        <f t="shared" si="7"/>
        <v>#DIV/0!</v>
      </c>
    </row>
    <row r="459" spans="1:19" x14ac:dyDescent="0.3">
      <c r="A459" s="5">
        <v>458</v>
      </c>
      <c r="B459" s="2">
        <v>1323458</v>
      </c>
      <c r="C459" s="2" t="s">
        <v>450</v>
      </c>
      <c r="D459" s="18" t="s">
        <v>837</v>
      </c>
      <c r="E459" s="2" t="s">
        <v>1078</v>
      </c>
      <c r="F459" s="26">
        <v>9263203702</v>
      </c>
      <c r="G459" s="26" t="s">
        <v>2069</v>
      </c>
      <c r="H459" s="2" t="s">
        <v>1143</v>
      </c>
      <c r="I459" s="2"/>
      <c r="J459" s="16" t="s">
        <v>1146</v>
      </c>
      <c r="K459" s="16"/>
      <c r="L459" s="2" t="s">
        <v>8</v>
      </c>
      <c r="M459" s="16" t="s">
        <v>1636</v>
      </c>
      <c r="N459" s="16">
        <v>7.5</v>
      </c>
      <c r="O459" s="2">
        <v>8.41</v>
      </c>
      <c r="P459" s="2">
        <v>6.95</v>
      </c>
      <c r="Q459" s="16"/>
      <c r="R459" s="17"/>
      <c r="S459">
        <f t="shared" si="7"/>
        <v>7.62</v>
      </c>
    </row>
    <row r="460" spans="1:19" x14ac:dyDescent="0.3">
      <c r="A460" s="5">
        <v>459</v>
      </c>
      <c r="B460" s="2">
        <v>1323459</v>
      </c>
      <c r="C460" s="2" t="s">
        <v>451</v>
      </c>
      <c r="D460" s="18" t="s">
        <v>838</v>
      </c>
      <c r="E460" s="2" t="s">
        <v>1077</v>
      </c>
      <c r="F460" s="26">
        <v>7763065063</v>
      </c>
      <c r="G460" s="26" t="s">
        <v>2070</v>
      </c>
      <c r="H460" s="2" t="s">
        <v>1143</v>
      </c>
      <c r="I460" s="2"/>
      <c r="J460" s="16" t="s">
        <v>1146</v>
      </c>
      <c r="K460" s="16"/>
      <c r="L460" s="2" t="s">
        <v>8</v>
      </c>
      <c r="M460" s="16" t="s">
        <v>1636</v>
      </c>
      <c r="N460" s="16">
        <v>7</v>
      </c>
      <c r="O460" s="2">
        <v>6.95</v>
      </c>
      <c r="P460" s="2" t="s">
        <v>2281</v>
      </c>
      <c r="Q460" s="16"/>
      <c r="R460" s="17"/>
      <c r="S460">
        <f t="shared" si="7"/>
        <v>6.9749999999999996</v>
      </c>
    </row>
    <row r="461" spans="1:19" x14ac:dyDescent="0.3">
      <c r="A461" s="5">
        <v>460</v>
      </c>
      <c r="B461" s="2">
        <v>1323460</v>
      </c>
      <c r="C461" s="2" t="s">
        <v>452</v>
      </c>
      <c r="D461" s="18" t="s">
        <v>1570</v>
      </c>
      <c r="E461" s="2" t="s">
        <v>1407</v>
      </c>
      <c r="F461" s="26"/>
      <c r="G461" s="26"/>
      <c r="H461" s="2"/>
      <c r="I461" s="2"/>
      <c r="J461" s="16"/>
      <c r="K461" s="16"/>
      <c r="L461" s="2"/>
      <c r="M461" s="16" t="s">
        <v>1631</v>
      </c>
      <c r="N461" s="16" t="s">
        <v>1663</v>
      </c>
      <c r="O461" s="2"/>
      <c r="P461" s="2"/>
      <c r="Q461" s="16"/>
      <c r="R461" s="17"/>
      <c r="S461" t="e">
        <f t="shared" si="7"/>
        <v>#DIV/0!</v>
      </c>
    </row>
    <row r="462" spans="1:19" x14ac:dyDescent="0.3">
      <c r="A462" s="5">
        <v>461</v>
      </c>
      <c r="B462" s="2">
        <v>1323461</v>
      </c>
      <c r="C462" s="2" t="s">
        <v>453</v>
      </c>
      <c r="D462" s="18" t="s">
        <v>839</v>
      </c>
      <c r="E462" s="2" t="s">
        <v>1076</v>
      </c>
      <c r="F462" s="26">
        <v>7783878548</v>
      </c>
      <c r="G462" s="26" t="s">
        <v>2071</v>
      </c>
      <c r="H462" s="2" t="s">
        <v>1143</v>
      </c>
      <c r="I462" s="2"/>
      <c r="J462" s="16" t="s">
        <v>8</v>
      </c>
      <c r="K462" s="16"/>
      <c r="L462" s="2" t="s">
        <v>8</v>
      </c>
      <c r="M462" s="16">
        <v>8.64</v>
      </c>
      <c r="N462" s="16">
        <v>8.9499999999999993</v>
      </c>
      <c r="O462" s="2">
        <v>9.18</v>
      </c>
      <c r="P462" s="2">
        <v>8.77</v>
      </c>
      <c r="Q462" s="16"/>
      <c r="R462" s="17"/>
      <c r="S462">
        <f t="shared" si="7"/>
        <v>8.8849999999999998</v>
      </c>
    </row>
    <row r="463" spans="1:19" x14ac:dyDescent="0.3">
      <c r="A463" s="5">
        <v>462</v>
      </c>
      <c r="B463" s="2">
        <v>1323462</v>
      </c>
      <c r="C463" s="2" t="s">
        <v>454</v>
      </c>
      <c r="D463" s="18" t="s">
        <v>840</v>
      </c>
      <c r="E463" s="2" t="s">
        <v>1075</v>
      </c>
      <c r="F463" s="26">
        <v>8603179917</v>
      </c>
      <c r="G463" s="26" t="s">
        <v>2072</v>
      </c>
      <c r="H463" s="2" t="s">
        <v>1143</v>
      </c>
      <c r="I463" s="2"/>
      <c r="J463" s="16" t="s">
        <v>8</v>
      </c>
      <c r="K463" s="16"/>
      <c r="L463" s="2" t="s">
        <v>8</v>
      </c>
      <c r="M463" s="16">
        <v>6.61</v>
      </c>
      <c r="N463" s="16">
        <v>7</v>
      </c>
      <c r="O463" s="2" t="s">
        <v>2242</v>
      </c>
      <c r="P463" s="2">
        <v>6.55</v>
      </c>
      <c r="Q463" s="16"/>
      <c r="R463" s="17"/>
      <c r="S463">
        <f t="shared" si="7"/>
        <v>6.72</v>
      </c>
    </row>
    <row r="464" spans="1:19" x14ac:dyDescent="0.3">
      <c r="A464" s="5">
        <v>463</v>
      </c>
      <c r="B464" s="2">
        <v>1323463</v>
      </c>
      <c r="C464" s="2" t="s">
        <v>455</v>
      </c>
      <c r="D464" s="18" t="s">
        <v>841</v>
      </c>
      <c r="E464" s="2" t="s">
        <v>1074</v>
      </c>
      <c r="F464" s="26">
        <v>9304203339</v>
      </c>
      <c r="G464" s="26" t="s">
        <v>2073</v>
      </c>
      <c r="H464" s="2" t="s">
        <v>1143</v>
      </c>
      <c r="I464" s="2"/>
      <c r="J464" s="16" t="s">
        <v>1146</v>
      </c>
      <c r="K464" s="16"/>
      <c r="L464" s="2" t="s">
        <v>926</v>
      </c>
      <c r="M464" s="16">
        <v>7.36</v>
      </c>
      <c r="N464" s="16">
        <v>7.86</v>
      </c>
      <c r="O464" s="2">
        <v>7.59</v>
      </c>
      <c r="P464" s="2">
        <v>6.73</v>
      </c>
      <c r="Q464" s="16"/>
      <c r="R464" s="17"/>
      <c r="S464">
        <f t="shared" si="7"/>
        <v>7.3850000000000007</v>
      </c>
    </row>
    <row r="465" spans="1:19" x14ac:dyDescent="0.3">
      <c r="A465" s="5">
        <v>464</v>
      </c>
      <c r="B465" s="2">
        <v>1323464</v>
      </c>
      <c r="C465" s="2" t="s">
        <v>607</v>
      </c>
      <c r="D465" s="18" t="s">
        <v>842</v>
      </c>
      <c r="E465" s="2" t="s">
        <v>1073</v>
      </c>
      <c r="F465" s="26">
        <v>6299677503</v>
      </c>
      <c r="G465" s="26" t="s">
        <v>2074</v>
      </c>
      <c r="H465" s="2" t="s">
        <v>1143</v>
      </c>
      <c r="I465" s="2"/>
      <c r="J465" s="16" t="s">
        <v>1146</v>
      </c>
      <c r="K465" s="16"/>
      <c r="L465" s="2" t="s">
        <v>8</v>
      </c>
      <c r="M465" s="16" t="s">
        <v>958</v>
      </c>
      <c r="N465" s="16" t="s">
        <v>958</v>
      </c>
      <c r="O465" s="2">
        <v>7.41</v>
      </c>
      <c r="P465" s="2" t="s">
        <v>2281</v>
      </c>
      <c r="Q465" s="16"/>
      <c r="R465" s="17"/>
      <c r="S465">
        <f t="shared" si="7"/>
        <v>7.41</v>
      </c>
    </row>
    <row r="466" spans="1:19" x14ac:dyDescent="0.3">
      <c r="A466" s="5">
        <v>465</v>
      </c>
      <c r="B466" s="2">
        <v>1323465</v>
      </c>
      <c r="C466" s="2" t="s">
        <v>456</v>
      </c>
      <c r="D466" s="18" t="s">
        <v>843</v>
      </c>
      <c r="E466" s="2" t="s">
        <v>1072</v>
      </c>
      <c r="F466" s="26">
        <v>9570525854</v>
      </c>
      <c r="G466" s="26" t="s">
        <v>2075</v>
      </c>
      <c r="H466" s="2" t="s">
        <v>1143</v>
      </c>
      <c r="I466" s="2"/>
      <c r="J466" s="16" t="s">
        <v>1146</v>
      </c>
      <c r="K466" s="16"/>
      <c r="L466" s="2" t="s">
        <v>8</v>
      </c>
      <c r="M466" s="16" t="s">
        <v>1651</v>
      </c>
      <c r="N466" s="16">
        <v>6.25</v>
      </c>
      <c r="O466" s="2" t="s">
        <v>954</v>
      </c>
      <c r="P466" s="2" t="s">
        <v>2288</v>
      </c>
      <c r="Q466" s="16"/>
      <c r="R466" s="17"/>
      <c r="S466">
        <f t="shared" si="7"/>
        <v>6.25</v>
      </c>
    </row>
    <row r="467" spans="1:19" x14ac:dyDescent="0.3">
      <c r="A467" s="5">
        <v>466</v>
      </c>
      <c r="B467" s="2">
        <v>1323466</v>
      </c>
      <c r="C467" s="2" t="s">
        <v>457</v>
      </c>
      <c r="D467" s="18" t="s">
        <v>844</v>
      </c>
      <c r="E467" s="2" t="s">
        <v>1071</v>
      </c>
      <c r="F467" s="26">
        <v>6360544352</v>
      </c>
      <c r="G467" s="26" t="s">
        <v>2076</v>
      </c>
      <c r="H467" s="2" t="s">
        <v>1143</v>
      </c>
      <c r="I467" s="2"/>
      <c r="J467" s="16" t="s">
        <v>8</v>
      </c>
      <c r="K467" s="16"/>
      <c r="L467" s="2" t="s">
        <v>8</v>
      </c>
      <c r="M467" s="16">
        <v>8.4499999999999993</v>
      </c>
      <c r="N467" s="16">
        <v>8.77</v>
      </c>
      <c r="O467" s="2">
        <v>8.09</v>
      </c>
      <c r="P467" s="2">
        <v>7.2</v>
      </c>
      <c r="Q467" s="16"/>
      <c r="R467" s="17"/>
      <c r="S467">
        <f t="shared" si="7"/>
        <v>8.1274999999999995</v>
      </c>
    </row>
    <row r="468" spans="1:19" x14ac:dyDescent="0.3">
      <c r="A468" s="5">
        <v>467</v>
      </c>
      <c r="B468" s="2">
        <v>1323467</v>
      </c>
      <c r="C468" s="2" t="s">
        <v>458</v>
      </c>
      <c r="D468" s="18" t="s">
        <v>845</v>
      </c>
      <c r="E468" s="2" t="s">
        <v>1070</v>
      </c>
      <c r="F468" s="26">
        <v>8434796446</v>
      </c>
      <c r="G468" s="26" t="s">
        <v>2077</v>
      </c>
      <c r="H468" s="2" t="s">
        <v>1143</v>
      </c>
      <c r="I468" s="2"/>
      <c r="J468" s="16" t="s">
        <v>8</v>
      </c>
      <c r="K468" s="16"/>
      <c r="L468" s="2" t="s">
        <v>8</v>
      </c>
      <c r="M468" s="16">
        <v>7.77</v>
      </c>
      <c r="N468" s="16">
        <v>8</v>
      </c>
      <c r="O468" s="2" t="s">
        <v>2224</v>
      </c>
      <c r="P468" s="2">
        <v>6.82</v>
      </c>
      <c r="Q468" s="16"/>
      <c r="R468" s="17"/>
      <c r="S468">
        <f t="shared" si="7"/>
        <v>7.53</v>
      </c>
    </row>
    <row r="469" spans="1:19" x14ac:dyDescent="0.3">
      <c r="A469" s="5">
        <v>468</v>
      </c>
      <c r="B469" s="2">
        <v>1323468</v>
      </c>
      <c r="C469" s="2" t="s">
        <v>459</v>
      </c>
      <c r="D469" s="15" t="s">
        <v>846</v>
      </c>
      <c r="E469" s="2" t="s">
        <v>1069</v>
      </c>
      <c r="F469" s="26">
        <v>7707030064</v>
      </c>
      <c r="G469" s="26" t="s">
        <v>2078</v>
      </c>
      <c r="H469" s="2" t="s">
        <v>1143</v>
      </c>
      <c r="I469" s="2"/>
      <c r="J469" s="16" t="s">
        <v>1146</v>
      </c>
      <c r="K469" s="16"/>
      <c r="L469" s="2" t="s">
        <v>926</v>
      </c>
      <c r="M469" s="16" t="s">
        <v>958</v>
      </c>
      <c r="N469" s="16">
        <v>7.45</v>
      </c>
      <c r="O469" s="2" t="s">
        <v>2220</v>
      </c>
      <c r="P469" s="2" t="s">
        <v>2289</v>
      </c>
      <c r="Q469" s="16"/>
      <c r="R469" s="17"/>
      <c r="S469">
        <f t="shared" si="7"/>
        <v>7.45</v>
      </c>
    </row>
    <row r="470" spans="1:19" x14ac:dyDescent="0.3">
      <c r="A470" s="5">
        <v>469</v>
      </c>
      <c r="B470" s="2">
        <v>1323469</v>
      </c>
      <c r="C470" s="2" t="s">
        <v>460</v>
      </c>
      <c r="D470" s="18" t="s">
        <v>847</v>
      </c>
      <c r="E470" s="2" t="s">
        <v>916</v>
      </c>
      <c r="F470" s="26">
        <v>6207904614</v>
      </c>
      <c r="G470" s="26" t="s">
        <v>2079</v>
      </c>
      <c r="H470" s="2" t="s">
        <v>1143</v>
      </c>
      <c r="I470" s="2"/>
      <c r="J470" s="16" t="s">
        <v>1146</v>
      </c>
      <c r="K470" s="16"/>
      <c r="L470" s="2" t="s">
        <v>8</v>
      </c>
      <c r="M470" s="16">
        <v>8.27</v>
      </c>
      <c r="N470" s="16">
        <v>8.77</v>
      </c>
      <c r="O470" s="2">
        <v>8.82</v>
      </c>
      <c r="P470" s="2">
        <v>8.18</v>
      </c>
      <c r="Q470" s="16"/>
      <c r="R470" s="17"/>
      <c r="S470">
        <f t="shared" si="7"/>
        <v>8.51</v>
      </c>
    </row>
    <row r="471" spans="1:19" x14ac:dyDescent="0.3">
      <c r="A471" s="5">
        <v>470</v>
      </c>
      <c r="B471" s="2">
        <v>1323470</v>
      </c>
      <c r="C471" s="2" t="s">
        <v>461</v>
      </c>
      <c r="D471" s="18" t="s">
        <v>814</v>
      </c>
      <c r="E471" s="2" t="s">
        <v>1068</v>
      </c>
      <c r="F471" s="26">
        <v>6201900166</v>
      </c>
      <c r="G471" s="26" t="s">
        <v>2080</v>
      </c>
      <c r="H471" s="2" t="s">
        <v>1143</v>
      </c>
      <c r="I471" s="2"/>
      <c r="J471" s="16" t="s">
        <v>8</v>
      </c>
      <c r="K471" s="16"/>
      <c r="L471" s="2" t="s">
        <v>8</v>
      </c>
      <c r="M471" s="16">
        <v>6.09</v>
      </c>
      <c r="N471" s="16">
        <v>7.91</v>
      </c>
      <c r="O471" s="2" t="s">
        <v>2243</v>
      </c>
      <c r="P471" s="2" t="s">
        <v>2250</v>
      </c>
      <c r="Q471" s="16"/>
      <c r="R471" s="17"/>
      <c r="S471">
        <f t="shared" si="7"/>
        <v>7</v>
      </c>
    </row>
    <row r="472" spans="1:19" x14ac:dyDescent="0.3">
      <c r="A472" s="5">
        <v>471</v>
      </c>
      <c r="B472" s="2">
        <v>1323471</v>
      </c>
      <c r="C472" s="2" t="s">
        <v>462</v>
      </c>
      <c r="D472" s="20" t="s">
        <v>814</v>
      </c>
      <c r="E472" s="2" t="s">
        <v>1067</v>
      </c>
      <c r="F472" s="26">
        <v>8092374114</v>
      </c>
      <c r="G472" s="26" t="s">
        <v>2081</v>
      </c>
      <c r="H472" s="2" t="s">
        <v>1143</v>
      </c>
      <c r="I472" s="2"/>
      <c r="J472" s="16" t="s">
        <v>8</v>
      </c>
      <c r="K472" s="16"/>
      <c r="L472" s="2" t="s">
        <v>8</v>
      </c>
      <c r="M472" s="16" t="s">
        <v>1625</v>
      </c>
      <c r="N472" s="16">
        <v>7.27</v>
      </c>
      <c r="O472" s="2">
        <v>6.5</v>
      </c>
      <c r="P472" s="2" t="s">
        <v>2290</v>
      </c>
      <c r="Q472" s="16"/>
      <c r="R472" s="17"/>
      <c r="S472">
        <f t="shared" si="7"/>
        <v>6.8849999999999998</v>
      </c>
    </row>
    <row r="473" spans="1:19" x14ac:dyDescent="0.3">
      <c r="A473" s="5">
        <v>472</v>
      </c>
      <c r="B473" s="2">
        <v>1323472</v>
      </c>
      <c r="C473" s="2" t="s">
        <v>463</v>
      </c>
      <c r="D473" s="15" t="s">
        <v>848</v>
      </c>
      <c r="E473" s="1" t="s">
        <v>891</v>
      </c>
      <c r="F473" s="26">
        <v>8409362879</v>
      </c>
      <c r="G473" s="26" t="s">
        <v>2082</v>
      </c>
      <c r="H473" s="2" t="s">
        <v>1143</v>
      </c>
      <c r="I473" s="2"/>
      <c r="J473" s="16" t="s">
        <v>8</v>
      </c>
      <c r="K473" s="16"/>
      <c r="L473" s="2" t="s">
        <v>926</v>
      </c>
      <c r="M473" s="16">
        <v>6.41</v>
      </c>
      <c r="N473" s="16">
        <v>8.0500000000000007</v>
      </c>
      <c r="O473" s="2">
        <v>7.64</v>
      </c>
      <c r="P473" s="2" t="s">
        <v>2290</v>
      </c>
      <c r="Q473" s="16"/>
      <c r="R473" s="17"/>
      <c r="S473">
        <f t="shared" si="7"/>
        <v>7.3666666666666671</v>
      </c>
    </row>
    <row r="474" spans="1:19" x14ac:dyDescent="0.3">
      <c r="A474" s="5">
        <v>473</v>
      </c>
      <c r="B474" s="2">
        <v>1323473</v>
      </c>
      <c r="C474" s="2" t="s">
        <v>464</v>
      </c>
      <c r="D474" s="15" t="s">
        <v>849</v>
      </c>
      <c r="E474" s="2" t="s">
        <v>1066</v>
      </c>
      <c r="F474" s="26">
        <v>9234490721</v>
      </c>
      <c r="G474" s="26" t="s">
        <v>2083</v>
      </c>
      <c r="H474" s="2" t="s">
        <v>1143</v>
      </c>
      <c r="I474" s="2"/>
      <c r="J474" s="16" t="s">
        <v>8</v>
      </c>
      <c r="K474" s="16"/>
      <c r="L474" s="2" t="s">
        <v>8</v>
      </c>
      <c r="M474" s="16">
        <v>6.95</v>
      </c>
      <c r="N474" s="16">
        <v>8.23</v>
      </c>
      <c r="O474" s="2" t="s">
        <v>2224</v>
      </c>
      <c r="P474" s="2">
        <v>6.36</v>
      </c>
      <c r="Q474" s="16"/>
      <c r="R474" s="17"/>
      <c r="S474">
        <f t="shared" si="7"/>
        <v>7.18</v>
      </c>
    </row>
    <row r="475" spans="1:19" x14ac:dyDescent="0.3">
      <c r="A475" s="5">
        <v>474</v>
      </c>
      <c r="B475" s="2">
        <v>1323474</v>
      </c>
      <c r="C475" s="2" t="s">
        <v>465</v>
      </c>
      <c r="D475" s="15" t="s">
        <v>850</v>
      </c>
      <c r="E475" s="2" t="s">
        <v>1065</v>
      </c>
      <c r="F475" s="26">
        <v>9546226164</v>
      </c>
      <c r="G475" s="26" t="s">
        <v>2084</v>
      </c>
      <c r="H475" s="2" t="s">
        <v>1143</v>
      </c>
      <c r="I475" s="2"/>
      <c r="J475" s="16"/>
      <c r="K475" s="16"/>
      <c r="L475" s="2" t="s">
        <v>926</v>
      </c>
      <c r="M475" s="16">
        <v>7.73</v>
      </c>
      <c r="N475" s="16">
        <v>8.4499999999999993</v>
      </c>
      <c r="O475" s="2">
        <v>7.64</v>
      </c>
      <c r="P475" s="2">
        <v>7.64</v>
      </c>
      <c r="Q475" s="16"/>
      <c r="R475" s="17"/>
      <c r="S475">
        <f t="shared" si="7"/>
        <v>7.8650000000000002</v>
      </c>
    </row>
    <row r="476" spans="1:19" x14ac:dyDescent="0.3">
      <c r="A476" s="5">
        <v>475</v>
      </c>
      <c r="B476" s="2">
        <v>1323475</v>
      </c>
      <c r="C476" s="2" t="s">
        <v>466</v>
      </c>
      <c r="D476" s="15" t="s">
        <v>851</v>
      </c>
      <c r="E476" s="2" t="s">
        <v>1064</v>
      </c>
      <c r="F476" s="26">
        <v>9631765261</v>
      </c>
      <c r="G476" s="26" t="s">
        <v>2085</v>
      </c>
      <c r="H476" s="2" t="s">
        <v>1143</v>
      </c>
      <c r="I476" s="2"/>
      <c r="J476" s="16" t="s">
        <v>1146</v>
      </c>
      <c r="K476" s="16"/>
      <c r="L476" s="2" t="s">
        <v>8</v>
      </c>
      <c r="M476" s="16">
        <v>6.68</v>
      </c>
      <c r="N476" s="16">
        <v>8.32</v>
      </c>
      <c r="O476" s="2">
        <v>7.5</v>
      </c>
      <c r="P476" s="2">
        <v>6.95</v>
      </c>
      <c r="Q476" s="16"/>
      <c r="R476" s="17"/>
      <c r="S476">
        <f t="shared" si="7"/>
        <v>7.3624999999999998</v>
      </c>
    </row>
    <row r="477" spans="1:19" x14ac:dyDescent="0.3">
      <c r="A477" s="5">
        <v>476</v>
      </c>
      <c r="B477" s="2">
        <v>1323476</v>
      </c>
      <c r="C477" s="2" t="s">
        <v>467</v>
      </c>
      <c r="D477" s="15" t="s">
        <v>828</v>
      </c>
      <c r="E477" s="2" t="s">
        <v>1408</v>
      </c>
      <c r="F477" s="26"/>
      <c r="G477" s="26"/>
      <c r="H477" s="2"/>
      <c r="I477" s="2"/>
      <c r="J477" s="16"/>
      <c r="K477" s="16"/>
      <c r="L477" s="2"/>
      <c r="M477" s="16" t="s">
        <v>1643</v>
      </c>
      <c r="N477" s="16"/>
      <c r="O477" s="2"/>
      <c r="P477" s="2"/>
      <c r="Q477" s="16"/>
      <c r="R477" s="17"/>
      <c r="S477" t="e">
        <f t="shared" si="7"/>
        <v>#DIV/0!</v>
      </c>
    </row>
    <row r="478" spans="1:19" x14ac:dyDescent="0.3">
      <c r="A478" s="5">
        <v>477</v>
      </c>
      <c r="B478" s="2">
        <v>1323477</v>
      </c>
      <c r="C478" s="2" t="s">
        <v>468</v>
      </c>
      <c r="D478" s="15" t="s">
        <v>852</v>
      </c>
      <c r="E478" s="2" t="s">
        <v>1063</v>
      </c>
      <c r="F478" s="26">
        <v>9122343545</v>
      </c>
      <c r="G478" s="26" t="s">
        <v>2086</v>
      </c>
      <c r="H478" s="2" t="s">
        <v>1143</v>
      </c>
      <c r="I478" s="2"/>
      <c r="J478" s="16" t="s">
        <v>8</v>
      </c>
      <c r="K478" s="16"/>
      <c r="L478" s="2" t="s">
        <v>8</v>
      </c>
      <c r="M478" s="16">
        <v>7.36</v>
      </c>
      <c r="N478" s="16">
        <v>8.73</v>
      </c>
      <c r="O478" s="2">
        <v>7.68</v>
      </c>
      <c r="P478" s="2">
        <v>6.57</v>
      </c>
      <c r="Q478" s="16"/>
      <c r="R478" s="17"/>
      <c r="S478">
        <f t="shared" si="7"/>
        <v>7.585</v>
      </c>
    </row>
    <row r="479" spans="1:19" x14ac:dyDescent="0.3">
      <c r="A479" s="5">
        <v>478</v>
      </c>
      <c r="B479" s="2">
        <v>1323478</v>
      </c>
      <c r="C479" s="2" t="s">
        <v>469</v>
      </c>
      <c r="D479" s="15" t="s">
        <v>853</v>
      </c>
      <c r="E479" s="2" t="s">
        <v>668</v>
      </c>
      <c r="F479" s="26">
        <v>7255821123</v>
      </c>
      <c r="G479" s="26" t="s">
        <v>2087</v>
      </c>
      <c r="H479" s="2" t="s">
        <v>1143</v>
      </c>
      <c r="I479" s="2"/>
      <c r="J479" s="16" t="s">
        <v>8</v>
      </c>
      <c r="K479" s="16"/>
      <c r="L479" s="2" t="s">
        <v>8</v>
      </c>
      <c r="M479" s="16" t="s">
        <v>1632</v>
      </c>
      <c r="N479" s="16">
        <v>7.91</v>
      </c>
      <c r="O479" s="2">
        <v>7.07</v>
      </c>
      <c r="P479" s="2" t="s">
        <v>2291</v>
      </c>
      <c r="Q479" s="16"/>
      <c r="R479" s="17"/>
      <c r="S479">
        <f t="shared" si="7"/>
        <v>7.49</v>
      </c>
    </row>
    <row r="480" spans="1:19" x14ac:dyDescent="0.3">
      <c r="A480" s="5">
        <v>479</v>
      </c>
      <c r="B480" s="2">
        <v>1323479</v>
      </c>
      <c r="C480" s="2" t="s">
        <v>470</v>
      </c>
      <c r="D480" s="15" t="s">
        <v>854</v>
      </c>
      <c r="E480" s="2" t="s">
        <v>1062</v>
      </c>
      <c r="F480" s="26">
        <v>9006618001</v>
      </c>
      <c r="G480" s="26" t="s">
        <v>2088</v>
      </c>
      <c r="H480" s="2" t="s">
        <v>1143</v>
      </c>
      <c r="I480" s="2"/>
      <c r="J480" s="16" t="s">
        <v>8</v>
      </c>
      <c r="K480" s="16"/>
      <c r="L480" s="2" t="s">
        <v>8</v>
      </c>
      <c r="M480" s="16">
        <v>7.05</v>
      </c>
      <c r="N480" s="16">
        <v>8.4499999999999993</v>
      </c>
      <c r="O480" s="2">
        <v>7.23</v>
      </c>
      <c r="P480" s="2">
        <v>6.18</v>
      </c>
      <c r="Q480" s="16"/>
      <c r="R480" s="17"/>
      <c r="S480">
        <f t="shared" si="7"/>
        <v>7.2275</v>
      </c>
    </row>
    <row r="481" spans="1:19" x14ac:dyDescent="0.3">
      <c r="A481" s="5">
        <v>480</v>
      </c>
      <c r="B481" s="2">
        <v>1323480</v>
      </c>
      <c r="C481" s="2" t="s">
        <v>471</v>
      </c>
      <c r="D481" s="15" t="s">
        <v>855</v>
      </c>
      <c r="E481" s="2" t="s">
        <v>1061</v>
      </c>
      <c r="F481" s="26">
        <v>7739240267</v>
      </c>
      <c r="G481" s="26" t="s">
        <v>2089</v>
      </c>
      <c r="H481" s="2" t="s">
        <v>1144</v>
      </c>
      <c r="I481" s="2"/>
      <c r="J481" s="16" t="s">
        <v>1145</v>
      </c>
      <c r="K481" s="16"/>
      <c r="L481" s="2" t="s">
        <v>9</v>
      </c>
      <c r="M481" s="16">
        <v>7.45</v>
      </c>
      <c r="N481" s="16">
        <v>8.18</v>
      </c>
      <c r="O481" s="2">
        <v>8.57</v>
      </c>
      <c r="P481" s="2">
        <v>6.77</v>
      </c>
      <c r="Q481" s="16"/>
      <c r="R481" s="17"/>
      <c r="S481">
        <f t="shared" si="7"/>
        <v>7.7424999999999997</v>
      </c>
    </row>
    <row r="482" spans="1:19" x14ac:dyDescent="0.3">
      <c r="A482" s="5">
        <v>481</v>
      </c>
      <c r="B482" s="2">
        <v>1323481</v>
      </c>
      <c r="C482" s="2" t="s">
        <v>472</v>
      </c>
      <c r="D482" s="15" t="s">
        <v>856</v>
      </c>
      <c r="E482" s="2" t="s">
        <v>1060</v>
      </c>
      <c r="F482" s="26">
        <v>7091943675</v>
      </c>
      <c r="G482" s="26" t="s">
        <v>2090</v>
      </c>
      <c r="H482" s="2" t="s">
        <v>1144</v>
      </c>
      <c r="I482" s="2"/>
      <c r="J482" s="16" t="s">
        <v>1145</v>
      </c>
      <c r="K482" s="16"/>
      <c r="L482" s="2" t="s">
        <v>8</v>
      </c>
      <c r="M482" s="16">
        <v>7.14</v>
      </c>
      <c r="N482" s="16">
        <v>8.5500000000000007</v>
      </c>
      <c r="O482" s="2">
        <v>8.52</v>
      </c>
      <c r="P482" s="2">
        <v>7.64</v>
      </c>
      <c r="Q482" s="16"/>
      <c r="R482" s="17"/>
      <c r="S482">
        <f t="shared" si="7"/>
        <v>7.9625000000000004</v>
      </c>
    </row>
    <row r="483" spans="1:19" x14ac:dyDescent="0.3">
      <c r="A483" s="5">
        <v>482</v>
      </c>
      <c r="B483" s="2">
        <v>1323482</v>
      </c>
      <c r="C483" s="2" t="s">
        <v>473</v>
      </c>
      <c r="D483" s="18" t="s">
        <v>857</v>
      </c>
      <c r="E483" s="2" t="s">
        <v>1059</v>
      </c>
      <c r="F483" s="26">
        <v>8292227646</v>
      </c>
      <c r="G483" s="26" t="s">
        <v>2091</v>
      </c>
      <c r="H483" s="2" t="s">
        <v>1144</v>
      </c>
      <c r="I483" s="2"/>
      <c r="J483" s="16" t="s">
        <v>1145</v>
      </c>
      <c r="K483" s="16"/>
      <c r="L483" s="2" t="s">
        <v>8</v>
      </c>
      <c r="M483" s="16">
        <v>6</v>
      </c>
      <c r="N483" s="16" t="s">
        <v>1691</v>
      </c>
      <c r="O483" s="2" t="s">
        <v>954</v>
      </c>
      <c r="P483" s="2" t="s">
        <v>2250</v>
      </c>
      <c r="Q483" s="16"/>
      <c r="R483" s="17"/>
      <c r="S483">
        <f t="shared" si="7"/>
        <v>6</v>
      </c>
    </row>
    <row r="484" spans="1:19" x14ac:dyDescent="0.3">
      <c r="A484" s="5">
        <v>483</v>
      </c>
      <c r="B484" s="2">
        <v>1323483</v>
      </c>
      <c r="C484" s="2" t="s">
        <v>474</v>
      </c>
      <c r="D484" s="21" t="s">
        <v>858</v>
      </c>
      <c r="E484" s="2" t="s">
        <v>1058</v>
      </c>
      <c r="F484" s="26">
        <v>9319280335</v>
      </c>
      <c r="G484" s="26" t="s">
        <v>2092</v>
      </c>
      <c r="H484" s="2" t="s">
        <v>1144</v>
      </c>
      <c r="I484" s="2"/>
      <c r="J484" s="16" t="s">
        <v>1145</v>
      </c>
      <c r="K484" s="16"/>
      <c r="L484" s="2" t="s">
        <v>8</v>
      </c>
      <c r="M484" s="16">
        <v>6.59</v>
      </c>
      <c r="N484" s="16">
        <v>8.32</v>
      </c>
      <c r="O484" s="2">
        <v>8.14</v>
      </c>
      <c r="P484" s="2">
        <v>6.25</v>
      </c>
      <c r="Q484" s="16"/>
      <c r="R484" s="17"/>
      <c r="S484">
        <f t="shared" si="7"/>
        <v>7.3250000000000002</v>
      </c>
    </row>
    <row r="485" spans="1:19" x14ac:dyDescent="0.3">
      <c r="A485" s="5">
        <v>484</v>
      </c>
      <c r="B485" s="2">
        <v>1323484</v>
      </c>
      <c r="C485" s="2" t="s">
        <v>475</v>
      </c>
      <c r="D485" s="21" t="s">
        <v>859</v>
      </c>
      <c r="E485" s="2" t="s">
        <v>1057</v>
      </c>
      <c r="F485" s="26">
        <v>8424877541</v>
      </c>
      <c r="G485" s="26" t="s">
        <v>2093</v>
      </c>
      <c r="H485" s="2" t="s">
        <v>1144</v>
      </c>
      <c r="I485" s="2"/>
      <c r="J485" s="16" t="s">
        <v>1145</v>
      </c>
      <c r="K485" s="16"/>
      <c r="L485" s="2" t="s">
        <v>8</v>
      </c>
      <c r="M485" s="16">
        <v>7.27</v>
      </c>
      <c r="N485" s="16">
        <v>8.68</v>
      </c>
      <c r="O485" s="2">
        <v>8.11</v>
      </c>
      <c r="P485" s="2">
        <v>8</v>
      </c>
      <c r="Q485" s="16"/>
      <c r="R485" s="17"/>
      <c r="S485">
        <f t="shared" si="7"/>
        <v>8.0150000000000006</v>
      </c>
    </row>
    <row r="486" spans="1:19" x14ac:dyDescent="0.3">
      <c r="A486" s="5">
        <v>485</v>
      </c>
      <c r="B486" s="2">
        <v>1323485</v>
      </c>
      <c r="C486" s="2" t="s">
        <v>476</v>
      </c>
      <c r="D486" s="21"/>
      <c r="E486" s="2"/>
      <c r="F486" s="26"/>
      <c r="G486" s="26"/>
      <c r="H486" s="2"/>
      <c r="I486" s="2"/>
      <c r="J486" s="16"/>
      <c r="K486" s="16"/>
      <c r="L486" s="2"/>
      <c r="M486" s="16"/>
      <c r="N486" s="16"/>
      <c r="O486" s="2"/>
      <c r="P486" s="2"/>
      <c r="Q486" s="16"/>
      <c r="R486" s="17"/>
      <c r="S486" t="e">
        <f t="shared" si="7"/>
        <v>#DIV/0!</v>
      </c>
    </row>
    <row r="487" spans="1:19" x14ac:dyDescent="0.3">
      <c r="A487" s="5">
        <v>486</v>
      </c>
      <c r="B487" s="2">
        <v>1323486</v>
      </c>
      <c r="C487" s="2" t="s">
        <v>477</v>
      </c>
      <c r="D487" s="21"/>
      <c r="E487" s="2"/>
      <c r="F487" s="26"/>
      <c r="G487" s="26"/>
      <c r="H487" s="2"/>
      <c r="I487" s="2"/>
      <c r="J487" s="16"/>
      <c r="K487" s="16"/>
      <c r="L487" s="2"/>
      <c r="M487" s="16"/>
      <c r="N487" s="16"/>
      <c r="O487" s="2"/>
      <c r="P487" s="2"/>
      <c r="Q487" s="16"/>
      <c r="R487" s="17"/>
      <c r="S487" t="e">
        <f t="shared" si="7"/>
        <v>#DIV/0!</v>
      </c>
    </row>
    <row r="488" spans="1:19" x14ac:dyDescent="0.3">
      <c r="A488" s="5">
        <v>487</v>
      </c>
      <c r="B488" s="2">
        <v>1323487</v>
      </c>
      <c r="C488" s="2" t="s">
        <v>478</v>
      </c>
      <c r="D488" s="2" t="s">
        <v>860</v>
      </c>
      <c r="E488" s="2" t="s">
        <v>1056</v>
      </c>
      <c r="F488" s="26">
        <v>9801195421</v>
      </c>
      <c r="G488" s="26" t="s">
        <v>2094</v>
      </c>
      <c r="H488" s="2" t="s">
        <v>1144</v>
      </c>
      <c r="I488" s="2"/>
      <c r="J488" s="16" t="s">
        <v>1145</v>
      </c>
      <c r="K488" s="16"/>
      <c r="L488" s="2" t="s">
        <v>6</v>
      </c>
      <c r="M488" s="16">
        <v>7.27</v>
      </c>
      <c r="N488" s="16">
        <v>8.32</v>
      </c>
      <c r="O488" s="2">
        <v>9</v>
      </c>
      <c r="P488" s="2">
        <v>8.5500000000000007</v>
      </c>
      <c r="Q488" s="16"/>
      <c r="R488" s="17"/>
      <c r="S488">
        <f t="shared" si="7"/>
        <v>8.2850000000000001</v>
      </c>
    </row>
    <row r="489" spans="1:19" x14ac:dyDescent="0.3">
      <c r="A489" s="5">
        <v>488</v>
      </c>
      <c r="B489" s="2">
        <v>1323488</v>
      </c>
      <c r="C489" s="2" t="s">
        <v>479</v>
      </c>
      <c r="D489" s="2" t="s">
        <v>861</v>
      </c>
      <c r="E489" s="2" t="s">
        <v>1055</v>
      </c>
      <c r="F489" s="26">
        <v>6202471286</v>
      </c>
      <c r="G489" s="26" t="s">
        <v>2095</v>
      </c>
      <c r="H489" s="2" t="s">
        <v>1144</v>
      </c>
      <c r="I489" s="2"/>
      <c r="J489" s="16" t="s">
        <v>1146</v>
      </c>
      <c r="K489" s="16"/>
      <c r="L489" s="2" t="s">
        <v>8</v>
      </c>
      <c r="M489" s="16">
        <v>6.7</v>
      </c>
      <c r="N489" s="16">
        <v>8.27</v>
      </c>
      <c r="O489" s="2">
        <v>8.23</v>
      </c>
      <c r="P489" s="2">
        <v>8.18</v>
      </c>
      <c r="Q489" s="16"/>
      <c r="R489" s="17"/>
      <c r="S489">
        <f t="shared" si="7"/>
        <v>7.8449999999999998</v>
      </c>
    </row>
    <row r="490" spans="1:19" x14ac:dyDescent="0.3">
      <c r="A490" s="5">
        <v>489</v>
      </c>
      <c r="B490" s="2">
        <v>1323489</v>
      </c>
      <c r="C490" s="2" t="s">
        <v>480</v>
      </c>
      <c r="D490" s="2" t="s">
        <v>862</v>
      </c>
      <c r="E490" s="2" t="s">
        <v>1054</v>
      </c>
      <c r="F490" s="26">
        <v>9279505828</v>
      </c>
      <c r="G490" s="26" t="s">
        <v>2096</v>
      </c>
      <c r="H490" s="2" t="s">
        <v>1144</v>
      </c>
      <c r="I490" s="2"/>
      <c r="J490" s="16" t="s">
        <v>1146</v>
      </c>
      <c r="K490" s="16"/>
      <c r="L490" s="2" t="s">
        <v>8</v>
      </c>
      <c r="M490" s="16" t="s">
        <v>1636</v>
      </c>
      <c r="N490" s="16">
        <v>7.23</v>
      </c>
      <c r="O490" s="2">
        <v>7.18</v>
      </c>
      <c r="P490" s="2">
        <v>6.27</v>
      </c>
      <c r="Q490" s="16"/>
      <c r="R490" s="17"/>
      <c r="S490">
        <f t="shared" si="7"/>
        <v>6.8933333333333335</v>
      </c>
    </row>
    <row r="491" spans="1:19" x14ac:dyDescent="0.3">
      <c r="A491" s="5">
        <v>490</v>
      </c>
      <c r="B491" s="2">
        <v>1323490</v>
      </c>
      <c r="C491" s="2" t="s">
        <v>481</v>
      </c>
      <c r="D491" s="2" t="s">
        <v>863</v>
      </c>
      <c r="E491" s="2" t="s">
        <v>1053</v>
      </c>
      <c r="F491" s="26">
        <v>7903949959</v>
      </c>
      <c r="G491" s="26" t="s">
        <v>2097</v>
      </c>
      <c r="H491" s="2" t="s">
        <v>1144</v>
      </c>
      <c r="I491" s="2"/>
      <c r="J491" s="16" t="s">
        <v>1145</v>
      </c>
      <c r="K491" s="16"/>
      <c r="L491" s="2" t="s">
        <v>9</v>
      </c>
      <c r="M491" s="16">
        <v>6.73</v>
      </c>
      <c r="N491" s="16">
        <v>8.5500000000000007</v>
      </c>
      <c r="O491" s="2">
        <v>8.4499999999999993</v>
      </c>
      <c r="P491" s="2">
        <v>8.0500000000000007</v>
      </c>
      <c r="Q491" s="16"/>
      <c r="R491" s="17"/>
      <c r="S491">
        <f t="shared" si="7"/>
        <v>7.9450000000000003</v>
      </c>
    </row>
    <row r="492" spans="1:19" x14ac:dyDescent="0.3">
      <c r="A492" s="5">
        <v>491</v>
      </c>
      <c r="B492" s="2">
        <v>1323491</v>
      </c>
      <c r="C492" s="2" t="s">
        <v>482</v>
      </c>
      <c r="D492" s="21" t="s">
        <v>864</v>
      </c>
      <c r="E492" s="2" t="s">
        <v>995</v>
      </c>
      <c r="F492" s="26">
        <v>7645989653</v>
      </c>
      <c r="G492" s="26" t="s">
        <v>2098</v>
      </c>
      <c r="H492" s="2" t="s">
        <v>1144</v>
      </c>
      <c r="I492" s="2"/>
      <c r="J492" s="16" t="s">
        <v>1146</v>
      </c>
      <c r="K492" s="16"/>
      <c r="L492" s="2" t="s">
        <v>9</v>
      </c>
      <c r="M492" s="16">
        <v>6.5</v>
      </c>
      <c r="N492" s="16">
        <v>7.73</v>
      </c>
      <c r="O492" s="2">
        <v>7.41</v>
      </c>
      <c r="P492" s="2">
        <v>6.98</v>
      </c>
      <c r="Q492" s="16"/>
      <c r="R492" s="17"/>
      <c r="S492">
        <f t="shared" si="7"/>
        <v>7.1550000000000002</v>
      </c>
    </row>
    <row r="493" spans="1:19" x14ac:dyDescent="0.3">
      <c r="A493" s="5">
        <v>492</v>
      </c>
      <c r="B493" s="2">
        <v>1323492</v>
      </c>
      <c r="C493" s="2" t="s">
        <v>483</v>
      </c>
      <c r="D493" s="21" t="s">
        <v>865</v>
      </c>
      <c r="E493" s="2" t="s">
        <v>1052</v>
      </c>
      <c r="F493" s="26">
        <v>7562956966</v>
      </c>
      <c r="G493" s="26" t="s">
        <v>2099</v>
      </c>
      <c r="H493" s="2" t="s">
        <v>1144</v>
      </c>
      <c r="I493" s="2"/>
      <c r="J493" s="16" t="s">
        <v>8</v>
      </c>
      <c r="K493" s="16"/>
      <c r="L493" s="2" t="s">
        <v>8</v>
      </c>
      <c r="M493" s="16">
        <v>6.02</v>
      </c>
      <c r="N493" s="16">
        <v>7.82</v>
      </c>
      <c r="O493" s="2">
        <v>7.93</v>
      </c>
      <c r="P493" s="2">
        <v>8.27</v>
      </c>
      <c r="Q493" s="16"/>
      <c r="R493" s="17"/>
      <c r="S493">
        <f t="shared" si="7"/>
        <v>7.51</v>
      </c>
    </row>
    <row r="494" spans="1:19" x14ac:dyDescent="0.3">
      <c r="A494" s="5">
        <v>493</v>
      </c>
      <c r="B494" s="2">
        <v>1323493</v>
      </c>
      <c r="C494" s="2" t="s">
        <v>484</v>
      </c>
      <c r="D494" s="21" t="s">
        <v>866</v>
      </c>
      <c r="E494" s="2" t="s">
        <v>1051</v>
      </c>
      <c r="F494" s="26">
        <v>6204989704</v>
      </c>
      <c r="G494" s="26" t="s">
        <v>2100</v>
      </c>
      <c r="H494" s="2" t="s">
        <v>1144</v>
      </c>
      <c r="I494" s="2"/>
      <c r="J494" s="16"/>
      <c r="K494" s="16"/>
      <c r="L494" s="2" t="s">
        <v>8</v>
      </c>
      <c r="M494" s="16" t="s">
        <v>954</v>
      </c>
      <c r="N494" s="16" t="s">
        <v>1692</v>
      </c>
      <c r="O494" s="2">
        <v>6.05</v>
      </c>
      <c r="P494" s="2" t="s">
        <v>2292</v>
      </c>
      <c r="Q494" s="16"/>
      <c r="R494" s="17"/>
      <c r="S494">
        <f t="shared" si="7"/>
        <v>6.05</v>
      </c>
    </row>
    <row r="495" spans="1:19" x14ac:dyDescent="0.3">
      <c r="A495" s="5">
        <v>494</v>
      </c>
      <c r="B495" s="2">
        <v>1323494</v>
      </c>
      <c r="C495" s="2" t="s">
        <v>608</v>
      </c>
      <c r="D495" s="21" t="s">
        <v>867</v>
      </c>
      <c r="E495" s="2" t="s">
        <v>1050</v>
      </c>
      <c r="F495" s="26">
        <v>9279993918</v>
      </c>
      <c r="G495" s="26" t="s">
        <v>2101</v>
      </c>
      <c r="H495" s="2" t="s">
        <v>1144</v>
      </c>
      <c r="I495" s="2"/>
      <c r="J495" s="16" t="s">
        <v>1145</v>
      </c>
      <c r="K495" s="16"/>
      <c r="L495" s="2" t="s">
        <v>6</v>
      </c>
      <c r="M495" s="16" t="s">
        <v>958</v>
      </c>
      <c r="N495" s="16" t="s">
        <v>958</v>
      </c>
      <c r="O495" s="2">
        <v>7.55</v>
      </c>
      <c r="P495" s="2">
        <v>7.05</v>
      </c>
      <c r="Q495" s="16"/>
      <c r="R495" s="17"/>
      <c r="S495">
        <f t="shared" si="7"/>
        <v>7.3</v>
      </c>
    </row>
    <row r="496" spans="1:19" x14ac:dyDescent="0.3">
      <c r="A496" s="5">
        <v>495</v>
      </c>
      <c r="B496" s="2">
        <v>1323495</v>
      </c>
      <c r="C496" s="2" t="s">
        <v>485</v>
      </c>
      <c r="D496" s="21" t="s">
        <v>868</v>
      </c>
      <c r="E496" s="2" t="s">
        <v>1049</v>
      </c>
      <c r="F496" s="26">
        <v>9122150300</v>
      </c>
      <c r="G496" s="26" t="s">
        <v>2102</v>
      </c>
      <c r="H496" s="2" t="s">
        <v>1144</v>
      </c>
      <c r="I496" s="2"/>
      <c r="J496" s="16" t="s">
        <v>1146</v>
      </c>
      <c r="K496" s="16"/>
      <c r="L496" s="2" t="s">
        <v>8</v>
      </c>
      <c r="M496" s="16" t="s">
        <v>1630</v>
      </c>
      <c r="N496" s="16">
        <v>6.05</v>
      </c>
      <c r="O496" s="2" t="s">
        <v>2208</v>
      </c>
      <c r="P496" s="2">
        <v>6.16</v>
      </c>
      <c r="Q496" s="16"/>
      <c r="R496" s="17"/>
      <c r="S496">
        <f t="shared" si="7"/>
        <v>6.1050000000000004</v>
      </c>
    </row>
    <row r="497" spans="1:19" x14ac:dyDescent="0.3">
      <c r="A497" s="5">
        <v>496</v>
      </c>
      <c r="B497" s="2">
        <v>1323496</v>
      </c>
      <c r="C497" s="2" t="s">
        <v>486</v>
      </c>
      <c r="D497" s="21"/>
      <c r="E497" s="2"/>
      <c r="F497" s="26"/>
      <c r="G497" s="26"/>
      <c r="H497" s="2"/>
      <c r="I497" s="2"/>
      <c r="J497" s="16"/>
      <c r="K497" s="16"/>
      <c r="L497" s="2"/>
      <c r="M497" s="16"/>
      <c r="N497" s="16"/>
      <c r="O497" s="2"/>
      <c r="P497" s="2"/>
      <c r="Q497" s="16"/>
      <c r="R497" s="17"/>
      <c r="S497" t="e">
        <f t="shared" si="7"/>
        <v>#DIV/0!</v>
      </c>
    </row>
    <row r="498" spans="1:19" x14ac:dyDescent="0.3">
      <c r="A498" s="5">
        <v>497</v>
      </c>
      <c r="B498" s="2">
        <v>1323497</v>
      </c>
      <c r="C498" s="2" t="s">
        <v>487</v>
      </c>
      <c r="D498" s="21" t="s">
        <v>1571</v>
      </c>
      <c r="E498" s="2" t="s">
        <v>1409</v>
      </c>
      <c r="F498" s="26"/>
      <c r="G498" s="26"/>
      <c r="H498" s="2"/>
      <c r="I498" s="2"/>
      <c r="J498" s="16"/>
      <c r="K498" s="16"/>
      <c r="L498" s="2"/>
      <c r="M498" s="16" t="s">
        <v>1643</v>
      </c>
      <c r="N498" s="16"/>
      <c r="O498" s="2"/>
      <c r="P498" s="2"/>
      <c r="Q498" s="16"/>
      <c r="R498" s="17"/>
      <c r="S498" t="e">
        <f t="shared" si="7"/>
        <v>#DIV/0!</v>
      </c>
    </row>
    <row r="499" spans="1:19" x14ac:dyDescent="0.3">
      <c r="A499" s="5">
        <v>498</v>
      </c>
      <c r="B499" s="2">
        <v>1323498</v>
      </c>
      <c r="C499" s="2" t="s">
        <v>488</v>
      </c>
      <c r="D499" s="21" t="s">
        <v>869</v>
      </c>
      <c r="E499" s="2" t="s">
        <v>1048</v>
      </c>
      <c r="F499" s="26">
        <v>8538932685</v>
      </c>
      <c r="G499" s="26" t="s">
        <v>2103</v>
      </c>
      <c r="H499" s="2" t="s">
        <v>1144</v>
      </c>
      <c r="I499" s="2"/>
      <c r="J499" s="16" t="s">
        <v>1145</v>
      </c>
      <c r="K499" s="16"/>
      <c r="L499" s="2" t="s">
        <v>8</v>
      </c>
      <c r="M499" s="16">
        <v>6.75</v>
      </c>
      <c r="N499" s="16">
        <v>6.82</v>
      </c>
      <c r="O499" s="2">
        <v>7.05</v>
      </c>
      <c r="P499" s="2">
        <v>7.23</v>
      </c>
      <c r="Q499" s="16"/>
      <c r="R499" s="17"/>
      <c r="S499">
        <f t="shared" si="7"/>
        <v>6.9625000000000004</v>
      </c>
    </row>
    <row r="500" spans="1:19" x14ac:dyDescent="0.3">
      <c r="A500" s="5">
        <v>499</v>
      </c>
      <c r="B500" s="2">
        <v>1323499</v>
      </c>
      <c r="C500" s="2" t="s">
        <v>489</v>
      </c>
      <c r="D500" s="21" t="s">
        <v>870</v>
      </c>
      <c r="E500" s="2" t="s">
        <v>1047</v>
      </c>
      <c r="F500" s="26">
        <v>9155109016</v>
      </c>
      <c r="G500" s="26" t="s">
        <v>2104</v>
      </c>
      <c r="H500" s="2" t="s">
        <v>1144</v>
      </c>
      <c r="I500" s="2"/>
      <c r="J500" s="16" t="s">
        <v>1146</v>
      </c>
      <c r="K500" s="16"/>
      <c r="L500" s="2" t="s">
        <v>8</v>
      </c>
      <c r="M500" s="16">
        <v>6.45</v>
      </c>
      <c r="N500" s="16">
        <v>7.27</v>
      </c>
      <c r="O500" s="2">
        <v>6.73</v>
      </c>
      <c r="P500" s="2">
        <v>7.41</v>
      </c>
      <c r="Q500" s="16"/>
      <c r="R500" s="17"/>
      <c r="S500">
        <f t="shared" si="7"/>
        <v>6.9649999999999999</v>
      </c>
    </row>
    <row r="501" spans="1:19" x14ac:dyDescent="0.3">
      <c r="A501" s="5">
        <v>500</v>
      </c>
      <c r="B501" s="2">
        <v>1323500</v>
      </c>
      <c r="C501" s="2" t="s">
        <v>490</v>
      </c>
      <c r="D501" s="2" t="s">
        <v>871</v>
      </c>
      <c r="E501" s="2" t="s">
        <v>1410</v>
      </c>
      <c r="F501" s="26">
        <v>8228050057</v>
      </c>
      <c r="G501" s="26" t="s">
        <v>2105</v>
      </c>
      <c r="H501" s="2" t="s">
        <v>1144</v>
      </c>
      <c r="I501" s="2"/>
      <c r="J501" s="16" t="s">
        <v>1145</v>
      </c>
      <c r="K501" s="16"/>
      <c r="L501" s="2" t="s">
        <v>8</v>
      </c>
      <c r="M501" s="16">
        <v>5.89</v>
      </c>
      <c r="N501" s="16" t="s">
        <v>1676</v>
      </c>
      <c r="O501" s="2">
        <v>6.82</v>
      </c>
      <c r="P501" s="2">
        <v>6.09</v>
      </c>
      <c r="Q501" s="16"/>
      <c r="R501" s="17"/>
      <c r="S501">
        <f t="shared" si="7"/>
        <v>6.2666666666666666</v>
      </c>
    </row>
    <row r="502" spans="1:19" x14ac:dyDescent="0.3">
      <c r="A502" s="5">
        <v>501</v>
      </c>
      <c r="B502" s="2">
        <v>1323501</v>
      </c>
      <c r="C502" s="2" t="s">
        <v>940</v>
      </c>
      <c r="D502" s="2"/>
      <c r="E502" s="2"/>
      <c r="F502" s="26"/>
      <c r="G502" s="26"/>
      <c r="H502" s="2"/>
      <c r="I502" s="2"/>
      <c r="J502" s="16"/>
      <c r="K502" s="16"/>
      <c r="L502" s="2"/>
      <c r="M502" s="16"/>
      <c r="N502" s="16"/>
      <c r="O502" s="2"/>
      <c r="P502" s="2"/>
      <c r="Q502" s="16"/>
      <c r="R502" s="17"/>
      <c r="S502" t="e">
        <f t="shared" si="7"/>
        <v>#DIV/0!</v>
      </c>
    </row>
    <row r="503" spans="1:19" x14ac:dyDescent="0.3">
      <c r="A503" s="5">
        <v>502</v>
      </c>
      <c r="B503" s="2">
        <v>1323502</v>
      </c>
      <c r="C503" s="2" t="s">
        <v>491</v>
      </c>
      <c r="D503" s="2" t="s">
        <v>872</v>
      </c>
      <c r="E503" s="2" t="s">
        <v>1046</v>
      </c>
      <c r="F503" s="26">
        <v>9863002078</v>
      </c>
      <c r="G503" s="26" t="s">
        <v>2106</v>
      </c>
      <c r="H503" s="2" t="s">
        <v>1144</v>
      </c>
      <c r="I503" s="2"/>
      <c r="J503" s="16" t="s">
        <v>1145</v>
      </c>
      <c r="K503" s="16"/>
      <c r="L503" s="2" t="s">
        <v>6</v>
      </c>
      <c r="M503" s="16">
        <v>7.18</v>
      </c>
      <c r="N503" s="16">
        <v>6.55</v>
      </c>
      <c r="O503" s="2">
        <v>7.77</v>
      </c>
      <c r="P503" s="2">
        <v>7.86</v>
      </c>
      <c r="Q503" s="16"/>
      <c r="R503" s="17"/>
      <c r="S503">
        <f t="shared" si="7"/>
        <v>7.34</v>
      </c>
    </row>
    <row r="504" spans="1:19" x14ac:dyDescent="0.3">
      <c r="A504" s="5">
        <v>503</v>
      </c>
      <c r="B504" s="2">
        <v>1323503</v>
      </c>
      <c r="C504" s="2" t="s">
        <v>492</v>
      </c>
      <c r="D504" s="21" t="s">
        <v>722</v>
      </c>
      <c r="E504" s="2" t="s">
        <v>1045</v>
      </c>
      <c r="F504" s="26">
        <v>9507168442</v>
      </c>
      <c r="G504" s="26" t="s">
        <v>2107</v>
      </c>
      <c r="H504" s="2" t="s">
        <v>1144</v>
      </c>
      <c r="I504" s="2"/>
      <c r="J504" s="16" t="s">
        <v>1145</v>
      </c>
      <c r="K504" s="16"/>
      <c r="L504" s="2" t="s">
        <v>9</v>
      </c>
      <c r="M504" s="16" t="s">
        <v>1637</v>
      </c>
      <c r="N504" s="16" t="s">
        <v>1693</v>
      </c>
      <c r="O504" s="2">
        <v>6.32</v>
      </c>
      <c r="P504" s="2" t="s">
        <v>2286</v>
      </c>
      <c r="Q504" s="16"/>
      <c r="R504" s="17"/>
      <c r="S504">
        <f t="shared" si="7"/>
        <v>6.32</v>
      </c>
    </row>
    <row r="505" spans="1:19" x14ac:dyDescent="0.3">
      <c r="A505" s="5">
        <v>504</v>
      </c>
      <c r="B505" s="2">
        <v>1323504</v>
      </c>
      <c r="C505" s="2" t="s">
        <v>493</v>
      </c>
      <c r="D505" s="21" t="s">
        <v>828</v>
      </c>
      <c r="E505" s="2" t="s">
        <v>1044</v>
      </c>
      <c r="F505" s="26">
        <v>9608869655</v>
      </c>
      <c r="G505" s="26" t="s">
        <v>2108</v>
      </c>
      <c r="H505" s="2" t="s">
        <v>1144</v>
      </c>
      <c r="I505" s="2"/>
      <c r="J505" s="16" t="s">
        <v>1145</v>
      </c>
      <c r="K505" s="16"/>
      <c r="L505" s="2" t="s">
        <v>9</v>
      </c>
      <c r="M505" s="16">
        <v>7.05</v>
      </c>
      <c r="N505" s="16">
        <v>7.09</v>
      </c>
      <c r="O505" s="2">
        <v>7.32</v>
      </c>
      <c r="P505" s="2">
        <v>6.7</v>
      </c>
      <c r="Q505" s="16"/>
      <c r="R505" s="17"/>
      <c r="S505">
        <f t="shared" si="7"/>
        <v>7.04</v>
      </c>
    </row>
    <row r="506" spans="1:19" x14ac:dyDescent="0.3">
      <c r="A506" s="5">
        <v>505</v>
      </c>
      <c r="B506" s="2">
        <v>1323505</v>
      </c>
      <c r="C506" s="2" t="s">
        <v>494</v>
      </c>
      <c r="D506" s="21" t="s">
        <v>873</v>
      </c>
      <c r="E506" s="2" t="s">
        <v>1043</v>
      </c>
      <c r="F506" s="26">
        <v>9135028219</v>
      </c>
      <c r="G506" s="26" t="s">
        <v>2109</v>
      </c>
      <c r="H506" s="2" t="s">
        <v>1144</v>
      </c>
      <c r="I506" s="2"/>
      <c r="J506" s="16" t="s">
        <v>1145</v>
      </c>
      <c r="K506" s="16"/>
      <c r="L506" s="2" t="s">
        <v>8</v>
      </c>
      <c r="M506" s="16" t="s">
        <v>1652</v>
      </c>
      <c r="N506" s="16" t="s">
        <v>1664</v>
      </c>
      <c r="O506" s="2">
        <v>6.14</v>
      </c>
      <c r="P506" s="2" t="s">
        <v>2272</v>
      </c>
      <c r="Q506" s="16"/>
      <c r="R506" s="17"/>
      <c r="S506">
        <f t="shared" si="7"/>
        <v>6.14</v>
      </c>
    </row>
    <row r="507" spans="1:19" x14ac:dyDescent="0.3">
      <c r="A507" s="5">
        <v>506</v>
      </c>
      <c r="B507" s="2">
        <v>1323506</v>
      </c>
      <c r="C507" s="2" t="s">
        <v>495</v>
      </c>
      <c r="D507" s="21" t="s">
        <v>817</v>
      </c>
      <c r="E507" s="2" t="s">
        <v>1042</v>
      </c>
      <c r="F507" s="26">
        <v>6204585280</v>
      </c>
      <c r="G507" s="26" t="s">
        <v>2110</v>
      </c>
      <c r="H507" s="2" t="s">
        <v>1144</v>
      </c>
      <c r="I507" s="2"/>
      <c r="J507" s="16" t="s">
        <v>1145</v>
      </c>
      <c r="K507" s="16"/>
      <c r="L507" s="2" t="s">
        <v>6</v>
      </c>
      <c r="M507" s="16" t="s">
        <v>1625</v>
      </c>
      <c r="N507" s="16">
        <v>6.32</v>
      </c>
      <c r="O507" s="2">
        <v>6.73</v>
      </c>
      <c r="P507" s="2">
        <v>6.41</v>
      </c>
      <c r="Q507" s="16"/>
      <c r="R507" s="17"/>
      <c r="S507">
        <f t="shared" si="7"/>
        <v>6.4866666666666672</v>
      </c>
    </row>
    <row r="508" spans="1:19" x14ac:dyDescent="0.3">
      <c r="A508" s="5">
        <v>507</v>
      </c>
      <c r="B508" s="2">
        <v>1323507</v>
      </c>
      <c r="C508" s="2" t="s">
        <v>496</v>
      </c>
      <c r="D508" s="21" t="s">
        <v>874</v>
      </c>
      <c r="E508" s="2" t="s">
        <v>1041</v>
      </c>
      <c r="F508" s="26">
        <v>6203664486</v>
      </c>
      <c r="G508" s="26" t="s">
        <v>2111</v>
      </c>
      <c r="H508" s="2" t="s">
        <v>1144</v>
      </c>
      <c r="I508" s="2"/>
      <c r="J508" s="16" t="s">
        <v>1146</v>
      </c>
      <c r="K508" s="16"/>
      <c r="L508" s="2" t="s">
        <v>9</v>
      </c>
      <c r="M508" s="16" t="s">
        <v>1637</v>
      </c>
      <c r="N508" s="16">
        <v>6.95</v>
      </c>
      <c r="O508" s="2" t="s">
        <v>2208</v>
      </c>
      <c r="P508" s="2">
        <v>8.41</v>
      </c>
      <c r="Q508" s="16"/>
      <c r="R508" s="17"/>
      <c r="S508">
        <f t="shared" si="7"/>
        <v>7.68</v>
      </c>
    </row>
    <row r="509" spans="1:19" x14ac:dyDescent="0.3">
      <c r="A509" s="5">
        <v>508</v>
      </c>
      <c r="B509" s="2">
        <v>1323508</v>
      </c>
      <c r="C509" s="2" t="s">
        <v>497</v>
      </c>
      <c r="D509" s="2" t="s">
        <v>875</v>
      </c>
      <c r="E509" s="2" t="s">
        <v>1040</v>
      </c>
      <c r="F509" s="26">
        <v>8708382951</v>
      </c>
      <c r="G509" s="26" t="s">
        <v>2112</v>
      </c>
      <c r="H509" s="2" t="s">
        <v>1141</v>
      </c>
      <c r="I509" s="2"/>
      <c r="J509" s="16"/>
      <c r="K509" s="16"/>
      <c r="L509" s="2" t="s">
        <v>927</v>
      </c>
      <c r="M509" s="16">
        <v>6.39</v>
      </c>
      <c r="N509" s="16">
        <v>6.8</v>
      </c>
      <c r="O509" s="2">
        <v>6.32</v>
      </c>
      <c r="P509" s="2">
        <v>6.59</v>
      </c>
      <c r="Q509" s="16"/>
      <c r="R509" s="17"/>
      <c r="S509">
        <f t="shared" si="7"/>
        <v>6.5249999999999995</v>
      </c>
    </row>
    <row r="510" spans="1:19" x14ac:dyDescent="0.3">
      <c r="A510" s="5">
        <v>509</v>
      </c>
      <c r="B510" s="2">
        <v>1323509</v>
      </c>
      <c r="C510" s="2" t="s">
        <v>498</v>
      </c>
      <c r="D510" s="21" t="s">
        <v>876</v>
      </c>
      <c r="E510" s="2" t="s">
        <v>1039</v>
      </c>
      <c r="F510" s="26">
        <v>7258876546</v>
      </c>
      <c r="G510" s="26" t="s">
        <v>2113</v>
      </c>
      <c r="H510" s="2" t="s">
        <v>1144</v>
      </c>
      <c r="I510" s="2"/>
      <c r="J510" s="16" t="s">
        <v>1145</v>
      </c>
      <c r="K510" s="16"/>
      <c r="L510" s="2" t="s">
        <v>9</v>
      </c>
      <c r="M510" s="16" t="s">
        <v>1637</v>
      </c>
      <c r="N510" s="16">
        <v>7.11</v>
      </c>
      <c r="O510" s="2">
        <v>6.66</v>
      </c>
      <c r="P510" s="2">
        <v>7.32</v>
      </c>
      <c r="Q510" s="16"/>
      <c r="R510" s="17"/>
      <c r="S510">
        <f t="shared" si="7"/>
        <v>7.03</v>
      </c>
    </row>
    <row r="511" spans="1:19" x14ac:dyDescent="0.3">
      <c r="A511" s="5">
        <v>510</v>
      </c>
      <c r="B511" s="2">
        <v>1323510</v>
      </c>
      <c r="C511" s="2" t="s">
        <v>499</v>
      </c>
      <c r="D511" s="21" t="s">
        <v>877</v>
      </c>
      <c r="E511" s="2" t="s">
        <v>1038</v>
      </c>
      <c r="F511" s="26">
        <v>9162460464</v>
      </c>
      <c r="G511" s="26" t="s">
        <v>2114</v>
      </c>
      <c r="H511" s="2" t="s">
        <v>1144</v>
      </c>
      <c r="I511" s="2"/>
      <c r="J511" s="16" t="s">
        <v>1145</v>
      </c>
      <c r="K511" s="16"/>
      <c r="L511" s="2" t="s">
        <v>9</v>
      </c>
      <c r="M511" s="16" t="s">
        <v>1653</v>
      </c>
      <c r="N511" s="16">
        <v>6.27</v>
      </c>
      <c r="O511" s="2">
        <v>7.18</v>
      </c>
      <c r="P511" s="2" t="s">
        <v>2279</v>
      </c>
      <c r="Q511" s="16"/>
      <c r="R511" s="17"/>
      <c r="S511">
        <f t="shared" si="7"/>
        <v>6.7249999999999996</v>
      </c>
    </row>
    <row r="512" spans="1:19" x14ac:dyDescent="0.3">
      <c r="A512" s="5">
        <v>511</v>
      </c>
      <c r="B512" s="2">
        <v>1323511</v>
      </c>
      <c r="C512" s="2" t="s">
        <v>500</v>
      </c>
      <c r="D512" s="15" t="s">
        <v>878</v>
      </c>
      <c r="E512" s="2" t="s">
        <v>1037</v>
      </c>
      <c r="F512" s="26">
        <v>6203439558</v>
      </c>
      <c r="G512" s="26" t="s">
        <v>2115</v>
      </c>
      <c r="H512" s="2" t="s">
        <v>1144</v>
      </c>
      <c r="I512" s="2"/>
      <c r="J512" s="16" t="s">
        <v>1146</v>
      </c>
      <c r="K512" s="16"/>
      <c r="L512" s="2" t="s">
        <v>9</v>
      </c>
      <c r="M512" s="16">
        <v>6.09</v>
      </c>
      <c r="N512" s="16">
        <v>7.5</v>
      </c>
      <c r="O512" s="2">
        <v>7.09</v>
      </c>
      <c r="P512" s="2" t="s">
        <v>2293</v>
      </c>
      <c r="Q512" s="16"/>
      <c r="R512" s="17"/>
      <c r="S512">
        <f t="shared" si="7"/>
        <v>6.8933333333333335</v>
      </c>
    </row>
    <row r="513" spans="1:19" x14ac:dyDescent="0.3">
      <c r="A513" s="5">
        <v>512</v>
      </c>
      <c r="B513" s="2">
        <v>1323512</v>
      </c>
      <c r="C513" s="2" t="s">
        <v>501</v>
      </c>
      <c r="D513" s="21"/>
      <c r="E513" s="2"/>
      <c r="F513" s="26"/>
      <c r="G513" s="26"/>
      <c r="H513" s="2"/>
      <c r="I513" s="2"/>
      <c r="J513" s="16"/>
      <c r="K513" s="16"/>
      <c r="L513" s="2"/>
      <c r="M513" s="16"/>
      <c r="N513" s="16"/>
      <c r="O513" s="2"/>
      <c r="P513" s="2"/>
      <c r="Q513" s="16"/>
      <c r="R513" s="17"/>
      <c r="S513" t="e">
        <f t="shared" si="7"/>
        <v>#DIV/0!</v>
      </c>
    </row>
    <row r="514" spans="1:19" x14ac:dyDescent="0.3">
      <c r="A514" s="5">
        <v>513</v>
      </c>
      <c r="B514" s="2">
        <v>1323513</v>
      </c>
      <c r="C514" s="2" t="s">
        <v>502</v>
      </c>
      <c r="D514" s="15" t="s">
        <v>879</v>
      </c>
      <c r="E514" s="2" t="s">
        <v>1411</v>
      </c>
      <c r="F514" s="26"/>
      <c r="G514" s="26"/>
      <c r="H514" s="2" t="s">
        <v>1141</v>
      </c>
      <c r="I514" s="2"/>
      <c r="J514" s="16"/>
      <c r="K514" s="16"/>
      <c r="L514" s="2" t="s">
        <v>9</v>
      </c>
      <c r="M514" s="16" t="s">
        <v>1625</v>
      </c>
      <c r="N514" s="16" t="s">
        <v>1694</v>
      </c>
      <c r="O514" s="2"/>
      <c r="P514" s="2"/>
      <c r="Q514" s="16"/>
      <c r="R514" s="17"/>
      <c r="S514" t="e">
        <f t="shared" ref="S514:S577" si="8">AVERAGE(M514:P514)</f>
        <v>#DIV/0!</v>
      </c>
    </row>
    <row r="515" spans="1:19" x14ac:dyDescent="0.3">
      <c r="A515" s="5">
        <v>514</v>
      </c>
      <c r="B515" s="2">
        <v>1323514</v>
      </c>
      <c r="C515" s="2" t="s">
        <v>503</v>
      </c>
      <c r="D515" s="15" t="s">
        <v>880</v>
      </c>
      <c r="E515" s="2" t="s">
        <v>1036</v>
      </c>
      <c r="F515" s="26">
        <v>7091252472</v>
      </c>
      <c r="G515" s="26" t="s">
        <v>2116</v>
      </c>
      <c r="H515" s="2" t="s">
        <v>1144</v>
      </c>
      <c r="I515" s="2"/>
      <c r="J515" s="16" t="s">
        <v>1146</v>
      </c>
      <c r="K515" s="16"/>
      <c r="L515" s="2" t="s">
        <v>9</v>
      </c>
      <c r="M515" s="16" t="s">
        <v>1654</v>
      </c>
      <c r="N515" s="16">
        <v>6.55</v>
      </c>
      <c r="O515" s="2">
        <v>6.5</v>
      </c>
      <c r="P515" s="2">
        <v>6.2</v>
      </c>
      <c r="Q515" s="16"/>
      <c r="R515" s="17"/>
      <c r="S515">
        <f t="shared" si="8"/>
        <v>6.416666666666667</v>
      </c>
    </row>
    <row r="516" spans="1:19" x14ac:dyDescent="0.3">
      <c r="A516" s="5">
        <v>515</v>
      </c>
      <c r="B516" s="2">
        <v>1323515</v>
      </c>
      <c r="C516" s="2" t="s">
        <v>504</v>
      </c>
      <c r="D516" s="21" t="s">
        <v>881</v>
      </c>
      <c r="E516" s="2" t="s">
        <v>1035</v>
      </c>
      <c r="F516" s="26">
        <v>9570124597</v>
      </c>
      <c r="G516" s="26" t="s">
        <v>2117</v>
      </c>
      <c r="H516" s="2" t="s">
        <v>1144</v>
      </c>
      <c r="I516" s="2"/>
      <c r="J516" s="16"/>
      <c r="K516" s="16"/>
      <c r="L516" s="2" t="s">
        <v>6</v>
      </c>
      <c r="M516" s="16" t="s">
        <v>1630</v>
      </c>
      <c r="N516" s="16">
        <v>7</v>
      </c>
      <c r="O516" s="2">
        <v>6.3</v>
      </c>
      <c r="P516" s="2" t="s">
        <v>2272</v>
      </c>
      <c r="Q516" s="16"/>
      <c r="R516" s="17"/>
      <c r="S516">
        <f t="shared" si="8"/>
        <v>6.65</v>
      </c>
    </row>
    <row r="517" spans="1:19" x14ac:dyDescent="0.3">
      <c r="A517" s="5">
        <v>516</v>
      </c>
      <c r="B517" s="2">
        <v>1323516</v>
      </c>
      <c r="C517" s="2" t="s">
        <v>505</v>
      </c>
      <c r="D517" s="21" t="s">
        <v>882</v>
      </c>
      <c r="E517" s="2" t="s">
        <v>1034</v>
      </c>
      <c r="F517" s="26">
        <v>7634878755</v>
      </c>
      <c r="G517" s="26" t="s">
        <v>2118</v>
      </c>
      <c r="H517" s="2" t="s">
        <v>1144</v>
      </c>
      <c r="I517" s="2"/>
      <c r="J517" s="16" t="s">
        <v>1145</v>
      </c>
      <c r="K517" s="16"/>
      <c r="L517" s="2" t="s">
        <v>8</v>
      </c>
      <c r="M517" s="16">
        <v>7.09</v>
      </c>
      <c r="N517" s="16">
        <v>7.91</v>
      </c>
      <c r="O517" s="2">
        <v>7.86</v>
      </c>
      <c r="P517" s="2">
        <v>7.02</v>
      </c>
      <c r="Q517" s="16"/>
      <c r="R517" s="17"/>
      <c r="S517">
        <f t="shared" si="8"/>
        <v>7.47</v>
      </c>
    </row>
    <row r="518" spans="1:19" x14ac:dyDescent="0.3">
      <c r="A518" s="5">
        <v>517</v>
      </c>
      <c r="B518" s="2">
        <v>1323517</v>
      </c>
      <c r="C518" s="2" t="s">
        <v>506</v>
      </c>
      <c r="D518" s="15" t="s">
        <v>883</v>
      </c>
      <c r="E518" s="2" t="s">
        <v>1033</v>
      </c>
      <c r="F518" s="26">
        <v>7856908716</v>
      </c>
      <c r="G518" s="26" t="s">
        <v>2119</v>
      </c>
      <c r="H518" s="2" t="s">
        <v>1144</v>
      </c>
      <c r="I518" s="2"/>
      <c r="J518" s="16" t="s">
        <v>1145</v>
      </c>
      <c r="K518" s="16"/>
      <c r="L518" s="2" t="s">
        <v>9</v>
      </c>
      <c r="M518" s="16">
        <v>7.45</v>
      </c>
      <c r="N518" s="16">
        <v>8.73</v>
      </c>
      <c r="O518" s="2">
        <v>8.64</v>
      </c>
      <c r="P518" s="2">
        <v>8.18</v>
      </c>
      <c r="Q518" s="16"/>
      <c r="R518" s="17"/>
      <c r="S518">
        <f t="shared" si="8"/>
        <v>8.25</v>
      </c>
    </row>
    <row r="519" spans="1:19" x14ac:dyDescent="0.3">
      <c r="A519" s="5">
        <v>518</v>
      </c>
      <c r="B519" s="2">
        <v>1323518</v>
      </c>
      <c r="C519" s="2" t="s">
        <v>507</v>
      </c>
      <c r="D519" s="15" t="s">
        <v>884</v>
      </c>
      <c r="E519" s="2" t="s">
        <v>826</v>
      </c>
      <c r="F519" s="26">
        <v>9508886867</v>
      </c>
      <c r="G519" s="26" t="s">
        <v>2120</v>
      </c>
      <c r="H519" s="2" t="s">
        <v>1144</v>
      </c>
      <c r="I519" s="2"/>
      <c r="J519" s="16" t="s">
        <v>1145</v>
      </c>
      <c r="K519" s="16"/>
      <c r="L519" s="2" t="s">
        <v>9</v>
      </c>
      <c r="M519" s="16">
        <v>7.27</v>
      </c>
      <c r="N519" s="16">
        <v>8.77</v>
      </c>
      <c r="O519" s="2">
        <v>8.14</v>
      </c>
      <c r="P519" s="2" t="s">
        <v>2279</v>
      </c>
      <c r="Q519" s="16"/>
      <c r="R519" s="17"/>
      <c r="S519">
        <f t="shared" si="8"/>
        <v>8.06</v>
      </c>
    </row>
    <row r="520" spans="1:19" x14ac:dyDescent="0.3">
      <c r="A520" s="5">
        <v>519</v>
      </c>
      <c r="B520" s="2">
        <v>1323519</v>
      </c>
      <c r="C520" s="2" t="s">
        <v>508</v>
      </c>
      <c r="D520" s="21" t="s">
        <v>885</v>
      </c>
      <c r="E520" s="2" t="s">
        <v>1032</v>
      </c>
      <c r="F520" s="26">
        <v>9341596138</v>
      </c>
      <c r="G520" s="26" t="s">
        <v>2121</v>
      </c>
      <c r="H520" s="2" t="s">
        <v>1144</v>
      </c>
      <c r="I520" s="2"/>
      <c r="J520" s="16" t="s">
        <v>1146</v>
      </c>
      <c r="K520" s="16"/>
      <c r="L520" s="2" t="s">
        <v>9</v>
      </c>
      <c r="M520" s="16">
        <v>5.86</v>
      </c>
      <c r="N520" s="16">
        <v>6.7</v>
      </c>
      <c r="O520" s="2" t="s">
        <v>2218</v>
      </c>
      <c r="P520" s="2" t="s">
        <v>2279</v>
      </c>
      <c r="Q520" s="16"/>
      <c r="R520" s="17"/>
      <c r="S520">
        <f t="shared" si="8"/>
        <v>6.28</v>
      </c>
    </row>
    <row r="521" spans="1:19" x14ac:dyDescent="0.3">
      <c r="A521" s="5">
        <v>520</v>
      </c>
      <c r="B521" s="2">
        <v>1323520</v>
      </c>
      <c r="C521" s="2" t="s">
        <v>509</v>
      </c>
      <c r="D521" s="21" t="s">
        <v>886</v>
      </c>
      <c r="E521" s="2" t="s">
        <v>1031</v>
      </c>
      <c r="F521" s="26">
        <v>7371067176</v>
      </c>
      <c r="G521" s="26" t="s">
        <v>2122</v>
      </c>
      <c r="H521" s="2" t="s">
        <v>1144</v>
      </c>
      <c r="I521" s="2"/>
      <c r="J521" s="16" t="s">
        <v>1145</v>
      </c>
      <c r="K521" s="16"/>
      <c r="L521" s="2" t="s">
        <v>6</v>
      </c>
      <c r="M521" s="16" t="s">
        <v>1630</v>
      </c>
      <c r="N521" s="16" t="s">
        <v>1691</v>
      </c>
      <c r="O521" s="2">
        <v>6.8</v>
      </c>
      <c r="P521" s="2" t="s">
        <v>2283</v>
      </c>
      <c r="Q521" s="16"/>
      <c r="R521" s="17"/>
      <c r="S521">
        <f t="shared" si="8"/>
        <v>6.8</v>
      </c>
    </row>
    <row r="522" spans="1:19" x14ac:dyDescent="0.3">
      <c r="A522" s="5">
        <v>521</v>
      </c>
      <c r="B522" s="2">
        <v>1323521</v>
      </c>
      <c r="C522" s="2" t="s">
        <v>510</v>
      </c>
      <c r="D522" s="18" t="s">
        <v>887</v>
      </c>
      <c r="E522" s="2" t="s">
        <v>1030</v>
      </c>
      <c r="F522" s="26">
        <v>9546091302</v>
      </c>
      <c r="G522" s="26" t="s">
        <v>2123</v>
      </c>
      <c r="H522" s="2" t="s">
        <v>1144</v>
      </c>
      <c r="I522" s="2"/>
      <c r="J522" s="16" t="s">
        <v>1145</v>
      </c>
      <c r="K522" s="16"/>
      <c r="L522" s="2" t="s">
        <v>8</v>
      </c>
      <c r="M522" s="16">
        <v>5.59</v>
      </c>
      <c r="N522" s="16">
        <v>6.23</v>
      </c>
      <c r="O522" s="2">
        <v>6.91</v>
      </c>
      <c r="P522" s="2" t="s">
        <v>2279</v>
      </c>
      <c r="Q522" s="16"/>
      <c r="R522" s="17"/>
      <c r="S522">
        <f t="shared" si="8"/>
        <v>6.2433333333333332</v>
      </c>
    </row>
    <row r="523" spans="1:19" x14ac:dyDescent="0.3">
      <c r="A523" s="5">
        <v>522</v>
      </c>
      <c r="B523" s="2">
        <v>1323522</v>
      </c>
      <c r="C523" s="2" t="s">
        <v>511</v>
      </c>
      <c r="D523" s="21" t="s">
        <v>888</v>
      </c>
      <c r="E523" s="2" t="s">
        <v>1029</v>
      </c>
      <c r="F523" s="26">
        <v>7209870360</v>
      </c>
      <c r="G523" s="26" t="s">
        <v>2124</v>
      </c>
      <c r="H523" s="2" t="s">
        <v>1144</v>
      </c>
      <c r="I523" s="2"/>
      <c r="J523" s="16" t="s">
        <v>1146</v>
      </c>
      <c r="K523" s="16"/>
      <c r="L523" s="2" t="s">
        <v>9</v>
      </c>
      <c r="M523" s="16" t="s">
        <v>1625</v>
      </c>
      <c r="N523" s="16">
        <v>6.25</v>
      </c>
      <c r="O523" s="2">
        <v>6.18</v>
      </c>
      <c r="P523" s="2" t="s">
        <v>2283</v>
      </c>
      <c r="Q523" s="16"/>
      <c r="R523" s="17"/>
      <c r="S523">
        <f t="shared" si="8"/>
        <v>6.2149999999999999</v>
      </c>
    </row>
    <row r="524" spans="1:19" x14ac:dyDescent="0.3">
      <c r="A524" s="5">
        <v>523</v>
      </c>
      <c r="B524" s="2">
        <v>1323523</v>
      </c>
      <c r="C524" s="2" t="s">
        <v>512</v>
      </c>
      <c r="D524" s="15" t="s">
        <v>826</v>
      </c>
      <c r="E524" s="2" t="s">
        <v>1028</v>
      </c>
      <c r="F524" s="26">
        <v>9798642192</v>
      </c>
      <c r="G524" s="26" t="s">
        <v>2125</v>
      </c>
      <c r="H524" s="2" t="s">
        <v>1144</v>
      </c>
      <c r="I524" s="2"/>
      <c r="J524" s="16" t="s">
        <v>1145</v>
      </c>
      <c r="K524" s="16"/>
      <c r="L524" s="2" t="s">
        <v>9</v>
      </c>
      <c r="M524" s="16">
        <v>7</v>
      </c>
      <c r="N524" s="16">
        <v>8.09</v>
      </c>
      <c r="O524" s="2" t="s">
        <v>2218</v>
      </c>
      <c r="P524" s="2">
        <v>7.43</v>
      </c>
      <c r="Q524" s="16"/>
      <c r="R524" s="17"/>
      <c r="S524">
        <f t="shared" si="8"/>
        <v>7.5066666666666668</v>
      </c>
    </row>
    <row r="525" spans="1:19" x14ac:dyDescent="0.3">
      <c r="A525" s="5">
        <v>524</v>
      </c>
      <c r="B525" s="2">
        <v>1323524</v>
      </c>
      <c r="C525" s="2" t="s">
        <v>513</v>
      </c>
      <c r="D525" s="15" t="s">
        <v>889</v>
      </c>
      <c r="E525" s="2" t="s">
        <v>1027</v>
      </c>
      <c r="F525" s="26">
        <v>8539936156</v>
      </c>
      <c r="G525" s="26" t="s">
        <v>2126</v>
      </c>
      <c r="H525" s="2" t="s">
        <v>1144</v>
      </c>
      <c r="I525" s="2"/>
      <c r="J525" s="16" t="s">
        <v>1145</v>
      </c>
      <c r="K525" s="16"/>
      <c r="L525" s="2" t="s">
        <v>6</v>
      </c>
      <c r="M525" s="16" t="s">
        <v>1655</v>
      </c>
      <c r="N525" s="16">
        <v>6.68</v>
      </c>
      <c r="O525" s="2">
        <v>7.68</v>
      </c>
      <c r="P525" s="2" t="s">
        <v>2294</v>
      </c>
      <c r="Q525" s="16"/>
      <c r="R525" s="17"/>
      <c r="S525">
        <f t="shared" si="8"/>
        <v>7.18</v>
      </c>
    </row>
    <row r="526" spans="1:19" x14ac:dyDescent="0.3">
      <c r="A526" s="5">
        <v>525</v>
      </c>
      <c r="B526" s="2">
        <v>1323525</v>
      </c>
      <c r="C526" s="2" t="s">
        <v>514</v>
      </c>
      <c r="D526" s="21" t="s">
        <v>890</v>
      </c>
      <c r="E526" s="2" t="s">
        <v>1026</v>
      </c>
      <c r="F526" s="26">
        <v>6201789448</v>
      </c>
      <c r="G526" s="26" t="s">
        <v>2127</v>
      </c>
      <c r="H526" s="2" t="s">
        <v>1144</v>
      </c>
      <c r="I526" s="2"/>
      <c r="J526" s="16" t="s">
        <v>1145</v>
      </c>
      <c r="K526" s="16"/>
      <c r="L526" s="2" t="s">
        <v>8</v>
      </c>
      <c r="M526" s="16">
        <v>6.36</v>
      </c>
      <c r="N526" s="16">
        <v>7.32</v>
      </c>
      <c r="O526" s="2" t="s">
        <v>2218</v>
      </c>
      <c r="P526" s="2" t="s">
        <v>2279</v>
      </c>
      <c r="Q526" s="16"/>
      <c r="R526" s="17"/>
      <c r="S526">
        <f t="shared" si="8"/>
        <v>6.84</v>
      </c>
    </row>
    <row r="527" spans="1:19" x14ac:dyDescent="0.3">
      <c r="A527" s="5">
        <v>526</v>
      </c>
      <c r="B527" s="2">
        <v>1323526</v>
      </c>
      <c r="C527" s="2" t="s">
        <v>515</v>
      </c>
      <c r="D527" s="21" t="s">
        <v>889</v>
      </c>
      <c r="E527" s="2" t="s">
        <v>1025</v>
      </c>
      <c r="F527" s="26">
        <v>9430826033</v>
      </c>
      <c r="G527" s="26" t="s">
        <v>2128</v>
      </c>
      <c r="H527" s="2" t="s">
        <v>1144</v>
      </c>
      <c r="I527" s="2"/>
      <c r="J527" s="16"/>
      <c r="K527" s="16"/>
      <c r="L527" s="2" t="s">
        <v>9</v>
      </c>
      <c r="M527" s="16">
        <v>7.41</v>
      </c>
      <c r="N527" s="16">
        <v>8.36</v>
      </c>
      <c r="O527" s="2">
        <v>8.5500000000000007</v>
      </c>
      <c r="P527" s="2">
        <v>7.07</v>
      </c>
      <c r="Q527" s="16"/>
      <c r="R527" s="17"/>
      <c r="S527">
        <f t="shared" si="8"/>
        <v>7.8475000000000001</v>
      </c>
    </row>
    <row r="528" spans="1:19" x14ac:dyDescent="0.3">
      <c r="A528" s="5">
        <v>527</v>
      </c>
      <c r="B528" s="2">
        <v>1323527</v>
      </c>
      <c r="C528" s="2" t="s">
        <v>516</v>
      </c>
      <c r="D528" s="15" t="s">
        <v>891</v>
      </c>
      <c r="E528" s="2" t="s">
        <v>1024</v>
      </c>
      <c r="F528" s="26">
        <v>7061848227</v>
      </c>
      <c r="G528" s="26" t="s">
        <v>2129</v>
      </c>
      <c r="H528" s="2" t="s">
        <v>1144</v>
      </c>
      <c r="I528" s="2"/>
      <c r="J528" s="16" t="s">
        <v>1145</v>
      </c>
      <c r="K528" s="16"/>
      <c r="L528" s="2" t="s">
        <v>9</v>
      </c>
      <c r="M528" s="16">
        <v>7.18</v>
      </c>
      <c r="N528" s="16">
        <v>7.64</v>
      </c>
      <c r="O528" s="2">
        <v>8.41</v>
      </c>
      <c r="P528" s="2">
        <v>6.66</v>
      </c>
      <c r="Q528" s="16"/>
      <c r="R528" s="17"/>
      <c r="S528">
        <f t="shared" si="8"/>
        <v>7.4725000000000001</v>
      </c>
    </row>
    <row r="529" spans="1:19" x14ac:dyDescent="0.3">
      <c r="A529" s="5">
        <v>528</v>
      </c>
      <c r="B529" s="2">
        <v>1323528</v>
      </c>
      <c r="C529" s="2" t="s">
        <v>517</v>
      </c>
      <c r="D529" s="21" t="s">
        <v>892</v>
      </c>
      <c r="E529" s="2" t="s">
        <v>1023</v>
      </c>
      <c r="F529" s="26">
        <v>6297177725</v>
      </c>
      <c r="G529" s="26" t="s">
        <v>2130</v>
      </c>
      <c r="H529" s="2" t="s">
        <v>1144</v>
      </c>
      <c r="I529" s="2"/>
      <c r="J529" s="16" t="s">
        <v>1145</v>
      </c>
      <c r="K529" s="16"/>
      <c r="L529" s="2" t="s">
        <v>9</v>
      </c>
      <c r="M529" s="16">
        <v>7.5</v>
      </c>
      <c r="N529" s="16">
        <v>7.5</v>
      </c>
      <c r="O529" s="2">
        <v>8.09</v>
      </c>
      <c r="P529" s="2">
        <v>7.34</v>
      </c>
      <c r="Q529" s="16"/>
      <c r="R529" s="17"/>
      <c r="S529">
        <f t="shared" si="8"/>
        <v>7.6074999999999999</v>
      </c>
    </row>
    <row r="530" spans="1:19" x14ac:dyDescent="0.3">
      <c r="A530" s="5">
        <v>529</v>
      </c>
      <c r="B530" s="2">
        <v>1323529</v>
      </c>
      <c r="C530" s="2" t="s">
        <v>518</v>
      </c>
      <c r="D530" s="21" t="s">
        <v>1130</v>
      </c>
      <c r="E530" s="2" t="s">
        <v>1412</v>
      </c>
      <c r="F530" s="26"/>
      <c r="G530" s="26"/>
      <c r="H530" s="2" t="s">
        <v>1144</v>
      </c>
      <c r="I530" s="2"/>
      <c r="J530" s="16" t="s">
        <v>1145</v>
      </c>
      <c r="K530" s="16"/>
      <c r="L530" s="2"/>
      <c r="M530" s="16" t="s">
        <v>958</v>
      </c>
      <c r="N530" s="16"/>
      <c r="O530" s="2"/>
      <c r="P530" s="2"/>
      <c r="Q530" s="16"/>
      <c r="R530" s="17"/>
      <c r="S530" t="e">
        <f t="shared" si="8"/>
        <v>#DIV/0!</v>
      </c>
    </row>
    <row r="531" spans="1:19" x14ac:dyDescent="0.3">
      <c r="A531" s="5">
        <v>530</v>
      </c>
      <c r="B531" s="2">
        <v>1323530</v>
      </c>
      <c r="C531" s="2" t="s">
        <v>519</v>
      </c>
      <c r="D531" s="2" t="s">
        <v>1572</v>
      </c>
      <c r="E531" s="2" t="s">
        <v>1413</v>
      </c>
      <c r="F531" s="26"/>
      <c r="G531" s="26"/>
      <c r="H531" s="2"/>
      <c r="I531" s="2"/>
      <c r="J531" s="16"/>
      <c r="K531" s="16"/>
      <c r="L531" s="2"/>
      <c r="M531" s="16" t="s">
        <v>954</v>
      </c>
      <c r="N531" s="16"/>
      <c r="O531" s="2"/>
      <c r="P531" s="2"/>
      <c r="Q531" s="16"/>
      <c r="R531" s="17"/>
      <c r="S531" t="e">
        <f t="shared" si="8"/>
        <v>#DIV/0!</v>
      </c>
    </row>
    <row r="532" spans="1:19" x14ac:dyDescent="0.3">
      <c r="A532" s="5">
        <v>531</v>
      </c>
      <c r="B532" s="2">
        <v>1323531</v>
      </c>
      <c r="C532" s="2" t="s">
        <v>520</v>
      </c>
      <c r="D532" s="2" t="s">
        <v>1573</v>
      </c>
      <c r="E532" s="2" t="s">
        <v>1022</v>
      </c>
      <c r="F532" s="26">
        <v>8168908950</v>
      </c>
      <c r="G532" s="26" t="s">
        <v>2131</v>
      </c>
      <c r="H532" s="2" t="s">
        <v>1139</v>
      </c>
      <c r="I532" s="2"/>
      <c r="J532" s="16" t="s">
        <v>1146</v>
      </c>
      <c r="K532" s="16"/>
      <c r="L532" s="2" t="s">
        <v>9</v>
      </c>
      <c r="M532" s="16">
        <v>6.59</v>
      </c>
      <c r="N532" s="16">
        <v>7.57</v>
      </c>
      <c r="O532" s="2">
        <v>8.23</v>
      </c>
      <c r="P532" s="2">
        <v>7.41</v>
      </c>
      <c r="Q532" s="16"/>
      <c r="R532" s="17"/>
      <c r="S532">
        <f t="shared" si="8"/>
        <v>7.45</v>
      </c>
    </row>
    <row r="533" spans="1:19" x14ac:dyDescent="0.3">
      <c r="A533" s="5">
        <v>532</v>
      </c>
      <c r="B533" s="2">
        <v>1323532</v>
      </c>
      <c r="C533" s="2" t="s">
        <v>521</v>
      </c>
      <c r="D533" s="2" t="s">
        <v>893</v>
      </c>
      <c r="E533" s="2" t="s">
        <v>1414</v>
      </c>
      <c r="F533" s="26">
        <v>8084032300</v>
      </c>
      <c r="G533" s="26" t="s">
        <v>2132</v>
      </c>
      <c r="H533" s="2" t="s">
        <v>1144</v>
      </c>
      <c r="I533" s="2"/>
      <c r="J533" s="16" t="s">
        <v>1145</v>
      </c>
      <c r="K533" s="16"/>
      <c r="L533" s="2" t="s">
        <v>6</v>
      </c>
      <c r="M533" s="16">
        <v>6.55</v>
      </c>
      <c r="N533" s="16" t="s">
        <v>1682</v>
      </c>
      <c r="O533" s="2">
        <v>7.09</v>
      </c>
      <c r="P533" s="2">
        <v>6.77</v>
      </c>
      <c r="Q533" s="16"/>
      <c r="R533" s="17"/>
      <c r="S533">
        <f t="shared" si="8"/>
        <v>6.8033333333333337</v>
      </c>
    </row>
    <row r="534" spans="1:19" x14ac:dyDescent="0.3">
      <c r="A534" s="5">
        <v>533</v>
      </c>
      <c r="B534" s="2">
        <v>1323533</v>
      </c>
      <c r="C534" s="2" t="s">
        <v>522</v>
      </c>
      <c r="D534" s="2" t="s">
        <v>894</v>
      </c>
      <c r="E534" s="2" t="s">
        <v>1021</v>
      </c>
      <c r="F534" s="26">
        <v>9693437352</v>
      </c>
      <c r="G534" s="26" t="s">
        <v>2133</v>
      </c>
      <c r="H534" s="2" t="s">
        <v>1144</v>
      </c>
      <c r="I534" s="2"/>
      <c r="J534" s="16" t="s">
        <v>1145</v>
      </c>
      <c r="K534" s="16"/>
      <c r="L534" s="2" t="s">
        <v>9</v>
      </c>
      <c r="M534" s="16">
        <v>6</v>
      </c>
      <c r="N534" s="16">
        <v>7.05</v>
      </c>
      <c r="O534" s="2" t="s">
        <v>2218</v>
      </c>
      <c r="P534" s="2" t="s">
        <v>2279</v>
      </c>
      <c r="Q534" s="16"/>
      <c r="R534" s="17"/>
      <c r="S534">
        <f t="shared" si="8"/>
        <v>6.5250000000000004</v>
      </c>
    </row>
    <row r="535" spans="1:19" x14ac:dyDescent="0.3">
      <c r="A535" s="5">
        <v>534</v>
      </c>
      <c r="B535" s="2">
        <v>1323534</v>
      </c>
      <c r="C535" s="2" t="s">
        <v>523</v>
      </c>
      <c r="D535" s="15" t="s">
        <v>895</v>
      </c>
      <c r="E535" s="2" t="s">
        <v>1020</v>
      </c>
      <c r="F535" s="26">
        <v>7296005904</v>
      </c>
      <c r="G535" s="26" t="s">
        <v>2134</v>
      </c>
      <c r="H535" s="2" t="s">
        <v>1144</v>
      </c>
      <c r="I535" s="2"/>
      <c r="J535" s="16" t="s">
        <v>1146</v>
      </c>
      <c r="K535" s="16"/>
      <c r="L535" s="2" t="s">
        <v>8</v>
      </c>
      <c r="M535" s="16" t="s">
        <v>1625</v>
      </c>
      <c r="N535" s="16">
        <v>6.59</v>
      </c>
      <c r="O535" s="2" t="s">
        <v>2218</v>
      </c>
      <c r="P535" s="2">
        <v>6.7</v>
      </c>
      <c r="Q535" s="16"/>
      <c r="R535" s="17"/>
      <c r="S535">
        <f t="shared" si="8"/>
        <v>6.6449999999999996</v>
      </c>
    </row>
    <row r="536" spans="1:19" x14ac:dyDescent="0.3">
      <c r="A536" s="5">
        <v>535</v>
      </c>
      <c r="B536" s="2">
        <v>1323535</v>
      </c>
      <c r="C536" s="2" t="s">
        <v>524</v>
      </c>
      <c r="D536" s="15" t="s">
        <v>896</v>
      </c>
      <c r="E536" s="2" t="s">
        <v>1019</v>
      </c>
      <c r="F536" s="26">
        <v>8292743446</v>
      </c>
      <c r="G536" s="26" t="s">
        <v>2135</v>
      </c>
      <c r="H536" s="2" t="s">
        <v>1144</v>
      </c>
      <c r="I536" s="2"/>
      <c r="J536" s="16" t="s">
        <v>1146</v>
      </c>
      <c r="K536" s="16"/>
      <c r="L536" s="2" t="s">
        <v>9</v>
      </c>
      <c r="M536" s="16">
        <v>7.11</v>
      </c>
      <c r="N536" s="16">
        <v>8.32</v>
      </c>
      <c r="O536" s="2">
        <v>9.14</v>
      </c>
      <c r="P536" s="2">
        <v>8.5500000000000007</v>
      </c>
      <c r="Q536" s="16"/>
      <c r="R536" s="17"/>
      <c r="S536">
        <f t="shared" si="8"/>
        <v>8.2800000000000011</v>
      </c>
    </row>
    <row r="537" spans="1:19" x14ac:dyDescent="0.3">
      <c r="A537" s="5">
        <v>536</v>
      </c>
      <c r="B537" s="2">
        <v>1323536</v>
      </c>
      <c r="C537" s="2" t="s">
        <v>525</v>
      </c>
      <c r="D537" s="2" t="s">
        <v>897</v>
      </c>
      <c r="E537" s="2" t="s">
        <v>1018</v>
      </c>
      <c r="F537" s="26">
        <v>9341158897</v>
      </c>
      <c r="G537" s="26" t="s">
        <v>2136</v>
      </c>
      <c r="H537" s="2" t="s">
        <v>1144</v>
      </c>
      <c r="I537" s="2"/>
      <c r="J537" s="16" t="s">
        <v>1146</v>
      </c>
      <c r="K537" s="16"/>
      <c r="L537" s="2" t="s">
        <v>8</v>
      </c>
      <c r="M537" s="16" t="s">
        <v>1630</v>
      </c>
      <c r="N537" s="16">
        <v>6.91</v>
      </c>
      <c r="O537" s="2" t="s">
        <v>2218</v>
      </c>
      <c r="P537" s="2">
        <v>7</v>
      </c>
      <c r="Q537" s="16"/>
      <c r="R537" s="17"/>
      <c r="S537">
        <f t="shared" si="8"/>
        <v>6.9550000000000001</v>
      </c>
    </row>
    <row r="538" spans="1:19" x14ac:dyDescent="0.3">
      <c r="A538" s="5">
        <v>537</v>
      </c>
      <c r="B538" s="2">
        <v>1323537</v>
      </c>
      <c r="C538" s="2" t="s">
        <v>526</v>
      </c>
      <c r="D538" s="15" t="s">
        <v>1574</v>
      </c>
      <c r="E538" s="2" t="s">
        <v>1017</v>
      </c>
      <c r="F538" s="26">
        <v>6006606057</v>
      </c>
      <c r="G538" s="26" t="s">
        <v>2137</v>
      </c>
      <c r="H538" s="2" t="s">
        <v>1139</v>
      </c>
      <c r="I538" s="2"/>
      <c r="J538" s="16" t="s">
        <v>1146</v>
      </c>
      <c r="K538" s="16"/>
      <c r="L538" s="2" t="s">
        <v>9</v>
      </c>
      <c r="M538" s="16">
        <v>6.75</v>
      </c>
      <c r="N538" s="16" t="s">
        <v>1676</v>
      </c>
      <c r="O538" s="2" t="s">
        <v>2208</v>
      </c>
      <c r="P538" s="2">
        <v>7</v>
      </c>
      <c r="Q538" s="16"/>
      <c r="R538" s="17"/>
      <c r="S538">
        <f t="shared" si="8"/>
        <v>6.875</v>
      </c>
    </row>
    <row r="539" spans="1:19" x14ac:dyDescent="0.3">
      <c r="A539" s="5">
        <v>538</v>
      </c>
      <c r="B539" s="2">
        <v>1323538</v>
      </c>
      <c r="C539" s="2" t="s">
        <v>527</v>
      </c>
      <c r="D539" s="2" t="s">
        <v>799</v>
      </c>
      <c r="E539" s="2" t="s">
        <v>1016</v>
      </c>
      <c r="F539" s="26">
        <v>7367880969</v>
      </c>
      <c r="G539" s="26" t="s">
        <v>2138</v>
      </c>
      <c r="H539" s="2" t="s">
        <v>1144</v>
      </c>
      <c r="I539" s="2"/>
      <c r="J539" s="16" t="s">
        <v>1146</v>
      </c>
      <c r="K539" s="16"/>
      <c r="L539" s="2" t="s">
        <v>9</v>
      </c>
      <c r="M539" s="16">
        <v>5.7</v>
      </c>
      <c r="N539" s="16">
        <v>6.64</v>
      </c>
      <c r="O539" s="2" t="s">
        <v>2218</v>
      </c>
      <c r="P539" s="2" t="s">
        <v>2250</v>
      </c>
      <c r="Q539" s="16"/>
      <c r="R539" s="17"/>
      <c r="S539">
        <f t="shared" si="8"/>
        <v>6.17</v>
      </c>
    </row>
    <row r="540" spans="1:19" x14ac:dyDescent="0.3">
      <c r="A540" s="5">
        <v>539</v>
      </c>
      <c r="B540" s="2">
        <v>1323539</v>
      </c>
      <c r="C540" s="2" t="s">
        <v>528</v>
      </c>
      <c r="D540" s="15" t="s">
        <v>789</v>
      </c>
      <c r="E540" s="2" t="s">
        <v>1015</v>
      </c>
      <c r="F540" s="26">
        <v>9060437828</v>
      </c>
      <c r="G540" s="26" t="s">
        <v>2139</v>
      </c>
      <c r="H540" s="2" t="s">
        <v>1144</v>
      </c>
      <c r="I540" s="2"/>
      <c r="J540" s="16" t="s">
        <v>1146</v>
      </c>
      <c r="K540" s="16"/>
      <c r="L540" s="2" t="s">
        <v>8</v>
      </c>
      <c r="M540" s="16">
        <v>5.82</v>
      </c>
      <c r="N540" s="16">
        <v>6.68</v>
      </c>
      <c r="O540" s="2">
        <v>7.68</v>
      </c>
      <c r="P540" s="2">
        <v>7.57</v>
      </c>
      <c r="Q540" s="16"/>
      <c r="R540" s="17"/>
      <c r="S540">
        <f t="shared" si="8"/>
        <v>6.9375</v>
      </c>
    </row>
    <row r="541" spans="1:19" x14ac:dyDescent="0.3">
      <c r="A541" s="5">
        <v>540</v>
      </c>
      <c r="B541" s="2">
        <v>1323540</v>
      </c>
      <c r="C541" s="2" t="s">
        <v>529</v>
      </c>
      <c r="D541" s="15" t="s">
        <v>898</v>
      </c>
      <c r="E541" s="2" t="s">
        <v>1014</v>
      </c>
      <c r="F541" s="26">
        <v>7667234759</v>
      </c>
      <c r="G541" s="26" t="s">
        <v>2140</v>
      </c>
      <c r="H541" s="2" t="s">
        <v>1144</v>
      </c>
      <c r="I541" s="2"/>
      <c r="J541" s="16"/>
      <c r="K541" s="16"/>
      <c r="L541" s="2" t="s">
        <v>8</v>
      </c>
      <c r="M541" s="16" t="s">
        <v>954</v>
      </c>
      <c r="N541" s="16" t="s">
        <v>1664</v>
      </c>
      <c r="O541" s="2" t="s">
        <v>2218</v>
      </c>
      <c r="P541" s="2" t="s">
        <v>2283</v>
      </c>
      <c r="Q541" s="16"/>
      <c r="R541" s="17"/>
      <c r="S541" t="e">
        <f t="shared" si="8"/>
        <v>#DIV/0!</v>
      </c>
    </row>
    <row r="542" spans="1:19" x14ac:dyDescent="0.3">
      <c r="A542" s="5">
        <v>541</v>
      </c>
      <c r="B542" s="2">
        <v>1323541</v>
      </c>
      <c r="C542" s="2" t="s">
        <v>530</v>
      </c>
      <c r="D542" s="15" t="s">
        <v>899</v>
      </c>
      <c r="E542" s="2" t="s">
        <v>1013</v>
      </c>
      <c r="F542" s="26">
        <v>9125516505</v>
      </c>
      <c r="G542" s="26" t="s">
        <v>2141</v>
      </c>
      <c r="H542" s="2" t="s">
        <v>1144</v>
      </c>
      <c r="I542" s="2"/>
      <c r="J542" s="16" t="s">
        <v>1145</v>
      </c>
      <c r="K542" s="16"/>
      <c r="L542" s="2" t="s">
        <v>6</v>
      </c>
      <c r="M542" s="16" t="s">
        <v>1630</v>
      </c>
      <c r="N542" s="16">
        <v>6.45</v>
      </c>
      <c r="O542" s="2">
        <v>7.89</v>
      </c>
      <c r="P542" s="2" t="s">
        <v>2279</v>
      </c>
      <c r="Q542" s="16"/>
      <c r="R542" s="17"/>
      <c r="S542">
        <f t="shared" si="8"/>
        <v>7.17</v>
      </c>
    </row>
    <row r="543" spans="1:19" x14ac:dyDescent="0.3">
      <c r="A543" s="5">
        <v>542</v>
      </c>
      <c r="B543" s="2">
        <v>1323542</v>
      </c>
      <c r="C543" s="2" t="s">
        <v>531</v>
      </c>
      <c r="D543" s="2" t="s">
        <v>900</v>
      </c>
      <c r="E543" s="1" t="s">
        <v>1415</v>
      </c>
      <c r="F543" s="26"/>
      <c r="G543" s="26"/>
      <c r="H543" s="2"/>
      <c r="I543" s="2"/>
      <c r="J543" s="16"/>
      <c r="K543" s="16"/>
      <c r="L543" s="2" t="s">
        <v>8</v>
      </c>
      <c r="M543" s="16" t="s">
        <v>1637</v>
      </c>
      <c r="N543" s="16" t="s">
        <v>1695</v>
      </c>
      <c r="O543" s="2"/>
      <c r="P543" s="2"/>
      <c r="Q543" s="16"/>
      <c r="R543" s="17"/>
      <c r="S543" t="e">
        <f t="shared" si="8"/>
        <v>#DIV/0!</v>
      </c>
    </row>
    <row r="544" spans="1:19" x14ac:dyDescent="0.3">
      <c r="A544" s="5">
        <v>543</v>
      </c>
      <c r="B544" s="2">
        <v>1323543</v>
      </c>
      <c r="C544" s="2" t="s">
        <v>532</v>
      </c>
      <c r="D544" s="2" t="s">
        <v>899</v>
      </c>
      <c r="E544" s="2" t="s">
        <v>1012</v>
      </c>
      <c r="F544" s="26">
        <v>6203738413</v>
      </c>
      <c r="G544" s="26" t="s">
        <v>2142</v>
      </c>
      <c r="H544" s="2" t="s">
        <v>1144</v>
      </c>
      <c r="I544" s="2"/>
      <c r="J544" s="16" t="s">
        <v>1145</v>
      </c>
      <c r="K544" s="16"/>
      <c r="L544" s="2" t="s">
        <v>6</v>
      </c>
      <c r="M544" s="16">
        <v>6.57</v>
      </c>
      <c r="N544" s="16">
        <v>7.23</v>
      </c>
      <c r="O544" s="2">
        <v>7.95</v>
      </c>
      <c r="P544" s="2">
        <v>7.02</v>
      </c>
      <c r="Q544" s="16"/>
      <c r="R544" s="17"/>
      <c r="S544">
        <f t="shared" si="8"/>
        <v>7.1924999999999999</v>
      </c>
    </row>
    <row r="545" spans="1:19" x14ac:dyDescent="0.3">
      <c r="A545" s="5">
        <v>544</v>
      </c>
      <c r="B545" s="2">
        <v>1323544</v>
      </c>
      <c r="C545" s="2" t="s">
        <v>533</v>
      </c>
      <c r="D545" s="2" t="s">
        <v>1575</v>
      </c>
      <c r="E545" s="2" t="s">
        <v>1011</v>
      </c>
      <c r="F545" s="26">
        <v>8797175929</v>
      </c>
      <c r="G545" s="26" t="s">
        <v>2143</v>
      </c>
      <c r="H545" s="2" t="s">
        <v>1144</v>
      </c>
      <c r="I545" s="2"/>
      <c r="J545" s="16" t="s">
        <v>1145</v>
      </c>
      <c r="K545" s="16"/>
      <c r="L545" s="2" t="s">
        <v>9</v>
      </c>
      <c r="M545" s="16">
        <v>6.95</v>
      </c>
      <c r="N545" s="16">
        <v>7.95</v>
      </c>
      <c r="O545" s="2">
        <v>8.5500000000000007</v>
      </c>
      <c r="P545" s="2">
        <v>8.09</v>
      </c>
      <c r="Q545" s="16"/>
      <c r="R545" s="17"/>
      <c r="S545">
        <f t="shared" si="8"/>
        <v>7.8850000000000007</v>
      </c>
    </row>
    <row r="546" spans="1:19" x14ac:dyDescent="0.3">
      <c r="A546" s="5">
        <v>545</v>
      </c>
      <c r="B546" s="2">
        <v>1323545</v>
      </c>
      <c r="C546" s="2" t="s">
        <v>534</v>
      </c>
      <c r="D546" s="2" t="s">
        <v>1576</v>
      </c>
      <c r="E546" s="2" t="s">
        <v>1010</v>
      </c>
      <c r="F546" s="26">
        <v>9142203258</v>
      </c>
      <c r="G546" s="26" t="s">
        <v>2144</v>
      </c>
      <c r="H546" s="2" t="s">
        <v>1144</v>
      </c>
      <c r="I546" s="2"/>
      <c r="J546" s="16"/>
      <c r="K546" s="16"/>
      <c r="L546" s="2" t="s">
        <v>6</v>
      </c>
      <c r="M546" s="16" t="s">
        <v>1656</v>
      </c>
      <c r="N546" s="16" t="s">
        <v>1664</v>
      </c>
      <c r="O546" s="2" t="s">
        <v>2212</v>
      </c>
      <c r="P546" s="2" t="s">
        <v>2279</v>
      </c>
      <c r="Q546" s="16"/>
      <c r="R546" s="17"/>
      <c r="S546" t="e">
        <f t="shared" si="8"/>
        <v>#DIV/0!</v>
      </c>
    </row>
    <row r="547" spans="1:19" x14ac:dyDescent="0.3">
      <c r="A547" s="5">
        <v>546</v>
      </c>
      <c r="B547" s="2">
        <v>1323546</v>
      </c>
      <c r="C547" s="2" t="s">
        <v>535</v>
      </c>
      <c r="D547" s="2" t="s">
        <v>901</v>
      </c>
      <c r="E547" s="2" t="s">
        <v>1009</v>
      </c>
      <c r="F547" s="26"/>
      <c r="G547" s="26"/>
      <c r="H547" s="2" t="s">
        <v>1144</v>
      </c>
      <c r="I547" s="2"/>
      <c r="J547" s="16"/>
      <c r="K547" s="16"/>
      <c r="L547" s="2" t="s">
        <v>6</v>
      </c>
      <c r="M547" s="16" t="s">
        <v>1657</v>
      </c>
      <c r="N547" s="16" t="s">
        <v>1665</v>
      </c>
      <c r="O547" s="2" t="s">
        <v>954</v>
      </c>
      <c r="P547" s="2"/>
      <c r="Q547" s="16"/>
      <c r="R547" s="17"/>
      <c r="S547" t="e">
        <f t="shared" si="8"/>
        <v>#DIV/0!</v>
      </c>
    </row>
    <row r="548" spans="1:19" x14ac:dyDescent="0.3">
      <c r="A548" s="5">
        <v>547</v>
      </c>
      <c r="B548" s="2">
        <v>1323547</v>
      </c>
      <c r="C548" s="2" t="s">
        <v>940</v>
      </c>
      <c r="D548" s="2"/>
      <c r="E548" s="2"/>
      <c r="F548" s="26"/>
      <c r="G548" s="26"/>
      <c r="H548" s="2"/>
      <c r="I548" s="2"/>
      <c r="J548" s="16"/>
      <c r="K548" s="16"/>
      <c r="L548" s="2"/>
      <c r="M548" s="16"/>
      <c r="N548" s="16"/>
      <c r="O548" s="2"/>
      <c r="P548" s="2"/>
      <c r="Q548" s="16"/>
      <c r="R548" s="17"/>
      <c r="S548" t="e">
        <f t="shared" si="8"/>
        <v>#DIV/0!</v>
      </c>
    </row>
    <row r="549" spans="1:19" x14ac:dyDescent="0.3">
      <c r="A549" s="5">
        <v>548</v>
      </c>
      <c r="B549" s="2">
        <v>1323548</v>
      </c>
      <c r="C549" s="2" t="s">
        <v>940</v>
      </c>
      <c r="D549" s="2"/>
      <c r="E549" s="2"/>
      <c r="F549" s="26"/>
      <c r="G549" s="26"/>
      <c r="H549" s="2" t="s">
        <v>1139</v>
      </c>
      <c r="I549" s="2"/>
      <c r="J549" s="16"/>
      <c r="K549" s="16"/>
      <c r="L549" s="2"/>
      <c r="M549" s="16"/>
      <c r="N549" s="16"/>
      <c r="O549" s="2"/>
      <c r="P549" s="2"/>
      <c r="Q549" s="16"/>
      <c r="R549" s="17"/>
      <c r="S549" t="e">
        <f t="shared" si="8"/>
        <v>#DIV/0!</v>
      </c>
    </row>
    <row r="550" spans="1:19" x14ac:dyDescent="0.3">
      <c r="A550" s="5">
        <v>549</v>
      </c>
      <c r="B550" s="2">
        <v>1323549</v>
      </c>
      <c r="C550" s="2" t="s">
        <v>536</v>
      </c>
      <c r="D550" s="2" t="s">
        <v>1577</v>
      </c>
      <c r="E550" s="2" t="s">
        <v>1008</v>
      </c>
      <c r="F550" s="26">
        <v>7505742841</v>
      </c>
      <c r="G550" s="26" t="s">
        <v>2145</v>
      </c>
      <c r="H550" s="2" t="s">
        <v>1144</v>
      </c>
      <c r="I550" s="2"/>
      <c r="J550" s="16" t="s">
        <v>1146</v>
      </c>
      <c r="K550" s="16"/>
      <c r="L550" s="2" t="s">
        <v>9</v>
      </c>
      <c r="M550" s="16" t="s">
        <v>1658</v>
      </c>
      <c r="N550" s="16" t="s">
        <v>1696</v>
      </c>
      <c r="O550" s="2" t="s">
        <v>954</v>
      </c>
      <c r="P550" s="2" t="s">
        <v>2295</v>
      </c>
      <c r="Q550" s="16"/>
      <c r="R550" s="17"/>
      <c r="S550" t="e">
        <f t="shared" si="8"/>
        <v>#DIV/0!</v>
      </c>
    </row>
    <row r="551" spans="1:19" x14ac:dyDescent="0.3">
      <c r="A551" s="5">
        <v>550</v>
      </c>
      <c r="B551" s="2">
        <v>1323550</v>
      </c>
      <c r="C551" s="2" t="s">
        <v>537</v>
      </c>
      <c r="D551" s="2" t="s">
        <v>902</v>
      </c>
      <c r="E551" s="2" t="s">
        <v>1007</v>
      </c>
      <c r="F551" s="26">
        <v>6206165729</v>
      </c>
      <c r="G551" s="26" t="s">
        <v>2146</v>
      </c>
      <c r="H551" s="2"/>
      <c r="I551" s="2"/>
      <c r="J551" s="16"/>
      <c r="K551" s="16"/>
      <c r="L551" s="2" t="s">
        <v>9</v>
      </c>
      <c r="M551" s="16" t="s">
        <v>1633</v>
      </c>
      <c r="N551" s="16">
        <v>6.27</v>
      </c>
      <c r="O551" s="2">
        <v>7.75</v>
      </c>
      <c r="P551" s="2" t="s">
        <v>2279</v>
      </c>
      <c r="Q551" s="16"/>
      <c r="R551" s="17"/>
      <c r="S551">
        <f t="shared" si="8"/>
        <v>7.01</v>
      </c>
    </row>
    <row r="552" spans="1:19" x14ac:dyDescent="0.3">
      <c r="A552" s="5">
        <v>551</v>
      </c>
      <c r="B552" s="2">
        <v>1323551</v>
      </c>
      <c r="C552" s="2" t="s">
        <v>538</v>
      </c>
      <c r="D552" s="2" t="s">
        <v>1578</v>
      </c>
      <c r="E552" s="2" t="s">
        <v>1416</v>
      </c>
      <c r="F552" s="26"/>
      <c r="G552" s="26"/>
      <c r="H552" s="2" t="s">
        <v>1144</v>
      </c>
      <c r="I552" s="2"/>
      <c r="J552" s="16" t="s">
        <v>8</v>
      </c>
      <c r="K552" s="16"/>
      <c r="L552" s="2"/>
      <c r="M552" s="16" t="s">
        <v>954</v>
      </c>
      <c r="N552" s="16"/>
      <c r="O552" s="2"/>
      <c r="P552" s="2"/>
      <c r="Q552" s="16"/>
      <c r="R552" s="17"/>
      <c r="S552" t="e">
        <f t="shared" si="8"/>
        <v>#DIV/0!</v>
      </c>
    </row>
    <row r="553" spans="1:19" x14ac:dyDescent="0.3">
      <c r="A553" s="5">
        <v>552</v>
      </c>
      <c r="B553" s="2">
        <v>1323552</v>
      </c>
      <c r="C553" s="2" t="s">
        <v>539</v>
      </c>
      <c r="D553" s="2" t="s">
        <v>903</v>
      </c>
      <c r="E553" s="2" t="s">
        <v>1006</v>
      </c>
      <c r="F553" s="26">
        <v>8935816211</v>
      </c>
      <c r="G553" s="26" t="s">
        <v>2147</v>
      </c>
      <c r="H553" s="2" t="s">
        <v>1144</v>
      </c>
      <c r="I553" s="2"/>
      <c r="J553" s="16" t="s">
        <v>8</v>
      </c>
      <c r="K553" s="16"/>
      <c r="L553" s="2" t="s">
        <v>8</v>
      </c>
      <c r="M553" s="16" t="s">
        <v>1630</v>
      </c>
      <c r="N553" s="16" t="s">
        <v>1691</v>
      </c>
      <c r="O553" s="2" t="s">
        <v>2218</v>
      </c>
      <c r="P553" s="2">
        <v>6.18</v>
      </c>
      <c r="Q553" s="16"/>
      <c r="R553" s="17"/>
      <c r="S553">
        <f t="shared" si="8"/>
        <v>6.18</v>
      </c>
    </row>
    <row r="554" spans="1:19" x14ac:dyDescent="0.3">
      <c r="A554" s="5">
        <v>553</v>
      </c>
      <c r="B554" s="2">
        <v>1323553</v>
      </c>
      <c r="C554" s="2" t="s">
        <v>540</v>
      </c>
      <c r="D554" s="2" t="s">
        <v>1579</v>
      </c>
      <c r="E554" s="2" t="s">
        <v>1005</v>
      </c>
      <c r="F554" s="26">
        <v>6200373626</v>
      </c>
      <c r="G554" s="26" t="s">
        <v>2148</v>
      </c>
      <c r="H554" s="2"/>
      <c r="I554" s="2"/>
      <c r="J554" s="16"/>
      <c r="K554" s="16"/>
      <c r="L554" s="2" t="s">
        <v>8</v>
      </c>
      <c r="M554" s="16" t="s">
        <v>1659</v>
      </c>
      <c r="N554" s="16">
        <v>6.32</v>
      </c>
      <c r="O554" s="2" t="s">
        <v>2244</v>
      </c>
      <c r="P554" s="2" t="s">
        <v>2296</v>
      </c>
      <c r="Q554" s="16"/>
      <c r="R554" s="17"/>
      <c r="S554">
        <f t="shared" si="8"/>
        <v>6.32</v>
      </c>
    </row>
    <row r="555" spans="1:19" x14ac:dyDescent="0.3">
      <c r="A555" s="5">
        <v>554</v>
      </c>
      <c r="B555" s="2">
        <v>1323554</v>
      </c>
      <c r="C555" s="2" t="s">
        <v>541</v>
      </c>
      <c r="D555" s="2" t="s">
        <v>1580</v>
      </c>
      <c r="E555" s="2" t="s">
        <v>1417</v>
      </c>
      <c r="F555" s="26"/>
      <c r="G555" s="26"/>
      <c r="H555" s="2"/>
      <c r="I555" s="2"/>
      <c r="J555" s="16"/>
      <c r="K555" s="16"/>
      <c r="L555" s="2"/>
      <c r="M555" s="16" t="s">
        <v>958</v>
      </c>
      <c r="N555" s="16" t="s">
        <v>958</v>
      </c>
      <c r="O555" s="2"/>
      <c r="P555" s="2"/>
      <c r="Q555" s="16"/>
      <c r="R555" s="17"/>
      <c r="S555" t="e">
        <f t="shared" si="8"/>
        <v>#DIV/0!</v>
      </c>
    </row>
    <row r="556" spans="1:19" x14ac:dyDescent="0.3">
      <c r="A556" s="5">
        <v>555</v>
      </c>
      <c r="B556" s="2">
        <v>1323555</v>
      </c>
      <c r="C556" s="2" t="s">
        <v>542</v>
      </c>
      <c r="D556" s="2" t="s">
        <v>904</v>
      </c>
      <c r="E556" s="2" t="s">
        <v>1004</v>
      </c>
      <c r="F556" s="26">
        <v>9835075691</v>
      </c>
      <c r="G556" s="26" t="s">
        <v>2149</v>
      </c>
      <c r="H556" s="2" t="s">
        <v>1144</v>
      </c>
      <c r="I556" s="2"/>
      <c r="J556" s="16" t="s">
        <v>1146</v>
      </c>
      <c r="K556" s="16"/>
      <c r="L556" s="2" t="s">
        <v>9</v>
      </c>
      <c r="M556" s="16">
        <v>6.02</v>
      </c>
      <c r="N556" s="16" t="s">
        <v>1682</v>
      </c>
      <c r="O556" s="2">
        <v>8.14</v>
      </c>
      <c r="P556" s="2">
        <v>7.36</v>
      </c>
      <c r="Q556" s="16"/>
      <c r="R556" s="17"/>
      <c r="S556">
        <f t="shared" si="8"/>
        <v>7.1733333333333329</v>
      </c>
    </row>
    <row r="557" spans="1:19" x14ac:dyDescent="0.3">
      <c r="A557" s="5">
        <v>556</v>
      </c>
      <c r="B557" s="2">
        <v>1323556</v>
      </c>
      <c r="C557" s="2" t="s">
        <v>543</v>
      </c>
      <c r="D557" s="2" t="s">
        <v>1581</v>
      </c>
      <c r="E557" s="2" t="s">
        <v>1003</v>
      </c>
      <c r="F557" s="26">
        <v>9939786436</v>
      </c>
      <c r="G557" s="26" t="s">
        <v>2150</v>
      </c>
      <c r="H557" s="2" t="s">
        <v>1144</v>
      </c>
      <c r="I557" s="2"/>
      <c r="J557" s="16"/>
      <c r="K557" s="16"/>
      <c r="L557" s="2" t="s">
        <v>6</v>
      </c>
      <c r="M557" s="16">
        <v>6.64</v>
      </c>
      <c r="N557" s="16">
        <v>7.18</v>
      </c>
      <c r="O557" s="2" t="s">
        <v>2214</v>
      </c>
      <c r="P557" s="2">
        <v>6.73</v>
      </c>
      <c r="Q557" s="16"/>
      <c r="R557" s="17"/>
      <c r="S557">
        <f t="shared" si="8"/>
        <v>6.8500000000000005</v>
      </c>
    </row>
    <row r="558" spans="1:19" x14ac:dyDescent="0.3">
      <c r="A558" s="5">
        <v>557</v>
      </c>
      <c r="B558" s="2">
        <v>1323557</v>
      </c>
      <c r="C558" s="2" t="s">
        <v>940</v>
      </c>
      <c r="D558" s="2"/>
      <c r="E558" s="2"/>
      <c r="F558" s="26"/>
      <c r="G558" s="26"/>
      <c r="H558" s="2"/>
      <c r="I558" s="2"/>
      <c r="J558" s="16"/>
      <c r="K558" s="16"/>
      <c r="L558" s="2"/>
      <c r="M558" s="16"/>
      <c r="N558" s="16"/>
      <c r="O558" s="2"/>
      <c r="P558" s="2"/>
      <c r="Q558" s="16"/>
      <c r="R558" s="17"/>
      <c r="S558" t="e">
        <f t="shared" si="8"/>
        <v>#DIV/0!</v>
      </c>
    </row>
    <row r="559" spans="1:19" x14ac:dyDescent="0.3">
      <c r="A559" s="5">
        <v>558</v>
      </c>
      <c r="B559" s="2">
        <v>1323558</v>
      </c>
      <c r="C559" s="2" t="s">
        <v>940</v>
      </c>
      <c r="D559" s="2"/>
      <c r="E559" s="2"/>
      <c r="F559" s="26"/>
      <c r="G559" s="26"/>
      <c r="H559" s="2"/>
      <c r="I559" s="2"/>
      <c r="J559" s="16"/>
      <c r="K559" s="16"/>
      <c r="L559" s="2"/>
      <c r="M559" s="16"/>
      <c r="N559" s="16"/>
      <c r="O559" s="2"/>
      <c r="P559" s="2"/>
      <c r="Q559" s="16"/>
      <c r="R559" s="17"/>
      <c r="S559" t="e">
        <f t="shared" si="8"/>
        <v>#DIV/0!</v>
      </c>
    </row>
    <row r="560" spans="1:19" x14ac:dyDescent="0.3">
      <c r="A560" s="5">
        <v>559</v>
      </c>
      <c r="B560" s="2">
        <v>1323559</v>
      </c>
      <c r="C560" s="2" t="s">
        <v>544</v>
      </c>
      <c r="D560" s="2" t="s">
        <v>905</v>
      </c>
      <c r="E560" s="2" t="s">
        <v>1002</v>
      </c>
      <c r="F560" s="26">
        <v>7519125980</v>
      </c>
      <c r="G560" s="26" t="s">
        <v>2151</v>
      </c>
      <c r="H560" s="2" t="s">
        <v>1144</v>
      </c>
      <c r="I560" s="2"/>
      <c r="J560" s="16" t="s">
        <v>1145</v>
      </c>
      <c r="K560" s="16"/>
      <c r="L560" s="2" t="s">
        <v>9</v>
      </c>
      <c r="M560" s="16">
        <v>6.09</v>
      </c>
      <c r="N560" s="16">
        <v>7.16</v>
      </c>
      <c r="O560" s="2">
        <v>6.8</v>
      </c>
      <c r="P560" s="2">
        <v>6.91</v>
      </c>
      <c r="Q560" s="16"/>
      <c r="R560" s="17"/>
      <c r="S560">
        <f t="shared" si="8"/>
        <v>6.74</v>
      </c>
    </row>
    <row r="561" spans="1:19" x14ac:dyDescent="0.3">
      <c r="A561" s="5">
        <v>560</v>
      </c>
      <c r="B561" s="2">
        <v>1323560</v>
      </c>
      <c r="C561" s="2" t="s">
        <v>545</v>
      </c>
      <c r="D561" s="2" t="s">
        <v>889</v>
      </c>
      <c r="E561" s="2" t="s">
        <v>1418</v>
      </c>
      <c r="F561" s="26"/>
      <c r="G561" s="26"/>
      <c r="H561" s="2"/>
      <c r="I561" s="2"/>
      <c r="J561" s="16"/>
      <c r="K561" s="16"/>
      <c r="L561" s="2"/>
      <c r="M561" s="16" t="s">
        <v>1643</v>
      </c>
      <c r="N561" s="16" t="s">
        <v>1665</v>
      </c>
      <c r="O561" s="2"/>
      <c r="P561" s="2"/>
      <c r="Q561" s="16"/>
      <c r="R561" s="17"/>
      <c r="S561" t="e">
        <f t="shared" si="8"/>
        <v>#DIV/0!</v>
      </c>
    </row>
    <row r="562" spans="1:19" x14ac:dyDescent="0.3">
      <c r="A562" s="5">
        <v>561</v>
      </c>
      <c r="B562" s="2">
        <v>1323561</v>
      </c>
      <c r="C562" s="2" t="s">
        <v>546</v>
      </c>
      <c r="D562" s="2" t="s">
        <v>906</v>
      </c>
      <c r="E562" s="2" t="s">
        <v>1001</v>
      </c>
      <c r="F562" s="26">
        <v>9693991667</v>
      </c>
      <c r="G562" s="26" t="s">
        <v>2152</v>
      </c>
      <c r="H562" s="2" t="s">
        <v>1143</v>
      </c>
      <c r="I562" s="2"/>
      <c r="J562" s="16" t="s">
        <v>1145</v>
      </c>
      <c r="K562" s="16"/>
      <c r="L562" s="2" t="s">
        <v>926</v>
      </c>
      <c r="M562" s="16">
        <v>5.7</v>
      </c>
      <c r="N562" s="16">
        <v>7.91</v>
      </c>
      <c r="O562" s="2">
        <v>8.36</v>
      </c>
      <c r="P562" s="2">
        <v>7.73</v>
      </c>
      <c r="Q562" s="16"/>
      <c r="R562" s="17"/>
      <c r="S562">
        <f t="shared" si="8"/>
        <v>7.4249999999999998</v>
      </c>
    </row>
    <row r="563" spans="1:19" x14ac:dyDescent="0.3">
      <c r="A563" s="5">
        <v>562</v>
      </c>
      <c r="B563" s="2">
        <v>1323562</v>
      </c>
      <c r="C563" s="2" t="s">
        <v>547</v>
      </c>
      <c r="D563" s="2" t="s">
        <v>1582</v>
      </c>
      <c r="E563" s="2" t="s">
        <v>1000</v>
      </c>
      <c r="F563" s="26">
        <v>7206049931</v>
      </c>
      <c r="G563" s="26" t="s">
        <v>2153</v>
      </c>
      <c r="H563" s="2" t="s">
        <v>1138</v>
      </c>
      <c r="I563" s="2"/>
      <c r="J563" s="16" t="s">
        <v>1146</v>
      </c>
      <c r="K563" s="16"/>
      <c r="L563" s="2" t="s">
        <v>9</v>
      </c>
      <c r="M563" s="16">
        <v>6.64</v>
      </c>
      <c r="N563" s="16">
        <v>6.41</v>
      </c>
      <c r="O563" s="2" t="s">
        <v>2245</v>
      </c>
      <c r="P563" s="2">
        <v>6.36</v>
      </c>
      <c r="Q563" s="16"/>
      <c r="R563" s="17"/>
      <c r="S563">
        <f t="shared" si="8"/>
        <v>6.47</v>
      </c>
    </row>
    <row r="564" spans="1:19" x14ac:dyDescent="0.3">
      <c r="A564" s="5">
        <v>563</v>
      </c>
      <c r="B564" s="2">
        <v>1323563</v>
      </c>
      <c r="C564" s="2" t="s">
        <v>548</v>
      </c>
      <c r="D564" s="2" t="s">
        <v>1583</v>
      </c>
      <c r="E564" s="2" t="s">
        <v>999</v>
      </c>
      <c r="F564" s="26">
        <v>7497840039</v>
      </c>
      <c r="G564" s="26" t="s">
        <v>2154</v>
      </c>
      <c r="H564" s="2" t="s">
        <v>1138</v>
      </c>
      <c r="I564" s="2"/>
      <c r="J564" s="16" t="s">
        <v>1146</v>
      </c>
      <c r="K564" s="16"/>
      <c r="L564" s="2" t="s">
        <v>9</v>
      </c>
      <c r="M564" s="16" t="s">
        <v>958</v>
      </c>
      <c r="N564" s="16" t="s">
        <v>953</v>
      </c>
      <c r="O564" s="2" t="s">
        <v>954</v>
      </c>
      <c r="P564" s="2" t="s">
        <v>2297</v>
      </c>
      <c r="Q564" s="16"/>
      <c r="R564" s="17"/>
      <c r="S564" t="e">
        <f t="shared" si="8"/>
        <v>#DIV/0!</v>
      </c>
    </row>
    <row r="565" spans="1:19" x14ac:dyDescent="0.3">
      <c r="A565" s="5">
        <v>564</v>
      </c>
      <c r="B565" s="2">
        <v>1323564</v>
      </c>
      <c r="C565" s="2" t="s">
        <v>549</v>
      </c>
      <c r="D565" s="2" t="s">
        <v>1584</v>
      </c>
      <c r="E565" s="2" t="s">
        <v>1419</v>
      </c>
      <c r="F565" s="26"/>
      <c r="G565" s="26"/>
      <c r="H565" s="2"/>
      <c r="I565" s="2"/>
      <c r="J565" s="16"/>
      <c r="K565" s="16"/>
      <c r="L565" s="2" t="s">
        <v>6</v>
      </c>
      <c r="M565" s="16" t="s">
        <v>958</v>
      </c>
      <c r="N565" s="16" t="s">
        <v>958</v>
      </c>
      <c r="P565" s="2"/>
      <c r="Q565" s="16"/>
      <c r="R565" s="17"/>
      <c r="S565" t="e">
        <f t="shared" si="8"/>
        <v>#DIV/0!</v>
      </c>
    </row>
    <row r="566" spans="1:19" x14ac:dyDescent="0.3">
      <c r="A566" s="5">
        <v>565</v>
      </c>
      <c r="B566" s="2">
        <v>1323565</v>
      </c>
      <c r="C566" s="2" t="s">
        <v>550</v>
      </c>
      <c r="D566" s="2" t="s">
        <v>1585</v>
      </c>
      <c r="E566" s="2" t="s">
        <v>998</v>
      </c>
      <c r="F566" s="26">
        <v>7325066008</v>
      </c>
      <c r="G566" s="26" t="s">
        <v>2155</v>
      </c>
      <c r="H566" s="2" t="s">
        <v>1143</v>
      </c>
      <c r="I566" s="2"/>
      <c r="J566" s="16" t="s">
        <v>1146</v>
      </c>
      <c r="K566" s="16"/>
      <c r="L566" s="2" t="s">
        <v>926</v>
      </c>
      <c r="M566" s="16" t="s">
        <v>1657</v>
      </c>
      <c r="N566" s="16">
        <v>6.32</v>
      </c>
      <c r="O566" s="2">
        <v>6.66</v>
      </c>
      <c r="P566" s="2" t="s">
        <v>2268</v>
      </c>
      <c r="Q566" s="16"/>
      <c r="R566" s="17"/>
      <c r="S566">
        <f t="shared" si="8"/>
        <v>6.49</v>
      </c>
    </row>
    <row r="567" spans="1:19" x14ac:dyDescent="0.3">
      <c r="A567" s="5">
        <v>566</v>
      </c>
      <c r="B567" s="2">
        <v>1323566</v>
      </c>
      <c r="C567" s="2" t="s">
        <v>551</v>
      </c>
      <c r="D567" s="21" t="s">
        <v>907</v>
      </c>
      <c r="E567" s="2" t="s">
        <v>997</v>
      </c>
      <c r="F567" s="26">
        <v>9835819778</v>
      </c>
      <c r="G567" s="26" t="s">
        <v>2156</v>
      </c>
      <c r="H567" s="2" t="s">
        <v>1143</v>
      </c>
      <c r="I567" s="2"/>
      <c r="J567" s="16" t="s">
        <v>1145</v>
      </c>
      <c r="K567" s="16"/>
      <c r="L567" s="2" t="s">
        <v>6</v>
      </c>
      <c r="M567" s="16">
        <v>8.14</v>
      </c>
      <c r="N567" s="16">
        <v>8.82</v>
      </c>
      <c r="O567" s="2">
        <v>8.64</v>
      </c>
      <c r="P567" s="2">
        <v>9</v>
      </c>
      <c r="Q567" s="16"/>
      <c r="R567" s="17"/>
      <c r="S567">
        <f t="shared" si="8"/>
        <v>8.65</v>
      </c>
    </row>
    <row r="568" spans="1:19" x14ac:dyDescent="0.3">
      <c r="A568" s="5">
        <v>567</v>
      </c>
      <c r="B568" s="2">
        <v>1323567</v>
      </c>
      <c r="C568" s="2" t="s">
        <v>552</v>
      </c>
      <c r="D568" s="21" t="s">
        <v>1586</v>
      </c>
      <c r="E568" s="2" t="s">
        <v>996</v>
      </c>
      <c r="F568" s="26">
        <v>7369016502</v>
      </c>
      <c r="G568" s="26" t="s">
        <v>2157</v>
      </c>
      <c r="H568" s="2" t="s">
        <v>1143</v>
      </c>
      <c r="I568" s="2"/>
      <c r="J568" s="16" t="s">
        <v>1146</v>
      </c>
      <c r="K568" s="16"/>
      <c r="L568" s="2" t="s">
        <v>926</v>
      </c>
      <c r="M568" s="16" t="s">
        <v>1630</v>
      </c>
      <c r="N568" s="16">
        <v>6.3</v>
      </c>
      <c r="O568" s="2">
        <v>6.41</v>
      </c>
      <c r="P568" s="2">
        <v>6.36</v>
      </c>
      <c r="Q568" s="16"/>
      <c r="R568" s="17"/>
      <c r="S568">
        <f t="shared" si="8"/>
        <v>6.3566666666666665</v>
      </c>
    </row>
    <row r="569" spans="1:19" x14ac:dyDescent="0.3">
      <c r="A569" s="5">
        <v>568</v>
      </c>
      <c r="B569" s="2">
        <v>1323568</v>
      </c>
      <c r="C569" s="2" t="s">
        <v>553</v>
      </c>
      <c r="D569" s="21" t="s">
        <v>1587</v>
      </c>
      <c r="E569" s="2" t="s">
        <v>1420</v>
      </c>
      <c r="F569" s="26"/>
      <c r="G569" s="26"/>
      <c r="H569" s="2"/>
      <c r="I569" s="2"/>
      <c r="J569" s="16"/>
      <c r="K569" s="16"/>
      <c r="L569" s="2"/>
      <c r="M569" s="16" t="s">
        <v>958</v>
      </c>
      <c r="N569" s="16"/>
      <c r="O569" s="2"/>
      <c r="P569" s="2"/>
      <c r="Q569" s="16"/>
      <c r="R569" s="17"/>
      <c r="S569" t="e">
        <f t="shared" si="8"/>
        <v>#DIV/0!</v>
      </c>
    </row>
    <row r="570" spans="1:19" x14ac:dyDescent="0.3">
      <c r="A570" s="5">
        <v>569</v>
      </c>
      <c r="B570" s="2">
        <v>1323569</v>
      </c>
      <c r="C570" s="2" t="s">
        <v>554</v>
      </c>
      <c r="D570" s="21" t="s">
        <v>1588</v>
      </c>
      <c r="E570" s="2" t="s">
        <v>1421</v>
      </c>
      <c r="F570" s="26"/>
      <c r="G570" s="26"/>
      <c r="H570" s="2"/>
      <c r="I570" s="2"/>
      <c r="J570" s="16"/>
      <c r="K570" s="16"/>
      <c r="L570" s="2" t="s">
        <v>8</v>
      </c>
      <c r="M570" s="16" t="s">
        <v>958</v>
      </c>
      <c r="N570" s="16" t="s">
        <v>958</v>
      </c>
      <c r="O570" s="2"/>
      <c r="P570" s="2"/>
      <c r="Q570" s="16"/>
      <c r="R570" s="17"/>
      <c r="S570" t="e">
        <f t="shared" si="8"/>
        <v>#DIV/0!</v>
      </c>
    </row>
    <row r="571" spans="1:19" x14ac:dyDescent="0.3">
      <c r="A571" s="5">
        <v>570</v>
      </c>
      <c r="B571" s="2">
        <v>1323570</v>
      </c>
      <c r="C571" s="2" t="s">
        <v>555</v>
      </c>
      <c r="D571" s="2" t="s">
        <v>1589</v>
      </c>
      <c r="E571" s="2" t="s">
        <v>995</v>
      </c>
      <c r="F571" s="26">
        <v>7763825081</v>
      </c>
      <c r="G571" s="26" t="s">
        <v>2158</v>
      </c>
      <c r="H571" s="2" t="s">
        <v>1143</v>
      </c>
      <c r="I571" s="2"/>
      <c r="J571" s="16" t="s">
        <v>1145</v>
      </c>
      <c r="K571" s="16"/>
      <c r="L571" s="2" t="s">
        <v>6</v>
      </c>
      <c r="M571" s="16">
        <v>5.98</v>
      </c>
      <c r="N571" s="16" t="s">
        <v>1664</v>
      </c>
      <c r="O571" s="2">
        <v>6.8</v>
      </c>
      <c r="P571" s="2">
        <v>6.57</v>
      </c>
      <c r="Q571" s="16"/>
      <c r="R571" s="17"/>
      <c r="S571">
        <f t="shared" si="8"/>
        <v>6.45</v>
      </c>
    </row>
    <row r="572" spans="1:19" x14ac:dyDescent="0.3">
      <c r="A572" s="5">
        <v>571</v>
      </c>
      <c r="B572" s="2">
        <v>1323571</v>
      </c>
      <c r="C572" s="2" t="s">
        <v>556</v>
      </c>
      <c r="D572" s="21" t="s">
        <v>1590</v>
      </c>
      <c r="E572" s="2" t="s">
        <v>994</v>
      </c>
      <c r="F572" s="26">
        <v>7209093907</v>
      </c>
      <c r="G572" s="26" t="s">
        <v>2159</v>
      </c>
      <c r="H572" s="2" t="s">
        <v>1143</v>
      </c>
      <c r="I572" s="2"/>
      <c r="J572" s="16" t="s">
        <v>1145</v>
      </c>
      <c r="K572" s="16"/>
      <c r="L572" s="2" t="s">
        <v>6</v>
      </c>
      <c r="M572" s="16">
        <v>6.09</v>
      </c>
      <c r="N572" s="16" t="s">
        <v>1664</v>
      </c>
      <c r="O572" s="2">
        <v>6.68</v>
      </c>
      <c r="P572" s="2">
        <v>6.77</v>
      </c>
      <c r="Q572" s="16"/>
      <c r="R572" s="17"/>
      <c r="S572">
        <f t="shared" si="8"/>
        <v>6.5133333333333328</v>
      </c>
    </row>
    <row r="573" spans="1:19" x14ac:dyDescent="0.3">
      <c r="A573" s="5">
        <v>572</v>
      </c>
      <c r="B573" s="2">
        <v>1323572</v>
      </c>
      <c r="C573" s="2" t="s">
        <v>557</v>
      </c>
      <c r="D573" s="21" t="s">
        <v>908</v>
      </c>
      <c r="E573" s="2" t="s">
        <v>993</v>
      </c>
      <c r="F573" s="26">
        <v>9973349056</v>
      </c>
      <c r="G573" s="26" t="s">
        <v>2160</v>
      </c>
      <c r="H573" s="2" t="s">
        <v>1143</v>
      </c>
      <c r="I573" s="2"/>
      <c r="J573" s="16" t="s">
        <v>1145</v>
      </c>
      <c r="K573" s="16"/>
      <c r="L573" s="2" t="s">
        <v>6</v>
      </c>
      <c r="M573" s="16">
        <v>5.8</v>
      </c>
      <c r="N573" s="16">
        <v>7.64</v>
      </c>
      <c r="O573" s="2">
        <v>7.77</v>
      </c>
      <c r="P573" s="2">
        <v>7.11</v>
      </c>
      <c r="Q573" s="16"/>
      <c r="R573" s="17"/>
      <c r="S573">
        <f t="shared" si="8"/>
        <v>7.08</v>
      </c>
    </row>
    <row r="574" spans="1:19" x14ac:dyDescent="0.3">
      <c r="A574" s="5">
        <v>573</v>
      </c>
      <c r="B574" s="2">
        <v>1323573</v>
      </c>
      <c r="C574" s="2" t="s">
        <v>558</v>
      </c>
      <c r="D574" s="21" t="s">
        <v>1591</v>
      </c>
      <c r="E574" s="2" t="s">
        <v>992</v>
      </c>
      <c r="F574" s="26">
        <v>9152189667</v>
      </c>
      <c r="G574" s="26" t="s">
        <v>2161</v>
      </c>
      <c r="H574" s="2" t="s">
        <v>1138</v>
      </c>
      <c r="I574" s="2"/>
      <c r="J574" s="16" t="s">
        <v>8</v>
      </c>
      <c r="K574" s="16"/>
      <c r="L574" s="2" t="s">
        <v>9</v>
      </c>
      <c r="M574" s="16">
        <v>6.18</v>
      </c>
      <c r="N574" s="16">
        <v>6.32</v>
      </c>
      <c r="O574" s="2" t="s">
        <v>2208</v>
      </c>
      <c r="P574" s="2">
        <v>7.48</v>
      </c>
      <c r="Q574" s="16"/>
      <c r="R574" s="17"/>
      <c r="S574">
        <f t="shared" si="8"/>
        <v>6.66</v>
      </c>
    </row>
    <row r="575" spans="1:19" x14ac:dyDescent="0.3">
      <c r="A575" s="5">
        <v>574</v>
      </c>
      <c r="B575" s="2">
        <v>1323574</v>
      </c>
      <c r="C575" s="2" t="s">
        <v>603</v>
      </c>
      <c r="D575" s="21" t="s">
        <v>1592</v>
      </c>
      <c r="E575" s="2" t="s">
        <v>991</v>
      </c>
      <c r="F575" s="26">
        <v>6287212742</v>
      </c>
      <c r="G575" s="26" t="s">
        <v>2162</v>
      </c>
      <c r="H575" s="2" t="s">
        <v>1138</v>
      </c>
      <c r="I575" s="2"/>
      <c r="J575" s="16" t="s">
        <v>1145</v>
      </c>
      <c r="K575" s="16"/>
      <c r="L575" s="2" t="s">
        <v>9</v>
      </c>
      <c r="M575" s="16">
        <v>6.68</v>
      </c>
      <c r="N575" s="16">
        <v>7.36</v>
      </c>
      <c r="O575" s="2">
        <v>8.14</v>
      </c>
      <c r="P575" s="2">
        <v>7.3</v>
      </c>
      <c r="Q575" s="16"/>
      <c r="R575" s="17"/>
      <c r="S575">
        <f t="shared" si="8"/>
        <v>7.37</v>
      </c>
    </row>
    <row r="576" spans="1:19" x14ac:dyDescent="0.3">
      <c r="A576" s="5">
        <v>575</v>
      </c>
      <c r="B576" s="2">
        <v>1323575</v>
      </c>
      <c r="C576" s="2" t="s">
        <v>604</v>
      </c>
      <c r="D576" s="21" t="s">
        <v>1593</v>
      </c>
      <c r="E576" s="2" t="s">
        <v>990</v>
      </c>
      <c r="F576" s="26">
        <v>9815007067</v>
      </c>
      <c r="G576" s="26" t="s">
        <v>2163</v>
      </c>
      <c r="H576" s="2" t="s">
        <v>1138</v>
      </c>
      <c r="I576" s="2"/>
      <c r="J576" s="16" t="s">
        <v>1145</v>
      </c>
      <c r="K576" s="16"/>
      <c r="L576" s="2" t="s">
        <v>9</v>
      </c>
      <c r="M576" s="16">
        <v>8.64</v>
      </c>
      <c r="N576" s="16">
        <v>8.82</v>
      </c>
      <c r="O576" s="2">
        <v>9</v>
      </c>
      <c r="P576" s="2">
        <v>8.9499999999999993</v>
      </c>
      <c r="Q576" s="16"/>
      <c r="R576" s="17"/>
      <c r="S576">
        <f t="shared" si="8"/>
        <v>8.8524999999999991</v>
      </c>
    </row>
    <row r="577" spans="1:19" x14ac:dyDescent="0.3">
      <c r="A577" s="5">
        <v>576</v>
      </c>
      <c r="B577" s="2">
        <v>1323576</v>
      </c>
      <c r="C577" s="2" t="s">
        <v>559</v>
      </c>
      <c r="D577" s="21" t="s">
        <v>1004</v>
      </c>
      <c r="E577" s="2" t="s">
        <v>989</v>
      </c>
      <c r="F577" s="26">
        <v>8252685962</v>
      </c>
      <c r="G577" s="26" t="s">
        <v>2164</v>
      </c>
      <c r="H577" s="2" t="s">
        <v>1143</v>
      </c>
      <c r="I577" s="2"/>
      <c r="J577" s="16" t="s">
        <v>1145</v>
      </c>
      <c r="K577" s="16"/>
      <c r="L577" s="2" t="s">
        <v>8</v>
      </c>
      <c r="M577" s="16">
        <v>5.98</v>
      </c>
      <c r="N577" s="16" t="s">
        <v>1664</v>
      </c>
      <c r="O577" s="2">
        <v>6.5</v>
      </c>
      <c r="P577" s="2" t="s">
        <v>2281</v>
      </c>
      <c r="Q577" s="16"/>
      <c r="R577" s="17"/>
      <c r="S577">
        <f t="shared" si="8"/>
        <v>6.24</v>
      </c>
    </row>
    <row r="578" spans="1:19" x14ac:dyDescent="0.3">
      <c r="A578" s="5">
        <v>577</v>
      </c>
      <c r="B578" s="2">
        <v>1323577</v>
      </c>
      <c r="C578" s="2" t="s">
        <v>560</v>
      </c>
      <c r="D578" s="21" t="s">
        <v>1594</v>
      </c>
      <c r="E578" s="2" t="s">
        <v>988</v>
      </c>
      <c r="F578" s="26">
        <v>8709482086</v>
      </c>
      <c r="G578" s="26" t="s">
        <v>2165</v>
      </c>
      <c r="H578" s="2" t="s">
        <v>1143</v>
      </c>
      <c r="I578" s="2"/>
      <c r="J578" s="16" t="s">
        <v>1145</v>
      </c>
      <c r="K578" s="16"/>
      <c r="L578" s="2" t="s">
        <v>8</v>
      </c>
      <c r="M578" s="16" t="s">
        <v>1636</v>
      </c>
      <c r="N578" s="16">
        <v>6.48</v>
      </c>
      <c r="O578" s="2">
        <v>6.45</v>
      </c>
      <c r="P578" s="2">
        <v>7.02</v>
      </c>
      <c r="Q578" s="16"/>
      <c r="R578" s="17"/>
      <c r="S578">
        <f t="shared" ref="S578:S641" si="9">AVERAGE(M578:P578)</f>
        <v>6.6499999999999995</v>
      </c>
    </row>
    <row r="579" spans="1:19" x14ac:dyDescent="0.3">
      <c r="A579" s="5">
        <v>578</v>
      </c>
      <c r="B579" s="2">
        <v>1323578</v>
      </c>
      <c r="C579" s="2" t="s">
        <v>561</v>
      </c>
      <c r="D579" s="21" t="s">
        <v>848</v>
      </c>
      <c r="E579" s="2" t="s">
        <v>987</v>
      </c>
      <c r="F579" s="26">
        <v>8581883424</v>
      </c>
      <c r="G579" s="26" t="s">
        <v>2166</v>
      </c>
      <c r="H579" s="2" t="s">
        <v>1143</v>
      </c>
      <c r="I579" s="2"/>
      <c r="J579" s="16" t="s">
        <v>1146</v>
      </c>
      <c r="K579" s="16"/>
      <c r="L579" s="2" t="s">
        <v>926</v>
      </c>
      <c r="M579" s="16" t="s">
        <v>1657</v>
      </c>
      <c r="N579" s="16" t="s">
        <v>1676</v>
      </c>
      <c r="O579" s="2">
        <v>6.32</v>
      </c>
      <c r="P579" s="2">
        <v>7.64</v>
      </c>
      <c r="Q579" s="16"/>
      <c r="R579" s="17"/>
      <c r="S579">
        <f t="shared" si="9"/>
        <v>6.98</v>
      </c>
    </row>
    <row r="580" spans="1:19" x14ac:dyDescent="0.3">
      <c r="A580" s="5">
        <v>579</v>
      </c>
      <c r="B580" s="2">
        <v>1323579</v>
      </c>
      <c r="C580" s="2" t="s">
        <v>940</v>
      </c>
      <c r="D580" s="21"/>
      <c r="E580" s="2"/>
      <c r="F580" s="26"/>
      <c r="G580" s="26"/>
      <c r="H580" s="2"/>
      <c r="I580" s="2"/>
      <c r="J580" s="16"/>
      <c r="K580" s="16"/>
      <c r="L580" s="2"/>
      <c r="M580" s="16"/>
      <c r="N580" s="16"/>
      <c r="O580" s="2"/>
      <c r="P580" s="2"/>
      <c r="Q580" s="16"/>
      <c r="R580" s="17"/>
      <c r="S580" t="e">
        <f t="shared" si="9"/>
        <v>#DIV/0!</v>
      </c>
    </row>
    <row r="581" spans="1:19" x14ac:dyDescent="0.3">
      <c r="A581" s="5">
        <v>580</v>
      </c>
      <c r="B581" s="2">
        <v>1323580</v>
      </c>
      <c r="C581" s="2" t="s">
        <v>562</v>
      </c>
      <c r="D581" s="2" t="s">
        <v>828</v>
      </c>
      <c r="E581" s="2" t="s">
        <v>986</v>
      </c>
      <c r="F581" s="26">
        <v>6203701013</v>
      </c>
      <c r="G581" s="26" t="s">
        <v>2167</v>
      </c>
      <c r="H581" s="2" t="s">
        <v>1143</v>
      </c>
      <c r="I581" s="2"/>
      <c r="J581" s="16" t="s">
        <v>1145</v>
      </c>
      <c r="K581" s="16"/>
      <c r="L581" s="2" t="s">
        <v>6</v>
      </c>
      <c r="M581" s="16">
        <v>7.7</v>
      </c>
      <c r="N581" s="16">
        <v>8.5500000000000007</v>
      </c>
      <c r="O581" s="2">
        <v>7.86</v>
      </c>
      <c r="P581" s="2">
        <v>8.27</v>
      </c>
      <c r="Q581" s="16"/>
      <c r="R581" s="17"/>
      <c r="S581">
        <f t="shared" si="9"/>
        <v>8.0949999999999989</v>
      </c>
    </row>
    <row r="582" spans="1:19" x14ac:dyDescent="0.3">
      <c r="A582" s="5">
        <v>581</v>
      </c>
      <c r="B582" s="2">
        <v>1323581</v>
      </c>
      <c r="C582" s="2" t="s">
        <v>563</v>
      </c>
      <c r="D582" s="21" t="s">
        <v>1595</v>
      </c>
      <c r="E582" s="2" t="s">
        <v>985</v>
      </c>
      <c r="F582" s="26">
        <v>6207867590</v>
      </c>
      <c r="G582" s="26" t="s">
        <v>2168</v>
      </c>
      <c r="H582" s="2" t="s">
        <v>1143</v>
      </c>
      <c r="I582" s="2"/>
      <c r="J582" s="16" t="s">
        <v>1145</v>
      </c>
      <c r="K582" s="16"/>
      <c r="L582" s="2" t="s">
        <v>6</v>
      </c>
      <c r="M582" s="16">
        <v>5.93</v>
      </c>
      <c r="N582" s="16">
        <v>7.05</v>
      </c>
      <c r="O582" s="2">
        <v>7.41</v>
      </c>
      <c r="P582" s="2">
        <v>7.59</v>
      </c>
      <c r="Q582" s="16"/>
      <c r="R582" s="17"/>
      <c r="S582">
        <f t="shared" si="9"/>
        <v>6.9950000000000001</v>
      </c>
    </row>
    <row r="583" spans="1:19" x14ac:dyDescent="0.3">
      <c r="A583" s="5">
        <v>582</v>
      </c>
      <c r="B583" s="2">
        <v>1323582</v>
      </c>
      <c r="C583" s="2" t="s">
        <v>564</v>
      </c>
      <c r="D583" s="21" t="s">
        <v>799</v>
      </c>
      <c r="E583" s="2" t="s">
        <v>984</v>
      </c>
      <c r="F583" s="26">
        <v>7488467280</v>
      </c>
      <c r="G583" s="26" t="s">
        <v>2169</v>
      </c>
      <c r="H583" s="2" t="s">
        <v>1143</v>
      </c>
      <c r="I583" s="2"/>
      <c r="J583" s="16" t="s">
        <v>1145</v>
      </c>
      <c r="K583" s="16"/>
      <c r="L583" s="2" t="s">
        <v>6</v>
      </c>
      <c r="M583" s="16">
        <v>5.59</v>
      </c>
      <c r="N583" s="16">
        <v>7.45</v>
      </c>
      <c r="O583" s="2" t="s">
        <v>2246</v>
      </c>
      <c r="P583" s="2">
        <v>6.95</v>
      </c>
      <c r="Q583" s="16"/>
      <c r="R583" s="17"/>
      <c r="S583">
        <f t="shared" si="9"/>
        <v>6.6633333333333331</v>
      </c>
    </row>
    <row r="584" spans="1:19" x14ac:dyDescent="0.3">
      <c r="A584" s="5">
        <v>583</v>
      </c>
      <c r="B584" s="2">
        <v>1323583</v>
      </c>
      <c r="C584" s="2" t="s">
        <v>565</v>
      </c>
      <c r="D584" s="21" t="s">
        <v>1596</v>
      </c>
      <c r="E584" s="2" t="s">
        <v>983</v>
      </c>
      <c r="F584" s="26">
        <v>6299996489</v>
      </c>
      <c r="G584" s="26" t="s">
        <v>2170</v>
      </c>
      <c r="H584" s="2" t="s">
        <v>1143</v>
      </c>
      <c r="I584" s="2"/>
      <c r="J584" s="16" t="s">
        <v>1145</v>
      </c>
      <c r="K584" s="16"/>
      <c r="L584" s="2" t="s">
        <v>6</v>
      </c>
      <c r="M584" s="16">
        <v>6.68</v>
      </c>
      <c r="N584" s="16">
        <v>8.09</v>
      </c>
      <c r="O584" s="2">
        <v>8.0500000000000007</v>
      </c>
      <c r="P584" s="2">
        <v>8.36</v>
      </c>
      <c r="Q584" s="16"/>
      <c r="R584" s="17"/>
      <c r="S584">
        <f t="shared" si="9"/>
        <v>7.7949999999999999</v>
      </c>
    </row>
    <row r="585" spans="1:19" x14ac:dyDescent="0.3">
      <c r="A585" s="5">
        <v>584</v>
      </c>
      <c r="B585" s="2">
        <v>1323584</v>
      </c>
      <c r="C585" s="2" t="s">
        <v>566</v>
      </c>
      <c r="D585" s="21" t="s">
        <v>1597</v>
      </c>
      <c r="E585" s="2" t="s">
        <v>982</v>
      </c>
      <c r="F585" s="26">
        <v>9350452011</v>
      </c>
      <c r="G585" s="26" t="s">
        <v>2171</v>
      </c>
      <c r="H585" s="2" t="s">
        <v>1138</v>
      </c>
      <c r="I585" s="2"/>
      <c r="J585" s="16" t="s">
        <v>1146</v>
      </c>
      <c r="K585" s="16"/>
      <c r="L585" s="2" t="s">
        <v>9</v>
      </c>
      <c r="M585" s="16">
        <v>8.59</v>
      </c>
      <c r="N585" s="16">
        <v>9.27</v>
      </c>
      <c r="O585" s="2">
        <v>9.59</v>
      </c>
      <c r="P585" s="2">
        <v>9.41</v>
      </c>
      <c r="Q585" s="16"/>
      <c r="R585" s="17"/>
      <c r="S585">
        <f t="shared" si="9"/>
        <v>9.2149999999999999</v>
      </c>
    </row>
    <row r="586" spans="1:19" x14ac:dyDescent="0.3">
      <c r="A586" s="5">
        <v>585</v>
      </c>
      <c r="B586" s="2">
        <v>1323585</v>
      </c>
      <c r="C586" s="2" t="s">
        <v>940</v>
      </c>
      <c r="D586" s="21"/>
      <c r="E586" s="2"/>
      <c r="F586" s="26"/>
      <c r="G586" s="26"/>
      <c r="H586" s="2" t="s">
        <v>1138</v>
      </c>
      <c r="I586" s="2"/>
      <c r="J586" s="16" t="s">
        <v>1145</v>
      </c>
      <c r="K586" s="16"/>
      <c r="L586" s="2"/>
      <c r="M586" s="16"/>
      <c r="N586" s="16"/>
      <c r="O586" s="2"/>
      <c r="P586" s="2"/>
      <c r="Q586" s="16"/>
      <c r="R586" s="17"/>
      <c r="S586" t="e">
        <f t="shared" si="9"/>
        <v>#DIV/0!</v>
      </c>
    </row>
    <row r="587" spans="1:19" x14ac:dyDescent="0.3">
      <c r="A587" s="5">
        <v>586</v>
      </c>
      <c r="B587" s="2">
        <v>1323586</v>
      </c>
      <c r="C587" s="2" t="s">
        <v>567</v>
      </c>
      <c r="D587" s="2" t="s">
        <v>1598</v>
      </c>
      <c r="E587" s="2" t="s">
        <v>668</v>
      </c>
      <c r="F587" s="26">
        <v>8053486046</v>
      </c>
      <c r="G587" s="26" t="s">
        <v>2172</v>
      </c>
      <c r="H587" s="2" t="s">
        <v>1143</v>
      </c>
      <c r="I587" s="2"/>
      <c r="J587" s="16" t="s">
        <v>1145</v>
      </c>
      <c r="K587" s="16"/>
      <c r="L587" s="2" t="s">
        <v>9</v>
      </c>
      <c r="M587" s="16">
        <v>6.59</v>
      </c>
      <c r="N587" s="16" t="s">
        <v>1664</v>
      </c>
      <c r="O587" s="2" t="s">
        <v>953</v>
      </c>
      <c r="P587" s="2" t="s">
        <v>2256</v>
      </c>
      <c r="Q587" s="16"/>
      <c r="R587" s="17"/>
      <c r="S587">
        <f t="shared" si="9"/>
        <v>6.59</v>
      </c>
    </row>
    <row r="588" spans="1:19" x14ac:dyDescent="0.3">
      <c r="A588" s="5">
        <v>587</v>
      </c>
      <c r="B588" s="2">
        <v>1323587</v>
      </c>
      <c r="C588" s="2" t="s">
        <v>568</v>
      </c>
      <c r="D588" s="21" t="s">
        <v>909</v>
      </c>
      <c r="E588" s="2" t="s">
        <v>981</v>
      </c>
      <c r="F588" s="26">
        <v>8797869992</v>
      </c>
      <c r="G588" s="26" t="s">
        <v>2173</v>
      </c>
      <c r="H588" s="2" t="s">
        <v>1143</v>
      </c>
      <c r="I588" s="2"/>
      <c r="J588" s="16" t="s">
        <v>1145</v>
      </c>
      <c r="K588" s="16"/>
      <c r="L588" s="2" t="s">
        <v>6</v>
      </c>
      <c r="M588" s="16">
        <v>6.91</v>
      </c>
      <c r="N588" s="16">
        <v>8.68</v>
      </c>
      <c r="O588" s="2">
        <v>8.77</v>
      </c>
      <c r="P588" s="2">
        <v>8.09</v>
      </c>
      <c r="Q588" s="16"/>
      <c r="R588" s="17"/>
      <c r="S588">
        <f t="shared" si="9"/>
        <v>8.1125000000000007</v>
      </c>
    </row>
    <row r="589" spans="1:19" x14ac:dyDescent="0.3">
      <c r="A589" s="5">
        <v>588</v>
      </c>
      <c r="B589" s="2">
        <v>1323588</v>
      </c>
      <c r="C589" s="2" t="s">
        <v>569</v>
      </c>
      <c r="D589" s="21" t="s">
        <v>1599</v>
      </c>
      <c r="E589" s="2" t="s">
        <v>980</v>
      </c>
      <c r="F589" s="26">
        <v>6206913925</v>
      </c>
      <c r="G589" s="26" t="s">
        <v>2174</v>
      </c>
      <c r="H589" s="2"/>
      <c r="I589" s="2"/>
      <c r="J589" s="16"/>
      <c r="K589" s="16"/>
      <c r="L589" s="2" t="s">
        <v>6</v>
      </c>
      <c r="M589" s="16">
        <v>5.8</v>
      </c>
      <c r="N589" s="16">
        <v>8.41</v>
      </c>
      <c r="O589" s="2">
        <v>8.9499999999999993</v>
      </c>
      <c r="P589" s="2">
        <v>8.59</v>
      </c>
      <c r="Q589" s="16"/>
      <c r="R589" s="17"/>
      <c r="S589">
        <f t="shared" si="9"/>
        <v>7.9375</v>
      </c>
    </row>
    <row r="590" spans="1:19" x14ac:dyDescent="0.3">
      <c r="A590" s="5">
        <v>589</v>
      </c>
      <c r="B590" s="2">
        <v>1323589</v>
      </c>
      <c r="C590" s="2" t="s">
        <v>940</v>
      </c>
      <c r="D590" s="21" t="s">
        <v>1600</v>
      </c>
      <c r="E590" s="2" t="s">
        <v>1166</v>
      </c>
      <c r="F590" s="26"/>
      <c r="G590" s="26"/>
      <c r="H590" s="2"/>
      <c r="I590" s="2"/>
      <c r="J590" s="16"/>
      <c r="K590" s="16"/>
      <c r="L590" s="2"/>
      <c r="M590" s="16" t="s">
        <v>958</v>
      </c>
      <c r="N590" s="16"/>
      <c r="O590" s="2"/>
      <c r="P590" s="2"/>
      <c r="Q590" s="16"/>
      <c r="R590" s="17"/>
      <c r="S590" t="e">
        <f t="shared" si="9"/>
        <v>#DIV/0!</v>
      </c>
    </row>
    <row r="591" spans="1:19" x14ac:dyDescent="0.3">
      <c r="A591" s="5">
        <v>590</v>
      </c>
      <c r="B591" s="2">
        <v>1323590</v>
      </c>
      <c r="C591" s="2" t="s">
        <v>570</v>
      </c>
      <c r="D591" s="2" t="s">
        <v>1601</v>
      </c>
      <c r="E591" s="2" t="s">
        <v>979</v>
      </c>
      <c r="F591" s="26">
        <v>7015717185</v>
      </c>
      <c r="G591" s="26" t="s">
        <v>2175</v>
      </c>
      <c r="H591" s="2" t="s">
        <v>1138</v>
      </c>
      <c r="I591" s="2"/>
      <c r="J591" s="16" t="s">
        <v>1146</v>
      </c>
      <c r="K591" s="16"/>
      <c r="L591" s="2" t="s">
        <v>9</v>
      </c>
      <c r="M591" s="16">
        <v>7.41</v>
      </c>
      <c r="N591" s="16">
        <v>8.02</v>
      </c>
      <c r="O591" s="2">
        <v>7.68</v>
      </c>
      <c r="P591" s="2">
        <v>7.32</v>
      </c>
      <c r="Q591" s="16"/>
      <c r="R591" s="17"/>
      <c r="S591">
        <f t="shared" si="9"/>
        <v>7.6074999999999999</v>
      </c>
    </row>
    <row r="592" spans="1:19" x14ac:dyDescent="0.3">
      <c r="A592" s="5">
        <v>591</v>
      </c>
      <c r="B592" s="2">
        <v>1323591</v>
      </c>
      <c r="C592" s="2" t="s">
        <v>940</v>
      </c>
      <c r="D592" s="21" t="s">
        <v>640</v>
      </c>
      <c r="E592" s="2" t="s">
        <v>1422</v>
      </c>
      <c r="F592" s="26"/>
      <c r="G592" s="26"/>
      <c r="H592" s="2"/>
      <c r="I592" s="2"/>
      <c r="J592" s="16"/>
      <c r="K592" s="16"/>
      <c r="L592" s="2" t="s">
        <v>9</v>
      </c>
      <c r="M592" s="16" t="s">
        <v>958</v>
      </c>
      <c r="N592" s="16"/>
      <c r="O592" s="2"/>
      <c r="P592" s="2"/>
      <c r="Q592" s="16"/>
      <c r="R592" s="17"/>
      <c r="S592" t="e">
        <f t="shared" si="9"/>
        <v>#DIV/0!</v>
      </c>
    </row>
    <row r="593" spans="1:19" x14ac:dyDescent="0.3">
      <c r="A593" s="5">
        <v>592</v>
      </c>
      <c r="B593" s="2">
        <v>1323592</v>
      </c>
      <c r="C593" s="2" t="s">
        <v>940</v>
      </c>
      <c r="D593" s="2" t="s">
        <v>1602</v>
      </c>
      <c r="E593" s="2" t="s">
        <v>1305</v>
      </c>
      <c r="F593" s="26"/>
      <c r="G593" s="26"/>
      <c r="H593" s="2"/>
      <c r="I593" s="2"/>
      <c r="J593" s="16"/>
      <c r="K593" s="16"/>
      <c r="L593" s="2"/>
      <c r="M593" s="16" t="s">
        <v>958</v>
      </c>
      <c r="N593" s="16"/>
      <c r="O593" s="2"/>
      <c r="P593" s="2"/>
      <c r="Q593" s="16"/>
      <c r="R593" s="17"/>
      <c r="S593" t="e">
        <f t="shared" si="9"/>
        <v>#DIV/0!</v>
      </c>
    </row>
    <row r="594" spans="1:19" x14ac:dyDescent="0.3">
      <c r="A594" s="5">
        <v>593</v>
      </c>
      <c r="B594" s="2">
        <v>1323593</v>
      </c>
      <c r="C594" s="2" t="s">
        <v>940</v>
      </c>
      <c r="D594" s="2"/>
      <c r="E594" s="2"/>
      <c r="F594" s="26"/>
      <c r="G594" s="26"/>
      <c r="H594" s="2"/>
      <c r="I594" s="2"/>
      <c r="J594" s="16"/>
      <c r="K594" s="16"/>
      <c r="L594" s="2"/>
      <c r="M594" s="16"/>
      <c r="N594" s="16"/>
      <c r="O594" s="2"/>
      <c r="P594" s="2"/>
      <c r="Q594" s="16"/>
      <c r="R594" s="17"/>
      <c r="S594" t="e">
        <f t="shared" si="9"/>
        <v>#DIV/0!</v>
      </c>
    </row>
    <row r="595" spans="1:19" x14ac:dyDescent="0.3">
      <c r="A595" s="5">
        <v>594</v>
      </c>
      <c r="B595" s="2">
        <v>1323594</v>
      </c>
      <c r="C595" s="2" t="s">
        <v>940</v>
      </c>
      <c r="D595" s="2" t="s">
        <v>1603</v>
      </c>
      <c r="E595" s="2" t="s">
        <v>1049</v>
      </c>
      <c r="F595" s="26"/>
      <c r="G595" s="26"/>
      <c r="H595" s="2"/>
      <c r="I595" s="2"/>
      <c r="J595" s="16"/>
      <c r="K595" s="16"/>
      <c r="L595" s="2"/>
      <c r="M595" s="16" t="s">
        <v>958</v>
      </c>
      <c r="N595" s="16"/>
      <c r="O595" s="2"/>
      <c r="P595" s="2"/>
      <c r="Q595" s="16"/>
      <c r="R595" s="17"/>
      <c r="S595" t="e">
        <f t="shared" si="9"/>
        <v>#DIV/0!</v>
      </c>
    </row>
    <row r="596" spans="1:19" x14ac:dyDescent="0.3">
      <c r="A596" s="5">
        <v>595</v>
      </c>
      <c r="B596" s="2">
        <v>1323595</v>
      </c>
      <c r="C596" s="2" t="s">
        <v>940</v>
      </c>
      <c r="D596" s="2"/>
      <c r="E596" s="2"/>
      <c r="F596" s="26"/>
      <c r="G596" s="26"/>
      <c r="H596" s="2"/>
      <c r="I596" s="2"/>
      <c r="J596" s="16"/>
      <c r="K596" s="16"/>
      <c r="L596" s="2"/>
      <c r="M596" s="16"/>
      <c r="N596" s="16"/>
      <c r="O596" s="2"/>
      <c r="P596" s="2"/>
      <c r="Q596" s="16"/>
      <c r="R596" s="17"/>
      <c r="S596" t="e">
        <f t="shared" si="9"/>
        <v>#DIV/0!</v>
      </c>
    </row>
    <row r="597" spans="1:19" x14ac:dyDescent="0.3">
      <c r="A597" s="5">
        <v>596</v>
      </c>
      <c r="B597" s="2">
        <v>1323596</v>
      </c>
      <c r="C597" s="2" t="s">
        <v>940</v>
      </c>
      <c r="D597" s="2" t="s">
        <v>1604</v>
      </c>
      <c r="E597" s="2" t="s">
        <v>1082</v>
      </c>
      <c r="F597" s="26"/>
      <c r="G597" s="26"/>
      <c r="H597" s="2"/>
      <c r="I597" s="2"/>
      <c r="J597" s="16"/>
      <c r="K597" s="16"/>
      <c r="L597" s="2"/>
      <c r="M597" s="16" t="s">
        <v>954</v>
      </c>
      <c r="N597" s="16"/>
      <c r="O597" s="2"/>
      <c r="P597" s="2"/>
      <c r="Q597" s="16"/>
      <c r="R597" s="17"/>
      <c r="S597" t="e">
        <f t="shared" si="9"/>
        <v>#DIV/0!</v>
      </c>
    </row>
    <row r="598" spans="1:19" x14ac:dyDescent="0.3">
      <c r="A598" s="5">
        <v>597</v>
      </c>
      <c r="B598" s="2">
        <v>1323597</v>
      </c>
      <c r="C598" s="2" t="s">
        <v>571</v>
      </c>
      <c r="D598" s="2" t="s">
        <v>1605</v>
      </c>
      <c r="E598" s="2" t="s">
        <v>978</v>
      </c>
      <c r="F598" s="26">
        <v>6201186871</v>
      </c>
      <c r="G598" s="26" t="s">
        <v>2176</v>
      </c>
      <c r="H598" s="2" t="s">
        <v>1144</v>
      </c>
      <c r="I598" s="2"/>
      <c r="J598" s="16" t="s">
        <v>1145</v>
      </c>
      <c r="K598" s="16"/>
      <c r="L598" s="2" t="s">
        <v>6</v>
      </c>
      <c r="M598" s="16" t="s">
        <v>1655</v>
      </c>
      <c r="N598" s="16" t="s">
        <v>1697</v>
      </c>
      <c r="O598" s="2">
        <v>6.39</v>
      </c>
      <c r="P598" s="2" t="s">
        <v>2279</v>
      </c>
      <c r="Q598" s="16"/>
      <c r="R598" s="17"/>
      <c r="S598">
        <f t="shared" si="9"/>
        <v>6.39</v>
      </c>
    </row>
    <row r="599" spans="1:19" x14ac:dyDescent="0.3">
      <c r="A599" s="5">
        <v>598</v>
      </c>
      <c r="B599" s="2">
        <v>1323598</v>
      </c>
      <c r="C599" s="2" t="s">
        <v>572</v>
      </c>
      <c r="D599" s="21" t="s">
        <v>1606</v>
      </c>
      <c r="E599" s="2" t="s">
        <v>977</v>
      </c>
      <c r="F599" s="26">
        <v>9034041313</v>
      </c>
      <c r="G599" s="26" t="s">
        <v>2177</v>
      </c>
      <c r="H599" s="2" t="s">
        <v>1140</v>
      </c>
      <c r="I599" s="2"/>
      <c r="J599" s="16" t="s">
        <v>1146</v>
      </c>
      <c r="K599" s="16"/>
      <c r="L599" s="2" t="s">
        <v>926</v>
      </c>
      <c r="M599" s="16">
        <v>6.5</v>
      </c>
      <c r="N599" s="16" t="s">
        <v>1673</v>
      </c>
      <c r="O599" s="2" t="s">
        <v>953</v>
      </c>
      <c r="P599" s="2">
        <v>7.41</v>
      </c>
      <c r="Q599" s="16"/>
      <c r="R599" s="17"/>
      <c r="S599">
        <f t="shared" si="9"/>
        <v>6.9550000000000001</v>
      </c>
    </row>
    <row r="600" spans="1:19" x14ac:dyDescent="0.3">
      <c r="A600" s="5">
        <v>599</v>
      </c>
      <c r="B600" s="2">
        <v>1323599</v>
      </c>
      <c r="C600" s="2" t="s">
        <v>573</v>
      </c>
      <c r="D600" s="15" t="s">
        <v>1607</v>
      </c>
      <c r="E600" s="2" t="s">
        <v>976</v>
      </c>
      <c r="F600" s="26">
        <v>7369021769</v>
      </c>
      <c r="G600" s="26" t="s">
        <v>2178</v>
      </c>
      <c r="H600" s="2" t="s">
        <v>1144</v>
      </c>
      <c r="I600" s="2"/>
      <c r="J600" s="16" t="s">
        <v>1145</v>
      </c>
      <c r="K600" s="16"/>
      <c r="L600" s="2" t="s">
        <v>6</v>
      </c>
      <c r="M600" s="16">
        <v>5.77</v>
      </c>
      <c r="N600" s="16">
        <v>7.64</v>
      </c>
      <c r="O600" s="2">
        <v>7.41</v>
      </c>
      <c r="P600" s="2">
        <v>6.8</v>
      </c>
      <c r="Q600" s="16"/>
      <c r="R600" s="17"/>
      <c r="S600">
        <f t="shared" si="9"/>
        <v>6.9050000000000002</v>
      </c>
    </row>
    <row r="601" spans="1:19" x14ac:dyDescent="0.3">
      <c r="A601" s="5">
        <v>600</v>
      </c>
      <c r="B601" s="2">
        <v>1323600</v>
      </c>
      <c r="C601" s="2" t="s">
        <v>574</v>
      </c>
      <c r="D601" s="21" t="s">
        <v>910</v>
      </c>
      <c r="E601" s="2" t="s">
        <v>975</v>
      </c>
      <c r="F601" s="26">
        <v>8307696109</v>
      </c>
      <c r="G601" s="26" t="s">
        <v>2179</v>
      </c>
      <c r="H601" s="2" t="s">
        <v>1140</v>
      </c>
      <c r="I601" s="2"/>
      <c r="J601" s="16" t="s">
        <v>1146</v>
      </c>
      <c r="K601" s="16"/>
      <c r="L601" s="2" t="s">
        <v>926</v>
      </c>
      <c r="M601" s="16" t="s">
        <v>1625</v>
      </c>
      <c r="N601" s="16">
        <v>6.45</v>
      </c>
      <c r="O601" s="2">
        <v>6.59</v>
      </c>
      <c r="P601" s="2">
        <v>7.23</v>
      </c>
      <c r="Q601" s="16"/>
      <c r="R601" s="17"/>
      <c r="S601">
        <f t="shared" si="9"/>
        <v>6.7566666666666668</v>
      </c>
    </row>
    <row r="602" spans="1:19" x14ac:dyDescent="0.3">
      <c r="A602" s="5">
        <v>601</v>
      </c>
      <c r="B602" s="2">
        <v>1323601</v>
      </c>
      <c r="C602" s="2" t="s">
        <v>575</v>
      </c>
      <c r="D602" s="15" t="s">
        <v>911</v>
      </c>
      <c r="E602" s="2" t="s">
        <v>974</v>
      </c>
      <c r="F602" s="26">
        <v>7696164510</v>
      </c>
      <c r="G602" s="26" t="s">
        <v>2180</v>
      </c>
      <c r="H602" s="2" t="s">
        <v>1140</v>
      </c>
      <c r="I602" s="2"/>
      <c r="J602" s="16" t="s">
        <v>1145</v>
      </c>
      <c r="K602" s="16"/>
      <c r="L602" s="2" t="s">
        <v>926</v>
      </c>
      <c r="M602" s="16">
        <v>5.89</v>
      </c>
      <c r="N602" s="16" t="s">
        <v>1662</v>
      </c>
      <c r="O602" s="2" t="s">
        <v>2208</v>
      </c>
      <c r="P602" s="2">
        <v>6.86</v>
      </c>
      <c r="Q602" s="16"/>
      <c r="R602" s="17"/>
      <c r="S602">
        <f t="shared" si="9"/>
        <v>6.375</v>
      </c>
    </row>
    <row r="603" spans="1:19" x14ac:dyDescent="0.3">
      <c r="A603" s="5">
        <v>602</v>
      </c>
      <c r="B603" s="2">
        <v>1323602</v>
      </c>
      <c r="C603" s="2" t="s">
        <v>576</v>
      </c>
      <c r="D603" s="15" t="s">
        <v>912</v>
      </c>
      <c r="E603" s="2" t="s">
        <v>973</v>
      </c>
      <c r="F603" s="26">
        <v>7488949019</v>
      </c>
      <c r="G603" s="26" t="s">
        <v>2181</v>
      </c>
      <c r="H603" s="2" t="s">
        <v>1144</v>
      </c>
      <c r="I603" s="2"/>
      <c r="J603" s="16" t="s">
        <v>1145</v>
      </c>
      <c r="K603" s="16"/>
      <c r="L603" s="2" t="s">
        <v>6</v>
      </c>
      <c r="M603" s="16" t="s">
        <v>1656</v>
      </c>
      <c r="N603" s="16">
        <v>6.73</v>
      </c>
      <c r="O603" s="2">
        <v>7.07</v>
      </c>
      <c r="P603" s="2">
        <v>6.05</v>
      </c>
      <c r="Q603" s="16"/>
      <c r="R603" s="17"/>
      <c r="S603">
        <f t="shared" si="9"/>
        <v>6.6166666666666671</v>
      </c>
    </row>
    <row r="604" spans="1:19" x14ac:dyDescent="0.3">
      <c r="A604" s="5">
        <v>603</v>
      </c>
      <c r="B604" s="2">
        <v>1323603</v>
      </c>
      <c r="C604" s="2" t="s">
        <v>577</v>
      </c>
      <c r="D604" s="21" t="s">
        <v>843</v>
      </c>
      <c r="E604" s="2" t="s">
        <v>878</v>
      </c>
      <c r="F604" s="26">
        <v>9334302561</v>
      </c>
      <c r="G604" s="26" t="s">
        <v>2182</v>
      </c>
      <c r="H604" s="2" t="s">
        <v>1144</v>
      </c>
      <c r="I604" s="2"/>
      <c r="J604" s="16" t="s">
        <v>1145</v>
      </c>
      <c r="K604" s="16"/>
      <c r="L604" s="2" t="s">
        <v>9</v>
      </c>
      <c r="M604" s="16">
        <v>7.77</v>
      </c>
      <c r="N604" s="16">
        <v>8.36</v>
      </c>
      <c r="O604" s="2" t="s">
        <v>2208</v>
      </c>
      <c r="P604" s="2">
        <v>7.93</v>
      </c>
      <c r="Q604" s="16"/>
      <c r="R604" s="17"/>
      <c r="S604">
        <f t="shared" si="9"/>
        <v>8.02</v>
      </c>
    </row>
    <row r="605" spans="1:19" x14ac:dyDescent="0.3">
      <c r="A605" s="5">
        <v>604</v>
      </c>
      <c r="B605" s="2">
        <v>1323604</v>
      </c>
      <c r="C605" s="2" t="s">
        <v>578</v>
      </c>
      <c r="D605" s="21" t="s">
        <v>827</v>
      </c>
      <c r="E605" s="2" t="s">
        <v>972</v>
      </c>
      <c r="F605" s="26">
        <v>8950407643</v>
      </c>
      <c r="G605" s="26" t="s">
        <v>2183</v>
      </c>
      <c r="H605" s="2" t="s">
        <v>1140</v>
      </c>
      <c r="I605" s="2"/>
      <c r="J605" s="16" t="s">
        <v>1146</v>
      </c>
      <c r="K605" s="16"/>
      <c r="L605" s="2" t="s">
        <v>926</v>
      </c>
      <c r="M605" s="16" t="s">
        <v>1632</v>
      </c>
      <c r="N605" s="16">
        <v>7.59</v>
      </c>
      <c r="O605" s="2" t="s">
        <v>2208</v>
      </c>
      <c r="P605" s="2">
        <v>7.64</v>
      </c>
      <c r="Q605" s="16"/>
      <c r="R605" s="17"/>
      <c r="S605">
        <f t="shared" si="9"/>
        <v>7.6150000000000002</v>
      </c>
    </row>
    <row r="606" spans="1:19" x14ac:dyDescent="0.3">
      <c r="A606" s="5">
        <v>605</v>
      </c>
      <c r="B606" s="2">
        <v>1323605</v>
      </c>
      <c r="C606" s="2" t="s">
        <v>605</v>
      </c>
      <c r="D606" s="15" t="s">
        <v>1608</v>
      </c>
      <c r="E606" s="2" t="s">
        <v>1423</v>
      </c>
      <c r="F606" s="26">
        <v>7739464983</v>
      </c>
      <c r="G606" s="26" t="s">
        <v>2184</v>
      </c>
      <c r="H606" s="2" t="s">
        <v>1140</v>
      </c>
      <c r="I606" s="2"/>
      <c r="J606" s="16" t="s">
        <v>1145</v>
      </c>
      <c r="K606" s="16"/>
      <c r="L606" s="2" t="s">
        <v>6</v>
      </c>
      <c r="M606" s="16">
        <v>7.68</v>
      </c>
      <c r="N606" s="16">
        <v>9</v>
      </c>
      <c r="O606" s="2" t="s">
        <v>2208</v>
      </c>
      <c r="P606" s="2">
        <v>8.14</v>
      </c>
      <c r="Q606" s="16"/>
      <c r="R606" s="17"/>
      <c r="S606">
        <f t="shared" si="9"/>
        <v>8.2733333333333334</v>
      </c>
    </row>
    <row r="607" spans="1:19" x14ac:dyDescent="0.3">
      <c r="A607" s="5">
        <v>606</v>
      </c>
      <c r="B607" s="2">
        <v>1323606</v>
      </c>
      <c r="C607" s="2" t="s">
        <v>579</v>
      </c>
      <c r="D607" s="15" t="s">
        <v>1609</v>
      </c>
      <c r="E607" s="2" t="s">
        <v>971</v>
      </c>
      <c r="F607" s="26">
        <v>7488386835</v>
      </c>
      <c r="G607" s="26" t="s">
        <v>2185</v>
      </c>
      <c r="H607" s="2" t="s">
        <v>1144</v>
      </c>
      <c r="I607" s="2"/>
      <c r="J607" s="16" t="s">
        <v>1145</v>
      </c>
      <c r="K607" s="16"/>
      <c r="L607" s="2" t="s">
        <v>6</v>
      </c>
      <c r="M607" s="16">
        <v>5.75</v>
      </c>
      <c r="N607" s="16" t="s">
        <v>1677</v>
      </c>
      <c r="O607" s="2">
        <v>7.32</v>
      </c>
      <c r="P607" s="2" t="s">
        <v>2253</v>
      </c>
      <c r="Q607" s="16"/>
      <c r="R607" s="17"/>
      <c r="S607">
        <f t="shared" si="9"/>
        <v>6.5350000000000001</v>
      </c>
    </row>
    <row r="608" spans="1:19" x14ac:dyDescent="0.3">
      <c r="A608" s="5">
        <v>607</v>
      </c>
      <c r="B608" s="2">
        <v>1323607</v>
      </c>
      <c r="C608" s="2" t="s">
        <v>580</v>
      </c>
      <c r="D608" s="21" t="s">
        <v>1610</v>
      </c>
      <c r="E608" s="2" t="s">
        <v>970</v>
      </c>
      <c r="F608" s="26">
        <v>7324010867</v>
      </c>
      <c r="G608" s="26" t="s">
        <v>2186</v>
      </c>
      <c r="H608" s="2" t="s">
        <v>1144</v>
      </c>
      <c r="I608" s="2"/>
      <c r="J608" s="16" t="s">
        <v>1145</v>
      </c>
      <c r="K608" s="16"/>
      <c r="L608" s="2" t="s">
        <v>6</v>
      </c>
      <c r="M608" s="16">
        <v>7</v>
      </c>
      <c r="N608" s="16">
        <v>8.0500000000000007</v>
      </c>
      <c r="O608" s="2">
        <v>9.0500000000000007</v>
      </c>
      <c r="P608" s="2">
        <v>7.36</v>
      </c>
      <c r="Q608" s="16"/>
      <c r="R608" s="17"/>
      <c r="S608">
        <f t="shared" si="9"/>
        <v>7.8650000000000002</v>
      </c>
    </row>
    <row r="609" spans="1:19" x14ac:dyDescent="0.3">
      <c r="A609" s="5">
        <v>608</v>
      </c>
      <c r="B609" s="2">
        <v>1323608</v>
      </c>
      <c r="C609" s="2" t="s">
        <v>581</v>
      </c>
      <c r="D609" s="21" t="s">
        <v>913</v>
      </c>
      <c r="E609" s="2" t="s">
        <v>969</v>
      </c>
      <c r="F609" s="26">
        <v>9306312328</v>
      </c>
      <c r="G609" s="26" t="s">
        <v>2187</v>
      </c>
      <c r="H609" s="2" t="s">
        <v>1140</v>
      </c>
      <c r="I609" s="2"/>
      <c r="J609" s="16" t="s">
        <v>1146</v>
      </c>
      <c r="K609" s="16"/>
      <c r="L609" s="2" t="s">
        <v>926</v>
      </c>
      <c r="M609" s="16">
        <v>6.2</v>
      </c>
      <c r="N609" s="16" t="s">
        <v>1687</v>
      </c>
      <c r="O609" s="2" t="s">
        <v>2247</v>
      </c>
      <c r="P609" s="2">
        <v>7.05</v>
      </c>
      <c r="Q609" s="16"/>
      <c r="R609" s="17"/>
      <c r="S609">
        <f t="shared" si="9"/>
        <v>6.625</v>
      </c>
    </row>
    <row r="610" spans="1:19" x14ac:dyDescent="0.3">
      <c r="A610" s="5">
        <v>609</v>
      </c>
      <c r="B610" s="2">
        <v>1323609</v>
      </c>
      <c r="C610" s="2" t="s">
        <v>582</v>
      </c>
      <c r="D610" s="18" t="s">
        <v>1611</v>
      </c>
      <c r="E610" s="2" t="s">
        <v>968</v>
      </c>
      <c r="F610" s="26">
        <v>8210055718</v>
      </c>
      <c r="G610" s="26" t="s">
        <v>2188</v>
      </c>
      <c r="H610" s="2" t="s">
        <v>1144</v>
      </c>
      <c r="I610" s="2"/>
      <c r="J610" s="16" t="s">
        <v>8</v>
      </c>
      <c r="K610" s="16"/>
      <c r="L610" s="2" t="s">
        <v>8</v>
      </c>
      <c r="M610" s="16">
        <v>5.93</v>
      </c>
      <c r="N610" s="16">
        <v>7.18</v>
      </c>
      <c r="O610" s="2">
        <v>7.34</v>
      </c>
      <c r="P610" s="2" t="s">
        <v>2253</v>
      </c>
      <c r="Q610" s="16"/>
      <c r="R610" s="17"/>
      <c r="S610">
        <f t="shared" si="9"/>
        <v>6.8166666666666664</v>
      </c>
    </row>
    <row r="611" spans="1:19" x14ac:dyDescent="0.3">
      <c r="A611" s="5">
        <v>610</v>
      </c>
      <c r="B611" s="2">
        <v>1323610</v>
      </c>
      <c r="C611" s="2" t="s">
        <v>583</v>
      </c>
      <c r="D611" s="21" t="s">
        <v>914</v>
      </c>
      <c r="E611" s="2" t="s">
        <v>967</v>
      </c>
      <c r="F611" s="26">
        <v>7988730695</v>
      </c>
      <c r="G611" s="26" t="s">
        <v>2189</v>
      </c>
      <c r="H611" s="2" t="s">
        <v>1140</v>
      </c>
      <c r="I611" s="2"/>
      <c r="J611" s="16" t="s">
        <v>1145</v>
      </c>
      <c r="K611" s="16"/>
      <c r="L611" s="2" t="s">
        <v>926</v>
      </c>
      <c r="M611" s="16">
        <v>7.64</v>
      </c>
      <c r="N611" s="16">
        <v>8.32</v>
      </c>
      <c r="O611" s="2" t="s">
        <v>2208</v>
      </c>
      <c r="P611" s="2">
        <v>7.55</v>
      </c>
      <c r="Q611" s="16"/>
      <c r="R611" s="17"/>
      <c r="S611">
        <f t="shared" si="9"/>
        <v>7.8366666666666669</v>
      </c>
    </row>
    <row r="612" spans="1:19" x14ac:dyDescent="0.3">
      <c r="A612" s="5">
        <v>611</v>
      </c>
      <c r="B612" s="2">
        <v>1323611</v>
      </c>
      <c r="C612" s="2" t="s">
        <v>584</v>
      </c>
      <c r="D612" s="15" t="s">
        <v>915</v>
      </c>
      <c r="E612" s="2" t="s">
        <v>966</v>
      </c>
      <c r="F612" s="26">
        <v>7494976713</v>
      </c>
      <c r="G612" s="26" t="s">
        <v>2190</v>
      </c>
      <c r="H612" s="2" t="s">
        <v>1140</v>
      </c>
      <c r="I612" s="2"/>
      <c r="J612" s="16" t="s">
        <v>1146</v>
      </c>
      <c r="K612" s="16"/>
      <c r="L612" s="2" t="s">
        <v>926</v>
      </c>
      <c r="M612" s="16">
        <v>6.75</v>
      </c>
      <c r="N612" s="16">
        <v>6.91</v>
      </c>
      <c r="O612" s="2">
        <v>6.23</v>
      </c>
      <c r="P612" s="2">
        <v>6.14</v>
      </c>
      <c r="Q612" s="16"/>
      <c r="R612" s="17"/>
      <c r="S612">
        <f t="shared" si="9"/>
        <v>6.5075000000000003</v>
      </c>
    </row>
    <row r="613" spans="1:19" x14ac:dyDescent="0.3">
      <c r="A613" s="5">
        <v>612</v>
      </c>
      <c r="B613" s="2">
        <v>1323612</v>
      </c>
      <c r="C613" s="2" t="s">
        <v>585</v>
      </c>
      <c r="D613" s="15" t="s">
        <v>916</v>
      </c>
      <c r="E613" s="2" t="s">
        <v>965</v>
      </c>
      <c r="F613" s="26">
        <v>8084003826</v>
      </c>
      <c r="G613" s="26" t="s">
        <v>2191</v>
      </c>
      <c r="H613" s="2" t="s">
        <v>1144</v>
      </c>
      <c r="I613" s="2"/>
      <c r="J613" s="16" t="s">
        <v>1145</v>
      </c>
      <c r="K613" s="16"/>
      <c r="L613" s="2" t="s">
        <v>6</v>
      </c>
      <c r="M613" s="16" t="s">
        <v>1630</v>
      </c>
      <c r="N613" s="16">
        <v>6.8</v>
      </c>
      <c r="O613" s="2">
        <v>6.05</v>
      </c>
      <c r="P613" s="2">
        <v>6.05</v>
      </c>
      <c r="Q613" s="16"/>
      <c r="R613" s="17"/>
      <c r="S613">
        <f t="shared" si="9"/>
        <v>6.3</v>
      </c>
    </row>
    <row r="614" spans="1:19" x14ac:dyDescent="0.3">
      <c r="A614" s="5">
        <v>613</v>
      </c>
      <c r="B614" s="2">
        <v>1323613</v>
      </c>
      <c r="C614" s="2" t="s">
        <v>586</v>
      </c>
      <c r="D614" s="21" t="s">
        <v>1612</v>
      </c>
      <c r="E614" s="2" t="s">
        <v>964</v>
      </c>
      <c r="F614" s="26">
        <v>6204322165</v>
      </c>
      <c r="G614" s="26" t="s">
        <v>2192</v>
      </c>
      <c r="H614" s="2" t="s">
        <v>1144</v>
      </c>
      <c r="I614" s="2"/>
      <c r="J614" s="16" t="s">
        <v>1146</v>
      </c>
      <c r="K614" s="16"/>
      <c r="L614" s="2" t="s">
        <v>9</v>
      </c>
      <c r="M614" s="16" t="s">
        <v>1625</v>
      </c>
      <c r="N614" s="16" t="s">
        <v>1664</v>
      </c>
      <c r="O614" s="2">
        <v>6.05</v>
      </c>
      <c r="P614" s="2" t="s">
        <v>2294</v>
      </c>
      <c r="Q614" s="16"/>
      <c r="R614" s="17"/>
      <c r="S614">
        <f t="shared" si="9"/>
        <v>6.05</v>
      </c>
    </row>
    <row r="615" spans="1:19" x14ac:dyDescent="0.3">
      <c r="A615" s="5">
        <v>614</v>
      </c>
      <c r="B615" s="2">
        <v>1323614</v>
      </c>
      <c r="C615" s="2" t="s">
        <v>940</v>
      </c>
      <c r="D615" s="2"/>
      <c r="E615" s="2"/>
      <c r="F615" s="26"/>
      <c r="G615" s="26"/>
      <c r="H615" s="2"/>
      <c r="I615" s="2"/>
      <c r="J615" s="16"/>
      <c r="K615" s="16"/>
      <c r="L615" s="2"/>
      <c r="M615" s="16"/>
      <c r="N615" s="16"/>
      <c r="O615" s="2"/>
      <c r="P615" s="2"/>
      <c r="Q615" s="16"/>
      <c r="R615" s="17"/>
      <c r="S615" t="e">
        <f t="shared" si="9"/>
        <v>#DIV/0!</v>
      </c>
    </row>
    <row r="616" spans="1:19" x14ac:dyDescent="0.3">
      <c r="A616" s="5">
        <v>615</v>
      </c>
      <c r="B616" s="2">
        <v>1323615</v>
      </c>
      <c r="C616" s="2" t="s">
        <v>587</v>
      </c>
      <c r="D616" s="2" t="s">
        <v>917</v>
      </c>
      <c r="E616" s="2" t="s">
        <v>963</v>
      </c>
      <c r="F616" s="26">
        <v>9812275621</v>
      </c>
      <c r="G616" s="26" t="s">
        <v>2193</v>
      </c>
      <c r="H616" s="2" t="s">
        <v>1140</v>
      </c>
      <c r="I616" s="2"/>
      <c r="J616" s="16" t="s">
        <v>1146</v>
      </c>
      <c r="K616" s="16"/>
      <c r="L616" s="2" t="s">
        <v>926</v>
      </c>
      <c r="M616" s="16" t="s">
        <v>1648</v>
      </c>
      <c r="N616" s="16">
        <v>6.32</v>
      </c>
      <c r="O616" s="2">
        <v>6.41</v>
      </c>
      <c r="P616" s="2">
        <v>5.64</v>
      </c>
      <c r="Q616" s="16"/>
      <c r="R616" s="17"/>
      <c r="S616">
        <f t="shared" si="9"/>
        <v>6.123333333333334</v>
      </c>
    </row>
    <row r="617" spans="1:19" x14ac:dyDescent="0.3">
      <c r="A617" s="5">
        <v>616</v>
      </c>
      <c r="B617" s="2">
        <v>1323616</v>
      </c>
      <c r="C617" s="2" t="s">
        <v>588</v>
      </c>
      <c r="D617" s="15" t="s">
        <v>918</v>
      </c>
      <c r="E617" s="2" t="s">
        <v>962</v>
      </c>
      <c r="F617" s="26">
        <v>7482059043</v>
      </c>
      <c r="G617" s="26" t="s">
        <v>2194</v>
      </c>
      <c r="H617" s="2" t="s">
        <v>1144</v>
      </c>
      <c r="I617" s="2"/>
      <c r="J617" s="16"/>
      <c r="K617" s="16"/>
      <c r="L617" s="2" t="s">
        <v>9</v>
      </c>
      <c r="M617" s="16" t="s">
        <v>1630</v>
      </c>
      <c r="N617" s="16">
        <v>7.18</v>
      </c>
      <c r="O617" s="2">
        <v>6.43</v>
      </c>
      <c r="P617" s="2">
        <v>6.25</v>
      </c>
      <c r="Q617" s="16"/>
      <c r="R617" s="17"/>
      <c r="S617">
        <f t="shared" si="9"/>
        <v>6.62</v>
      </c>
    </row>
    <row r="618" spans="1:19" x14ac:dyDescent="0.3">
      <c r="A618" s="5">
        <v>617</v>
      </c>
      <c r="B618" s="2">
        <v>1323617</v>
      </c>
      <c r="C618" s="2" t="s">
        <v>589</v>
      </c>
      <c r="D618" s="21" t="s">
        <v>919</v>
      </c>
      <c r="E618" s="2" t="s">
        <v>961</v>
      </c>
      <c r="F618" s="26">
        <v>7324065859</v>
      </c>
      <c r="G618" s="26" t="s">
        <v>2195</v>
      </c>
      <c r="H618" s="2" t="s">
        <v>1144</v>
      </c>
      <c r="I618" s="2"/>
      <c r="J618" s="16" t="s">
        <v>1145</v>
      </c>
      <c r="K618" s="16"/>
      <c r="L618" s="2" t="s">
        <v>9</v>
      </c>
      <c r="M618" s="16">
        <v>5.75</v>
      </c>
      <c r="N618" s="16">
        <v>7.64</v>
      </c>
      <c r="O618" s="2" t="s">
        <v>2208</v>
      </c>
      <c r="P618" s="2">
        <v>7.45</v>
      </c>
      <c r="Q618" s="16"/>
      <c r="R618" s="17"/>
      <c r="S618">
        <f t="shared" si="9"/>
        <v>6.9466666666666663</v>
      </c>
    </row>
    <row r="619" spans="1:19" x14ac:dyDescent="0.3">
      <c r="A619" s="5">
        <v>618</v>
      </c>
      <c r="B619" s="2">
        <v>1323618</v>
      </c>
      <c r="C619" s="2" t="s">
        <v>590</v>
      </c>
      <c r="D619" s="21" t="s">
        <v>1613</v>
      </c>
      <c r="E619" s="2" t="s">
        <v>960</v>
      </c>
      <c r="F619" s="26">
        <v>9931326380</v>
      </c>
      <c r="G619" s="26" t="s">
        <v>2196</v>
      </c>
      <c r="H619" s="2" t="s">
        <v>1144</v>
      </c>
      <c r="I619" s="2"/>
      <c r="J619" s="16" t="s">
        <v>1146</v>
      </c>
      <c r="K619" s="16"/>
      <c r="L619" s="2" t="s">
        <v>9</v>
      </c>
      <c r="M619" s="16" t="s">
        <v>1630</v>
      </c>
      <c r="N619" s="16">
        <v>7.32</v>
      </c>
      <c r="O619" s="2">
        <v>6.61</v>
      </c>
      <c r="P619" s="2">
        <v>6.14</v>
      </c>
      <c r="Q619" s="16"/>
      <c r="R619" s="17"/>
      <c r="S619">
        <f t="shared" si="9"/>
        <v>6.69</v>
      </c>
    </row>
    <row r="620" spans="1:19" x14ac:dyDescent="0.3">
      <c r="A620" s="5">
        <v>619</v>
      </c>
      <c r="B620" s="2">
        <v>1323619</v>
      </c>
      <c r="C620" s="2" t="s">
        <v>591</v>
      </c>
      <c r="D620" s="2" t="s">
        <v>1614</v>
      </c>
      <c r="E620" s="2" t="s">
        <v>959</v>
      </c>
      <c r="F620" s="26">
        <v>9693097672</v>
      </c>
      <c r="G620" s="26" t="s">
        <v>2197</v>
      </c>
      <c r="H620" s="2" t="s">
        <v>1144</v>
      </c>
      <c r="I620" s="2"/>
      <c r="J620" s="16" t="s">
        <v>1145</v>
      </c>
      <c r="K620" s="16"/>
      <c r="L620" s="2" t="s">
        <v>6</v>
      </c>
      <c r="M620" s="16">
        <v>6.09</v>
      </c>
      <c r="N620" s="16">
        <v>7.23</v>
      </c>
      <c r="O620" s="2">
        <v>7.23</v>
      </c>
      <c r="P620" s="2">
        <v>6.64</v>
      </c>
      <c r="Q620" s="16"/>
      <c r="R620" s="17"/>
      <c r="S620">
        <f t="shared" si="9"/>
        <v>6.7975000000000003</v>
      </c>
    </row>
    <row r="621" spans="1:19" x14ac:dyDescent="0.3">
      <c r="A621" s="5">
        <v>620</v>
      </c>
      <c r="B621" s="2">
        <v>1323620</v>
      </c>
      <c r="C621" s="2" t="s">
        <v>592</v>
      </c>
      <c r="D621" s="2" t="s">
        <v>920</v>
      </c>
      <c r="E621" s="2" t="s">
        <v>939</v>
      </c>
      <c r="F621" s="26">
        <v>9693666289</v>
      </c>
      <c r="G621" s="26" t="s">
        <v>2198</v>
      </c>
      <c r="H621" s="2" t="s">
        <v>1144</v>
      </c>
      <c r="I621" s="2"/>
      <c r="J621" s="16" t="s">
        <v>1145</v>
      </c>
      <c r="K621" s="16"/>
      <c r="L621" s="2" t="s">
        <v>6</v>
      </c>
      <c r="M621" s="16">
        <v>6.64</v>
      </c>
      <c r="N621" s="16">
        <v>7.27</v>
      </c>
      <c r="O621" s="2" t="s">
        <v>2208</v>
      </c>
      <c r="P621" s="2">
        <v>7.14</v>
      </c>
      <c r="Q621" s="16"/>
      <c r="R621" s="17"/>
      <c r="S621">
        <f t="shared" si="9"/>
        <v>7.0166666666666666</v>
      </c>
    </row>
    <row r="622" spans="1:19" x14ac:dyDescent="0.3">
      <c r="A622" s="5">
        <v>621</v>
      </c>
      <c r="B622" s="2">
        <v>1323621</v>
      </c>
      <c r="C622" s="2" t="s">
        <v>593</v>
      </c>
      <c r="D622" s="2" t="s">
        <v>921</v>
      </c>
      <c r="E622" s="2" t="s">
        <v>938</v>
      </c>
      <c r="F622" s="26">
        <v>7856912248</v>
      </c>
      <c r="G622" s="26" t="s">
        <v>2199</v>
      </c>
      <c r="H622" s="2" t="s">
        <v>1144</v>
      </c>
      <c r="I622" s="2"/>
      <c r="J622" s="16" t="s">
        <v>1145</v>
      </c>
      <c r="K622" s="16"/>
      <c r="L622" s="2" t="s">
        <v>6</v>
      </c>
      <c r="M622" s="16" t="s">
        <v>953</v>
      </c>
      <c r="N622" s="16" t="s">
        <v>953</v>
      </c>
      <c r="O622" s="2" t="s">
        <v>2208</v>
      </c>
      <c r="P622" s="2" t="s">
        <v>2298</v>
      </c>
      <c r="Q622" s="16"/>
      <c r="R622" s="17"/>
      <c r="S622" t="e">
        <f t="shared" si="9"/>
        <v>#DIV/0!</v>
      </c>
    </row>
    <row r="623" spans="1:19" x14ac:dyDescent="0.3">
      <c r="A623" s="5">
        <v>622</v>
      </c>
      <c r="B623" s="2">
        <v>1323622</v>
      </c>
      <c r="C623" s="2" t="s">
        <v>594</v>
      </c>
      <c r="D623" s="2" t="s">
        <v>819</v>
      </c>
      <c r="E623" s="2" t="s">
        <v>937</v>
      </c>
      <c r="F623" s="26">
        <v>6203629407</v>
      </c>
      <c r="G623" s="26" t="s">
        <v>2200</v>
      </c>
      <c r="H623" s="2" t="s">
        <v>1144</v>
      </c>
      <c r="I623" s="2"/>
      <c r="J623" s="16" t="s">
        <v>1146</v>
      </c>
      <c r="K623" s="16"/>
      <c r="L623" s="2" t="s">
        <v>9</v>
      </c>
      <c r="M623" s="16" t="s">
        <v>953</v>
      </c>
      <c r="N623" s="16">
        <v>7.36</v>
      </c>
      <c r="O623" s="2">
        <v>6.27</v>
      </c>
      <c r="P623" s="2">
        <v>6.36</v>
      </c>
      <c r="Q623" s="16"/>
      <c r="R623" s="17"/>
      <c r="S623">
        <f t="shared" si="9"/>
        <v>6.6633333333333331</v>
      </c>
    </row>
    <row r="624" spans="1:19" x14ac:dyDescent="0.3">
      <c r="A624" s="5">
        <v>623</v>
      </c>
      <c r="B624" s="2">
        <v>1323623</v>
      </c>
      <c r="C624" s="2" t="s">
        <v>595</v>
      </c>
      <c r="D624" s="15" t="s">
        <v>922</v>
      </c>
      <c r="E624" s="2" t="s">
        <v>936</v>
      </c>
      <c r="F624" s="26">
        <v>9334502780</v>
      </c>
      <c r="G624" s="26" t="s">
        <v>2201</v>
      </c>
      <c r="H624" s="2" t="s">
        <v>1144</v>
      </c>
      <c r="I624" s="2"/>
      <c r="J624" s="16" t="s">
        <v>1145</v>
      </c>
      <c r="K624" s="16"/>
      <c r="L624" s="2" t="s">
        <v>6</v>
      </c>
      <c r="M624" s="16" t="s">
        <v>953</v>
      </c>
      <c r="N624" s="16">
        <v>7.59</v>
      </c>
      <c r="O624" s="2">
        <v>7.32</v>
      </c>
      <c r="P624" s="2">
        <v>6.84</v>
      </c>
      <c r="Q624" s="16"/>
      <c r="R624" s="17"/>
      <c r="S624">
        <f t="shared" si="9"/>
        <v>7.25</v>
      </c>
    </row>
    <row r="625" spans="1:19" x14ac:dyDescent="0.3">
      <c r="A625" s="5">
        <v>624</v>
      </c>
      <c r="B625" s="2">
        <v>1323624</v>
      </c>
      <c r="C625" s="2" t="s">
        <v>596</v>
      </c>
      <c r="D625" s="15" t="s">
        <v>1615</v>
      </c>
      <c r="E625" s="2" t="s">
        <v>935</v>
      </c>
      <c r="F625" s="26">
        <v>7370841237</v>
      </c>
      <c r="G625" s="26" t="s">
        <v>2202</v>
      </c>
      <c r="H625" s="2" t="s">
        <v>1144</v>
      </c>
      <c r="I625" s="2"/>
      <c r="J625" s="16"/>
      <c r="K625" s="16"/>
      <c r="L625" s="2" t="s">
        <v>9</v>
      </c>
      <c r="M625" s="16" t="s">
        <v>954</v>
      </c>
      <c r="N625" s="16" t="s">
        <v>1691</v>
      </c>
      <c r="O625" s="2" t="s">
        <v>2248</v>
      </c>
      <c r="P625" s="2" t="s">
        <v>2250</v>
      </c>
      <c r="Q625" s="16"/>
      <c r="R625" s="17"/>
      <c r="S625" t="e">
        <f t="shared" si="9"/>
        <v>#DIV/0!</v>
      </c>
    </row>
    <row r="626" spans="1:19" x14ac:dyDescent="0.3">
      <c r="A626" s="5">
        <v>625</v>
      </c>
      <c r="B626" s="2">
        <v>1323625</v>
      </c>
      <c r="C626" s="2" t="s">
        <v>606</v>
      </c>
      <c r="D626" s="2" t="s">
        <v>955</v>
      </c>
      <c r="E626" s="2" t="s">
        <v>934</v>
      </c>
      <c r="F626" s="26">
        <v>8295339214</v>
      </c>
      <c r="G626" s="26" t="s">
        <v>2203</v>
      </c>
      <c r="H626" s="2" t="s">
        <v>1142</v>
      </c>
      <c r="I626" s="2"/>
      <c r="J626" s="16" t="s">
        <v>1146</v>
      </c>
      <c r="K626" s="16"/>
      <c r="L626" s="2" t="s">
        <v>926</v>
      </c>
      <c r="M626" s="16" t="s">
        <v>958</v>
      </c>
      <c r="N626" s="16">
        <v>7.02</v>
      </c>
      <c r="O626" s="2" t="s">
        <v>2220</v>
      </c>
      <c r="P626" s="2">
        <v>6.95</v>
      </c>
      <c r="Q626" s="16"/>
      <c r="R626" s="17"/>
      <c r="S626">
        <f t="shared" si="9"/>
        <v>6.9849999999999994</v>
      </c>
    </row>
    <row r="627" spans="1:19" x14ac:dyDescent="0.3">
      <c r="A627" s="5">
        <v>626</v>
      </c>
      <c r="B627" s="2">
        <v>1323626</v>
      </c>
      <c r="C627" s="2" t="s">
        <v>597</v>
      </c>
      <c r="D627" s="15" t="s">
        <v>923</v>
      </c>
      <c r="E627" s="2" t="s">
        <v>933</v>
      </c>
      <c r="F627" s="26">
        <v>8809873740</v>
      </c>
      <c r="G627" s="26" t="s">
        <v>2204</v>
      </c>
      <c r="H627" s="2" t="s">
        <v>1144</v>
      </c>
      <c r="I627" s="2"/>
      <c r="J627" s="16" t="s">
        <v>1146</v>
      </c>
      <c r="K627" s="16"/>
      <c r="L627" s="2" t="s">
        <v>9</v>
      </c>
      <c r="M627" s="16" t="s">
        <v>953</v>
      </c>
      <c r="N627" s="16" t="s">
        <v>1698</v>
      </c>
      <c r="O627" s="2" t="s">
        <v>2237</v>
      </c>
      <c r="P627" s="2" t="s">
        <v>2299</v>
      </c>
      <c r="Q627" s="16"/>
      <c r="R627" s="17"/>
      <c r="S627" t="e">
        <f t="shared" si="9"/>
        <v>#DIV/0!</v>
      </c>
    </row>
    <row r="628" spans="1:19" x14ac:dyDescent="0.3">
      <c r="A628" s="5">
        <v>627</v>
      </c>
      <c r="B628" s="2">
        <v>1323627</v>
      </c>
      <c r="C628" s="2" t="s">
        <v>598</v>
      </c>
      <c r="D628" s="2" t="s">
        <v>924</v>
      </c>
      <c r="E628" s="2" t="s">
        <v>932</v>
      </c>
      <c r="F628" s="26">
        <v>7372886944</v>
      </c>
      <c r="G628" s="26" t="s">
        <v>2205</v>
      </c>
      <c r="H628" s="2" t="s">
        <v>1142</v>
      </c>
      <c r="I628" s="2"/>
      <c r="J628" s="16" t="s">
        <v>1145</v>
      </c>
      <c r="K628" s="16"/>
      <c r="L628" s="2" t="s">
        <v>926</v>
      </c>
      <c r="M628" s="16" t="s">
        <v>1656</v>
      </c>
      <c r="N628" s="16">
        <v>7.55</v>
      </c>
      <c r="O628" s="2">
        <v>7.95</v>
      </c>
      <c r="P628" s="2">
        <v>6.64</v>
      </c>
      <c r="Q628" s="16"/>
      <c r="R628" s="17"/>
      <c r="S628">
        <f t="shared" si="9"/>
        <v>7.38</v>
      </c>
    </row>
    <row r="629" spans="1:19" x14ac:dyDescent="0.3">
      <c r="A629" s="5">
        <v>628</v>
      </c>
      <c r="B629" s="2">
        <v>1323628</v>
      </c>
      <c r="C629" s="2" t="s">
        <v>609</v>
      </c>
      <c r="D629" s="15" t="s">
        <v>877</v>
      </c>
      <c r="E629" s="2" t="s">
        <v>931</v>
      </c>
      <c r="F629" s="26">
        <v>9546144555</v>
      </c>
      <c r="G629" s="26" t="s">
        <v>2206</v>
      </c>
      <c r="H629" s="2" t="s">
        <v>1142</v>
      </c>
      <c r="I629" s="2"/>
      <c r="J629" s="16" t="s">
        <v>1145</v>
      </c>
      <c r="K629" s="16"/>
      <c r="L629" s="2" t="s">
        <v>926</v>
      </c>
      <c r="M629" s="16" t="s">
        <v>958</v>
      </c>
      <c r="N629" s="16" t="s">
        <v>958</v>
      </c>
      <c r="O629" s="2" t="s">
        <v>2208</v>
      </c>
      <c r="P629" s="2">
        <v>5.86</v>
      </c>
      <c r="Q629" s="16"/>
      <c r="R629" s="17"/>
      <c r="S629">
        <f t="shared" si="9"/>
        <v>5.86</v>
      </c>
    </row>
    <row r="630" spans="1:19" x14ac:dyDescent="0.3">
      <c r="A630" s="5">
        <v>629</v>
      </c>
      <c r="B630" s="2">
        <v>1323629</v>
      </c>
      <c r="C630" s="2" t="s">
        <v>610</v>
      </c>
      <c r="D630" s="15" t="s">
        <v>925</v>
      </c>
      <c r="E630" s="2" t="s">
        <v>930</v>
      </c>
      <c r="F630" s="26">
        <v>8986219868</v>
      </c>
      <c r="G630" s="26" t="s">
        <v>2207</v>
      </c>
      <c r="H630" s="2" t="s">
        <v>1142</v>
      </c>
      <c r="I630" s="2"/>
      <c r="J630" s="16" t="s">
        <v>1145</v>
      </c>
      <c r="K630" s="16"/>
      <c r="L630" s="2" t="s">
        <v>928</v>
      </c>
      <c r="M630" s="16" t="s">
        <v>958</v>
      </c>
      <c r="N630" s="16" t="s">
        <v>958</v>
      </c>
      <c r="O630" s="2">
        <v>6.48</v>
      </c>
      <c r="P630" s="2">
        <v>5.82</v>
      </c>
      <c r="Q630" s="16"/>
      <c r="R630" s="17"/>
      <c r="S630">
        <f t="shared" si="9"/>
        <v>6.15</v>
      </c>
    </row>
    <row r="631" spans="1:19" ht="15" thickBot="1" x14ac:dyDescent="0.35">
      <c r="A631" s="6">
        <v>630</v>
      </c>
      <c r="B631" s="7" t="s">
        <v>7</v>
      </c>
      <c r="C631" s="7" t="s">
        <v>7</v>
      </c>
      <c r="D631" s="7"/>
      <c r="E631" s="7"/>
      <c r="F631" s="27"/>
      <c r="G631" s="27"/>
      <c r="H631" s="7" t="s">
        <v>1144</v>
      </c>
      <c r="I631" s="7"/>
      <c r="J631" s="22" t="s">
        <v>1145</v>
      </c>
      <c r="K631" s="22"/>
      <c r="L631" s="22"/>
      <c r="M631" s="22"/>
      <c r="N631" s="22"/>
      <c r="O631" s="7"/>
      <c r="P631" s="7"/>
      <c r="Q631" s="22"/>
      <c r="R631" s="23"/>
      <c r="S631" t="e">
        <f t="shared" si="9"/>
        <v>#DIV/0!</v>
      </c>
    </row>
    <row r="632" spans="1:19" x14ac:dyDescent="0.3">
      <c r="B632"/>
      <c r="E632"/>
      <c r="F632" s="42"/>
      <c r="G632" s="42"/>
      <c r="S632" t="e">
        <f t="shared" si="9"/>
        <v>#DIV/0!</v>
      </c>
    </row>
    <row r="633" spans="1:19" x14ac:dyDescent="0.3">
      <c r="B633"/>
      <c r="E633"/>
      <c r="F633" s="42"/>
      <c r="G633" s="42"/>
      <c r="S633" t="e">
        <f t="shared" si="9"/>
        <v>#DIV/0!</v>
      </c>
    </row>
    <row r="634" spans="1:19" x14ac:dyDescent="0.3">
      <c r="B634"/>
      <c r="E634"/>
      <c r="F634" s="42"/>
      <c r="G634" s="42"/>
      <c r="S634" t="e">
        <f t="shared" si="9"/>
        <v>#DIV/0!</v>
      </c>
    </row>
    <row r="635" spans="1:19" x14ac:dyDescent="0.3">
      <c r="B635"/>
      <c r="E635"/>
      <c r="F635" s="42"/>
      <c r="G635" s="42"/>
      <c r="S635" t="e">
        <f t="shared" si="9"/>
        <v>#DIV/0!</v>
      </c>
    </row>
    <row r="636" spans="1:19" x14ac:dyDescent="0.3">
      <c r="B636"/>
      <c r="E636"/>
      <c r="F636" s="42"/>
      <c r="G636" s="42"/>
      <c r="S636" t="e">
        <f t="shared" si="9"/>
        <v>#DIV/0!</v>
      </c>
    </row>
    <row r="637" spans="1:19" x14ac:dyDescent="0.3">
      <c r="B637"/>
      <c r="E637"/>
      <c r="F637" s="42"/>
      <c r="G637" s="42"/>
      <c r="S637" t="e">
        <f t="shared" si="9"/>
        <v>#DIV/0!</v>
      </c>
    </row>
    <row r="638" spans="1:19" x14ac:dyDescent="0.3">
      <c r="B638"/>
      <c r="E638"/>
      <c r="F638" s="42"/>
      <c r="G638" s="42"/>
      <c r="S638" t="e">
        <f t="shared" si="9"/>
        <v>#DIV/0!</v>
      </c>
    </row>
    <row r="639" spans="1:19" x14ac:dyDescent="0.3">
      <c r="B639"/>
      <c r="E639"/>
      <c r="F639" s="42"/>
      <c r="G639" s="42"/>
      <c r="S639" t="e">
        <f t="shared" si="9"/>
        <v>#DIV/0!</v>
      </c>
    </row>
    <row r="640" spans="1:19" x14ac:dyDescent="0.3">
      <c r="B640"/>
      <c r="E640"/>
      <c r="F640" s="42"/>
      <c r="G640" s="42"/>
      <c r="S640" t="e">
        <f t="shared" si="9"/>
        <v>#DIV/0!</v>
      </c>
    </row>
    <row r="641" spans="19:19" x14ac:dyDescent="0.3">
      <c r="S641" t="e">
        <f t="shared" si="9"/>
        <v>#DIV/0!</v>
      </c>
    </row>
  </sheetData>
  <autoFilter ref="P1:P641" xr:uid="{00000000-0001-0000-0100-000000000000}">
    <sortState xmlns:xlrd2="http://schemas.microsoft.com/office/spreadsheetml/2017/richdata2" ref="A2:R641">
      <sortCondition ref="P1:P641"/>
    </sortState>
  </autoFilter>
  <sortState xmlns:xlrd2="http://schemas.microsoft.com/office/spreadsheetml/2017/richdata2" ref="A2:T644">
    <sortCondition ref="B1:B64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8DF4-32CE-4651-8C77-E651773EE5B2}">
  <sheetPr codeName="Sheet2"/>
  <dimension ref="B2:L14"/>
  <sheetViews>
    <sheetView topLeftCell="H1" zoomScale="164" workbookViewId="0">
      <selection activeCell="M13" sqref="M13"/>
    </sheetView>
  </sheetViews>
  <sheetFormatPr defaultRowHeight="14.4" x14ac:dyDescent="0.3"/>
  <cols>
    <col min="2" max="2" width="14.5546875" bestFit="1" customWidth="1"/>
    <col min="3" max="3" width="6" bestFit="1" customWidth="1"/>
    <col min="8" max="8" width="16.44140625" bestFit="1" customWidth="1"/>
  </cols>
  <sheetData>
    <row r="2" spans="2:12" ht="15" thickBot="1" x14ac:dyDescent="0.35"/>
    <row r="3" spans="2:12" x14ac:dyDescent="0.3">
      <c r="B3" s="79" t="s">
        <v>948</v>
      </c>
      <c r="C3" s="80"/>
      <c r="D3" s="80"/>
      <c r="E3" s="80"/>
      <c r="F3" s="80"/>
      <c r="G3" s="80"/>
      <c r="H3" s="81"/>
      <c r="J3" s="61" t="s">
        <v>2303</v>
      </c>
      <c r="K3" s="62"/>
      <c r="L3" s="63"/>
    </row>
    <row r="4" spans="2:12" ht="15" thickBot="1" x14ac:dyDescent="0.35">
      <c r="B4" s="82"/>
      <c r="C4" s="83"/>
      <c r="D4" s="83"/>
      <c r="E4" s="83"/>
      <c r="F4" s="83"/>
      <c r="G4" s="83"/>
      <c r="H4" s="84"/>
      <c r="J4" s="64"/>
      <c r="K4" s="65"/>
      <c r="L4" s="66"/>
    </row>
    <row r="5" spans="2:12" ht="15" thickBot="1" x14ac:dyDescent="0.35">
      <c r="B5" s="29" t="s">
        <v>943</v>
      </c>
      <c r="C5" s="85" t="str">
        <f>VLOOKUP($G$6,'BCA-2023-2026'!$B$2:$R$631,3,FALSE)</f>
        <v>PRATIPAL KUMAR SINGH</v>
      </c>
      <c r="D5" s="85"/>
      <c r="E5" s="85"/>
      <c r="F5" s="86"/>
      <c r="G5" s="87" t="s">
        <v>945</v>
      </c>
      <c r="H5" s="88"/>
      <c r="J5" s="54" t="s">
        <v>2304</v>
      </c>
      <c r="K5" s="67">
        <v>1323607</v>
      </c>
      <c r="L5" s="68"/>
    </row>
    <row r="6" spans="2:12" ht="15" thickBot="1" x14ac:dyDescent="0.35">
      <c r="B6" s="29" t="s">
        <v>611</v>
      </c>
      <c r="C6" s="85" t="str">
        <f>VLOOKUP($G$6,'BCA-2023-2026'!$B$2:$R$631,4,FALSE)</f>
        <v>SAWDHAN SINGH</v>
      </c>
      <c r="D6" s="85"/>
      <c r="E6" s="85"/>
      <c r="F6" s="86"/>
      <c r="G6" s="89">
        <v>1323607</v>
      </c>
      <c r="H6" s="90"/>
      <c r="J6" s="69" t="str">
        <f>VLOOKUP($K$5,'BCA-2023-2026'!$B$2:$R$631,3,FALSE)</f>
        <v>PRATIPAL KUMAR SINGH</v>
      </c>
      <c r="K6" s="70"/>
      <c r="L6" s="71"/>
    </row>
    <row r="7" spans="2:12" ht="15" thickBot="1" x14ac:dyDescent="0.35">
      <c r="B7" s="9" t="s">
        <v>944</v>
      </c>
      <c r="C7" s="78" t="str">
        <f>VLOOKUP($G$6,'BCA-2023-2026'!$B$2:$R$631,2,FALSE)</f>
        <v>23-MCM-576</v>
      </c>
      <c r="D7" s="74"/>
      <c r="E7" s="30" t="s">
        <v>946</v>
      </c>
      <c r="F7" s="31" t="str">
        <f>VLOOKUP($G$6,'BCA-2023-2026'!$B$2:$R$631,7,FALSE)</f>
        <v>G</v>
      </c>
      <c r="G7" s="30" t="s">
        <v>947</v>
      </c>
      <c r="H7" s="31" t="str">
        <f>VLOOKUP($G$6,'BCA-2023-2026'!$B$2:$R$631,9,FALSE)</f>
        <v>BCA (Data Science)</v>
      </c>
      <c r="J7" s="52" t="s">
        <v>949</v>
      </c>
      <c r="K7" s="51"/>
      <c r="L7" s="53"/>
    </row>
    <row r="8" spans="2:12" x14ac:dyDescent="0.3">
      <c r="B8" s="32" t="s">
        <v>949</v>
      </c>
      <c r="C8" s="38">
        <f>VLOOKUP($G$6,'BCA-2023-2026'!$B$2:$R$631,12,FALSE)</f>
        <v>7</v>
      </c>
      <c r="D8" s="72"/>
      <c r="E8" s="73"/>
      <c r="F8" s="74"/>
      <c r="G8" s="73"/>
      <c r="H8" s="74"/>
      <c r="J8" s="52" t="s">
        <v>950</v>
      </c>
      <c r="K8" s="51"/>
      <c r="L8" s="53"/>
    </row>
    <row r="9" spans="2:12" x14ac:dyDescent="0.3">
      <c r="B9" s="33" t="s">
        <v>950</v>
      </c>
      <c r="C9" s="39">
        <f>VLOOKUP($G$6,'BCA-2023-2026'!$B$2:$R$631,13,FALSE)</f>
        <v>8.0500000000000007</v>
      </c>
      <c r="D9" s="75"/>
      <c r="E9" s="76"/>
      <c r="F9" s="77"/>
      <c r="G9" s="76"/>
      <c r="H9" s="77"/>
      <c r="J9" s="52" t="s">
        <v>951</v>
      </c>
      <c r="K9" s="51"/>
      <c r="L9" s="53"/>
    </row>
    <row r="10" spans="2:12" x14ac:dyDescent="0.3">
      <c r="B10" s="33" t="s">
        <v>951</v>
      </c>
      <c r="C10" s="39">
        <f>VLOOKUP($G$6,'BCA-2023-2026'!$B$2:$R$631,14,FALSE)</f>
        <v>9.0500000000000007</v>
      </c>
      <c r="D10" s="75"/>
      <c r="E10" s="76"/>
      <c r="F10" s="77"/>
      <c r="G10" s="76"/>
      <c r="H10" s="77"/>
      <c r="J10" s="52" t="s">
        <v>952</v>
      </c>
      <c r="K10" s="51"/>
      <c r="L10" s="53"/>
    </row>
    <row r="11" spans="2:12" x14ac:dyDescent="0.3">
      <c r="B11" s="33" t="s">
        <v>952</v>
      </c>
      <c r="C11" s="39">
        <f>VLOOKUP($G$6,'BCA-2023-2026'!$B$2:$R$631,15,FALSE)</f>
        <v>7.36</v>
      </c>
      <c r="D11" s="75"/>
      <c r="E11" s="76"/>
      <c r="F11" s="77"/>
      <c r="G11" s="76"/>
      <c r="H11" s="77"/>
      <c r="J11" s="52" t="s">
        <v>2300</v>
      </c>
      <c r="K11" s="51"/>
      <c r="L11" s="53"/>
    </row>
    <row r="12" spans="2:12" ht="15" thickBot="1" x14ac:dyDescent="0.35">
      <c r="B12" s="33" t="s">
        <v>2300</v>
      </c>
      <c r="C12" s="39">
        <f>VLOOKUP($G$6,'BCA-2023-2026'!$B$2:$R$631,16,FALSE)</f>
        <v>0</v>
      </c>
      <c r="D12" s="75"/>
      <c r="E12" s="76"/>
      <c r="F12" s="77"/>
      <c r="G12" s="76"/>
      <c r="H12" s="77"/>
      <c r="J12" s="55" t="s">
        <v>2301</v>
      </c>
      <c r="K12" s="56"/>
      <c r="L12" s="57"/>
    </row>
    <row r="13" spans="2:12" ht="15" thickBot="1" x14ac:dyDescent="0.35">
      <c r="B13" s="34" t="s">
        <v>2301</v>
      </c>
      <c r="C13" s="40">
        <f>VLOOKUP($G$6,'BCA-2023-2026'!$B$2:$R$631,17,FALSE)</f>
        <v>0</v>
      </c>
      <c r="D13" s="75"/>
      <c r="E13" s="76"/>
      <c r="F13" s="77"/>
      <c r="G13" s="76"/>
      <c r="H13" s="77"/>
      <c r="J13" s="69"/>
      <c r="K13" s="70"/>
      <c r="L13" s="71"/>
    </row>
    <row r="14" spans="2:12" ht="15" thickBot="1" x14ac:dyDescent="0.35">
      <c r="B14" s="35" t="s">
        <v>2302</v>
      </c>
      <c r="C14" s="36">
        <f>AVERAGE(C8:H11)</f>
        <v>7.8650000000000002</v>
      </c>
      <c r="D14" s="58"/>
      <c r="E14" s="59"/>
      <c r="F14" s="60"/>
      <c r="G14" s="59"/>
      <c r="H14" s="60"/>
      <c r="J14" s="58"/>
      <c r="K14" s="59"/>
      <c r="L14" s="60"/>
    </row>
  </sheetData>
  <dataConsolidate/>
  <mergeCells count="13">
    <mergeCell ref="D8:F14"/>
    <mergeCell ref="G8:H14"/>
    <mergeCell ref="C7:D7"/>
    <mergeCell ref="B3:H4"/>
    <mergeCell ref="C5:F5"/>
    <mergeCell ref="G5:H5"/>
    <mergeCell ref="C6:F6"/>
    <mergeCell ref="G6:H6"/>
    <mergeCell ref="J14:L14"/>
    <mergeCell ref="J3:L4"/>
    <mergeCell ref="K5:L5"/>
    <mergeCell ref="J6:L6"/>
    <mergeCell ref="J13:L13"/>
  </mergeCells>
  <phoneticPr fontId="4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Update_Student_Result">
                <anchor moveWithCells="1" sizeWithCells="1">
                  <from>
                    <xdr:col>9</xdr:col>
                    <xdr:colOff>0</xdr:colOff>
                    <xdr:row>12</xdr:row>
                    <xdr:rowOff>0</xdr:rowOff>
                  </from>
                  <to>
                    <xdr:col>11</xdr:col>
                    <xdr:colOff>609600</xdr:colOff>
                    <xdr:row>12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Button 4">
              <controlPr defaultSize="0" print="0" autoFill="0" autoPict="0" macro="[0]!Delete_Student_Result">
                <anchor moveWithCells="1" sizeWithCells="1">
                  <from>
                    <xdr:col>9</xdr:col>
                    <xdr:colOff>0</xdr:colOff>
                    <xdr:row>13</xdr:row>
                    <xdr:rowOff>7620</xdr:rowOff>
                  </from>
                  <to>
                    <xdr:col>11</xdr:col>
                    <xdr:colOff>609600</xdr:colOff>
                    <xdr:row>13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CEE14A-3808-4AF4-8373-356533368129}">
          <x14:formula1>
            <xm:f>'BCA-2023-2026'!$B$2:$B$631</xm:f>
          </x14:formula1>
          <xm:sqref>G6:H6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95DB-D9A0-44CD-9351-DFD9650BFBF6}">
  <sheetPr codeName="Sheet3"/>
  <dimension ref="A1:S631"/>
  <sheetViews>
    <sheetView tabSelected="1" zoomScale="109" zoomScaleNormal="100" workbookViewId="0">
      <selection activeCell="S6" sqref="A1:S631"/>
    </sheetView>
  </sheetViews>
  <sheetFormatPr defaultRowHeight="14.4" x14ac:dyDescent="0.3"/>
  <cols>
    <col min="1" max="1" width="6" bestFit="1" customWidth="1"/>
    <col min="2" max="2" width="8.21875" style="1" bestFit="1" customWidth="1"/>
    <col min="3" max="3" width="11.77734375" style="1" bestFit="1" customWidth="1"/>
    <col min="4" max="4" width="33.109375" style="8" bestFit="1" customWidth="1"/>
    <col min="5" max="5" width="30" style="1" bestFit="1" customWidth="1"/>
    <col min="6" max="6" width="11.44140625" style="28" bestFit="1" customWidth="1"/>
    <col min="7" max="7" width="36.44140625" style="28" bestFit="1" customWidth="1"/>
    <col min="8" max="8" width="7.21875" style="1" bestFit="1" customWidth="1"/>
    <col min="9" max="9" width="18.33203125" style="1" bestFit="1" customWidth="1"/>
    <col min="10" max="10" width="16.44140625" bestFit="1" customWidth="1"/>
    <col min="11" max="11" width="6.21875" bestFit="1" customWidth="1"/>
    <col min="12" max="12" width="12.44140625" bestFit="1" customWidth="1"/>
    <col min="13" max="13" width="71" bestFit="1" customWidth="1"/>
    <col min="14" max="14" width="70.77734375" bestFit="1" customWidth="1"/>
    <col min="15" max="15" width="83.88671875" style="1" bestFit="1" customWidth="1"/>
    <col min="16" max="16" width="64.5546875" style="1" bestFit="1" customWidth="1"/>
    <col min="17" max="18" width="8.44140625" bestFit="1" customWidth="1"/>
    <col min="19" max="19" width="12.44140625" style="95" bestFit="1" customWidth="1"/>
  </cols>
  <sheetData>
    <row r="1" spans="1:19" ht="15" thickBot="1" x14ac:dyDescent="0.35">
      <c r="A1" s="9" t="s">
        <v>0</v>
      </c>
      <c r="B1" s="10" t="s">
        <v>1</v>
      </c>
      <c r="C1" s="10" t="s">
        <v>16</v>
      </c>
      <c r="D1" s="10" t="s">
        <v>4</v>
      </c>
      <c r="E1" s="10" t="s">
        <v>611</v>
      </c>
      <c r="F1" s="24" t="s">
        <v>942</v>
      </c>
      <c r="G1" s="24" t="s">
        <v>1699</v>
      </c>
      <c r="H1" s="10" t="s">
        <v>2</v>
      </c>
      <c r="I1" s="10" t="s">
        <v>1148</v>
      </c>
      <c r="J1" s="11" t="s">
        <v>1147</v>
      </c>
      <c r="K1" s="11" t="s">
        <v>3</v>
      </c>
      <c r="L1" s="11" t="s">
        <v>5</v>
      </c>
      <c r="M1" s="11" t="s">
        <v>10</v>
      </c>
      <c r="N1" s="11" t="s">
        <v>11</v>
      </c>
      <c r="O1" s="10" t="s">
        <v>12</v>
      </c>
      <c r="P1" s="10" t="s">
        <v>13</v>
      </c>
      <c r="Q1" s="11" t="s">
        <v>14</v>
      </c>
      <c r="R1" s="47" t="s">
        <v>15</v>
      </c>
      <c r="S1" s="92" t="s">
        <v>2302</v>
      </c>
    </row>
    <row r="2" spans="1:19" x14ac:dyDescent="0.3">
      <c r="A2" s="3">
        <v>1</v>
      </c>
      <c r="B2" s="4">
        <v>1323001</v>
      </c>
      <c r="C2" s="4" t="s">
        <v>940</v>
      </c>
      <c r="D2" s="4"/>
      <c r="E2" s="4"/>
      <c r="F2" s="25"/>
      <c r="G2" s="25"/>
      <c r="H2" s="4"/>
      <c r="I2" s="4"/>
      <c r="J2" s="13"/>
      <c r="K2" s="13"/>
      <c r="L2" s="4"/>
      <c r="M2" s="13"/>
      <c r="N2" s="13"/>
      <c r="O2" s="4"/>
      <c r="P2" s="4"/>
      <c r="Q2" s="13"/>
      <c r="R2" s="48"/>
      <c r="S2" s="93" t="e">
        <f t="shared" ref="S2:S65" si="0">AVERAGE(M2:P2)</f>
        <v>#DIV/0!</v>
      </c>
    </row>
    <row r="3" spans="1:19" x14ac:dyDescent="0.3">
      <c r="A3" s="5">
        <v>2</v>
      </c>
      <c r="B3" s="2">
        <v>1323002</v>
      </c>
      <c r="C3" s="2" t="s">
        <v>17</v>
      </c>
      <c r="D3" s="15" t="s">
        <v>1424</v>
      </c>
      <c r="E3" s="2" t="s">
        <v>612</v>
      </c>
      <c r="F3" s="26">
        <v>6398068307</v>
      </c>
      <c r="G3" s="26" t="s">
        <v>1700</v>
      </c>
      <c r="H3" s="2" t="s">
        <v>1138</v>
      </c>
      <c r="I3" s="2"/>
      <c r="J3" s="16" t="s">
        <v>1145</v>
      </c>
      <c r="K3" s="16"/>
      <c r="L3" s="2" t="s">
        <v>8</v>
      </c>
      <c r="M3" s="16">
        <v>6.2</v>
      </c>
      <c r="N3" s="16" t="s">
        <v>1660</v>
      </c>
      <c r="O3" s="2" t="s">
        <v>2208</v>
      </c>
      <c r="P3" s="2" t="s">
        <v>2249</v>
      </c>
      <c r="Q3" s="16"/>
      <c r="R3" s="49"/>
      <c r="S3" s="93">
        <f t="shared" si="0"/>
        <v>6.2</v>
      </c>
    </row>
    <row r="4" spans="1:19" x14ac:dyDescent="0.3">
      <c r="A4" s="5">
        <v>3</v>
      </c>
      <c r="B4" s="2">
        <v>1323003</v>
      </c>
      <c r="C4" s="2" t="s">
        <v>940</v>
      </c>
      <c r="D4" s="15"/>
      <c r="E4" s="2"/>
      <c r="F4" s="26"/>
      <c r="G4" s="26"/>
      <c r="H4" s="2"/>
      <c r="I4" s="2"/>
      <c r="J4" s="16"/>
      <c r="K4" s="16"/>
      <c r="L4" s="2" t="s">
        <v>8</v>
      </c>
      <c r="M4" s="16"/>
      <c r="N4" s="16"/>
      <c r="O4" s="2"/>
      <c r="P4" s="2"/>
      <c r="Q4" s="16"/>
      <c r="R4" s="49"/>
      <c r="S4" s="93" t="e">
        <f t="shared" si="0"/>
        <v>#DIV/0!</v>
      </c>
    </row>
    <row r="5" spans="1:19" x14ac:dyDescent="0.3">
      <c r="A5" s="5">
        <v>4</v>
      </c>
      <c r="B5" s="2">
        <v>1323004</v>
      </c>
      <c r="C5" s="2" t="s">
        <v>18</v>
      </c>
      <c r="D5" s="15" t="s">
        <v>1425</v>
      </c>
      <c r="E5" s="2" t="s">
        <v>613</v>
      </c>
      <c r="F5" s="26">
        <v>7015333235</v>
      </c>
      <c r="G5" s="26" t="s">
        <v>1701</v>
      </c>
      <c r="H5" s="2" t="s">
        <v>1138</v>
      </c>
      <c r="I5" s="2"/>
      <c r="J5" s="16" t="s">
        <v>8</v>
      </c>
      <c r="K5" s="16"/>
      <c r="L5" s="2" t="s">
        <v>8</v>
      </c>
      <c r="M5" s="16">
        <v>6.61</v>
      </c>
      <c r="N5" s="16">
        <v>6.23</v>
      </c>
      <c r="O5" s="2" t="s">
        <v>2208</v>
      </c>
      <c r="P5" s="2">
        <v>6.39</v>
      </c>
      <c r="Q5" s="16"/>
      <c r="R5" s="49"/>
      <c r="S5" s="93">
        <f t="shared" si="0"/>
        <v>6.41</v>
      </c>
    </row>
    <row r="6" spans="1:19" x14ac:dyDescent="0.3">
      <c r="A6" s="5">
        <v>5</v>
      </c>
      <c r="B6" s="2">
        <v>1323005</v>
      </c>
      <c r="C6" s="2" t="s">
        <v>19</v>
      </c>
      <c r="D6" s="15" t="s">
        <v>1426</v>
      </c>
      <c r="E6" s="2" t="s">
        <v>1149</v>
      </c>
      <c r="F6" s="26"/>
      <c r="G6" s="26"/>
      <c r="H6" s="2"/>
      <c r="I6" s="2"/>
      <c r="J6" s="16"/>
      <c r="K6" s="16"/>
      <c r="L6" s="2"/>
      <c r="M6" s="16">
        <v>8.77</v>
      </c>
      <c r="N6" s="16" t="s">
        <v>1661</v>
      </c>
      <c r="O6" s="2"/>
      <c r="P6" s="2"/>
      <c r="Q6" s="16"/>
      <c r="R6" s="49"/>
      <c r="S6" s="93">
        <f t="shared" si="0"/>
        <v>8.77</v>
      </c>
    </row>
    <row r="7" spans="1:19" x14ac:dyDescent="0.3">
      <c r="A7" s="5">
        <v>6</v>
      </c>
      <c r="B7" s="2">
        <v>1323006</v>
      </c>
      <c r="C7" s="2" t="s">
        <v>20</v>
      </c>
      <c r="D7" s="15" t="s">
        <v>614</v>
      </c>
      <c r="E7" s="2" t="s">
        <v>977</v>
      </c>
      <c r="F7" s="26">
        <v>7027082784</v>
      </c>
      <c r="G7" s="26" t="s">
        <v>1702</v>
      </c>
      <c r="H7" s="2" t="s">
        <v>1138</v>
      </c>
      <c r="I7" s="2"/>
      <c r="J7" s="16" t="s">
        <v>1145</v>
      </c>
      <c r="K7" s="16"/>
      <c r="L7" s="2" t="s">
        <v>8</v>
      </c>
      <c r="M7" s="16">
        <v>8.0500000000000007</v>
      </c>
      <c r="N7" s="16">
        <v>8.4499999999999993</v>
      </c>
      <c r="O7" s="2">
        <v>8.36</v>
      </c>
      <c r="P7" s="2">
        <v>7.32</v>
      </c>
      <c r="Q7" s="16"/>
      <c r="R7" s="49"/>
      <c r="S7" s="93">
        <f t="shared" si="0"/>
        <v>8.0449999999999999</v>
      </c>
    </row>
    <row r="8" spans="1:19" x14ac:dyDescent="0.3">
      <c r="A8" s="5">
        <v>7</v>
      </c>
      <c r="B8" s="2">
        <v>1323007</v>
      </c>
      <c r="C8" s="2" t="s">
        <v>21</v>
      </c>
      <c r="D8" s="15" t="s">
        <v>615</v>
      </c>
      <c r="E8" s="2" t="s">
        <v>1090</v>
      </c>
      <c r="F8" s="26">
        <v>7027435871</v>
      </c>
      <c r="G8" s="26" t="s">
        <v>1703</v>
      </c>
      <c r="H8" s="2" t="s">
        <v>1138</v>
      </c>
      <c r="I8" s="2"/>
      <c r="J8" s="16" t="s">
        <v>8</v>
      </c>
      <c r="K8" s="16"/>
      <c r="L8" s="2" t="s">
        <v>8</v>
      </c>
      <c r="M8" s="16">
        <v>7.45</v>
      </c>
      <c r="N8" s="16">
        <v>8.18</v>
      </c>
      <c r="O8" s="2">
        <v>7.95</v>
      </c>
      <c r="P8" s="2">
        <v>7.55</v>
      </c>
      <c r="Q8" s="16"/>
      <c r="R8" s="49"/>
      <c r="S8" s="93">
        <f t="shared" si="0"/>
        <v>7.7824999999999998</v>
      </c>
    </row>
    <row r="9" spans="1:19" x14ac:dyDescent="0.3">
      <c r="A9" s="5">
        <v>8</v>
      </c>
      <c r="B9" s="2">
        <v>1323008</v>
      </c>
      <c r="C9" s="2" t="s">
        <v>22</v>
      </c>
      <c r="D9" s="15" t="s">
        <v>1427</v>
      </c>
      <c r="E9" s="2" t="s">
        <v>1091</v>
      </c>
      <c r="F9" s="26">
        <v>7027684989</v>
      </c>
      <c r="G9" s="26" t="s">
        <v>1704</v>
      </c>
      <c r="H9" s="2" t="s">
        <v>1138</v>
      </c>
      <c r="I9" s="2"/>
      <c r="J9" s="16" t="s">
        <v>1145</v>
      </c>
      <c r="K9" s="16"/>
      <c r="L9" s="2" t="s">
        <v>9</v>
      </c>
      <c r="M9" s="16" t="s">
        <v>1616</v>
      </c>
      <c r="N9" s="16" t="s">
        <v>1662</v>
      </c>
      <c r="O9" s="2" t="s">
        <v>2209</v>
      </c>
      <c r="P9" s="2">
        <v>6.66</v>
      </c>
      <c r="Q9" s="16"/>
      <c r="R9" s="49"/>
      <c r="S9" s="93">
        <f t="shared" si="0"/>
        <v>6.66</v>
      </c>
    </row>
    <row r="10" spans="1:19" x14ac:dyDescent="0.3">
      <c r="A10" s="5">
        <v>9</v>
      </c>
      <c r="B10" s="2">
        <v>1323009</v>
      </c>
      <c r="C10" s="2" t="s">
        <v>23</v>
      </c>
      <c r="D10" s="15" t="s">
        <v>1428</v>
      </c>
      <c r="E10" s="2" t="s">
        <v>1092</v>
      </c>
      <c r="F10" s="26">
        <v>7027743511</v>
      </c>
      <c r="G10" s="26" t="s">
        <v>1705</v>
      </c>
      <c r="H10" s="2" t="s">
        <v>1138</v>
      </c>
      <c r="I10" s="2"/>
      <c r="J10" s="16" t="s">
        <v>8</v>
      </c>
      <c r="K10" s="16"/>
      <c r="L10" s="2" t="s">
        <v>8</v>
      </c>
      <c r="M10" s="16">
        <v>6.55</v>
      </c>
      <c r="N10" s="16">
        <v>6.84</v>
      </c>
      <c r="O10" s="2">
        <v>7.59</v>
      </c>
      <c r="P10" s="2">
        <v>6.25</v>
      </c>
      <c r="Q10" s="16"/>
      <c r="R10" s="49"/>
      <c r="S10" s="93">
        <f t="shared" si="0"/>
        <v>6.8075000000000001</v>
      </c>
    </row>
    <row r="11" spans="1:19" x14ac:dyDescent="0.3">
      <c r="A11" s="5">
        <v>10</v>
      </c>
      <c r="B11" s="2">
        <v>1323010</v>
      </c>
      <c r="C11" s="2" t="s">
        <v>24</v>
      </c>
      <c r="D11" s="15" t="s">
        <v>616</v>
      </c>
      <c r="E11" s="2" t="s">
        <v>1093</v>
      </c>
      <c r="F11" s="26">
        <v>7055570167</v>
      </c>
      <c r="G11" s="26" t="s">
        <v>1706</v>
      </c>
      <c r="H11" s="2" t="s">
        <v>1138</v>
      </c>
      <c r="I11" s="2"/>
      <c r="J11" s="16" t="s">
        <v>1145</v>
      </c>
      <c r="K11" s="16"/>
      <c r="L11" s="2" t="s">
        <v>8</v>
      </c>
      <c r="M11" s="16">
        <v>7.91</v>
      </c>
      <c r="N11" s="16">
        <v>8.5500000000000007</v>
      </c>
      <c r="O11" s="2">
        <v>7.91</v>
      </c>
      <c r="P11" s="2">
        <v>7.41</v>
      </c>
      <c r="Q11" s="16"/>
      <c r="R11" s="49"/>
      <c r="S11" s="93">
        <f t="shared" si="0"/>
        <v>7.9450000000000003</v>
      </c>
    </row>
    <row r="12" spans="1:19" x14ac:dyDescent="0.3">
      <c r="A12" s="5">
        <v>11</v>
      </c>
      <c r="B12" s="2">
        <v>1323011</v>
      </c>
      <c r="C12" s="2" t="s">
        <v>25</v>
      </c>
      <c r="D12" s="15" t="s">
        <v>617</v>
      </c>
      <c r="E12" s="2" t="s">
        <v>819</v>
      </c>
      <c r="F12" s="26">
        <v>7056088460</v>
      </c>
      <c r="G12" s="26" t="s">
        <v>1707</v>
      </c>
      <c r="H12" s="2" t="s">
        <v>1138</v>
      </c>
      <c r="I12" s="2"/>
      <c r="J12" s="16" t="s">
        <v>1146</v>
      </c>
      <c r="K12" s="16"/>
      <c r="L12" s="2" t="s">
        <v>6</v>
      </c>
      <c r="M12" s="16">
        <v>7.73</v>
      </c>
      <c r="N12" s="16">
        <v>8.59</v>
      </c>
      <c r="O12" s="2">
        <v>8.09</v>
      </c>
      <c r="P12" s="2">
        <v>7.11</v>
      </c>
      <c r="Q12" s="16"/>
      <c r="R12" s="49"/>
      <c r="S12" s="93">
        <f t="shared" si="0"/>
        <v>7.88</v>
      </c>
    </row>
    <row r="13" spans="1:19" x14ac:dyDescent="0.3">
      <c r="A13" s="5">
        <v>12</v>
      </c>
      <c r="B13" s="2">
        <v>1323012</v>
      </c>
      <c r="C13" s="2" t="s">
        <v>26</v>
      </c>
      <c r="D13" s="18" t="s">
        <v>1429</v>
      </c>
      <c r="E13" s="2" t="s">
        <v>1094</v>
      </c>
      <c r="F13" s="26">
        <v>7056369950</v>
      </c>
      <c r="G13" s="26" t="s">
        <v>1708</v>
      </c>
      <c r="H13" s="2" t="s">
        <v>1138</v>
      </c>
      <c r="I13" s="2"/>
      <c r="J13" s="16" t="s">
        <v>8</v>
      </c>
      <c r="K13" s="16"/>
      <c r="L13" s="2" t="s">
        <v>8</v>
      </c>
      <c r="M13" s="16">
        <v>8.68</v>
      </c>
      <c r="N13" s="16">
        <v>9.23</v>
      </c>
      <c r="O13" s="2">
        <v>9.5</v>
      </c>
      <c r="P13" s="2">
        <v>8.9499999999999993</v>
      </c>
      <c r="Q13" s="16"/>
      <c r="R13" s="49"/>
      <c r="S13" s="93">
        <f t="shared" si="0"/>
        <v>9.09</v>
      </c>
    </row>
    <row r="14" spans="1:19" x14ac:dyDescent="0.3">
      <c r="A14" s="5">
        <v>13</v>
      </c>
      <c r="B14" s="2">
        <v>1323013</v>
      </c>
      <c r="C14" s="2" t="s">
        <v>27</v>
      </c>
      <c r="D14" s="15" t="s">
        <v>1430</v>
      </c>
      <c r="E14" s="2" t="s">
        <v>1150</v>
      </c>
      <c r="F14" s="26"/>
      <c r="G14" s="26"/>
      <c r="H14" s="2"/>
      <c r="I14" s="2"/>
      <c r="J14" s="16"/>
      <c r="K14" s="16"/>
      <c r="L14" s="2"/>
      <c r="M14" s="16" t="s">
        <v>953</v>
      </c>
      <c r="N14" s="16" t="s">
        <v>1663</v>
      </c>
      <c r="O14" s="2">
        <v>8.73</v>
      </c>
      <c r="P14" s="2"/>
      <c r="Q14" s="16"/>
      <c r="R14" s="49"/>
      <c r="S14" s="93">
        <f t="shared" si="0"/>
        <v>8.73</v>
      </c>
    </row>
    <row r="15" spans="1:19" x14ac:dyDescent="0.3">
      <c r="A15" s="5">
        <v>14</v>
      </c>
      <c r="B15" s="2">
        <v>1323014</v>
      </c>
      <c r="C15" s="2" t="s">
        <v>28</v>
      </c>
      <c r="D15" s="15" t="s">
        <v>1431</v>
      </c>
      <c r="E15" s="2" t="s">
        <v>668</v>
      </c>
      <c r="F15" s="26"/>
      <c r="G15" s="26"/>
      <c r="H15" s="2"/>
      <c r="I15" s="2"/>
      <c r="J15" s="16"/>
      <c r="K15" s="16"/>
      <c r="L15" s="2"/>
      <c r="M15" s="16" t="s">
        <v>958</v>
      </c>
      <c r="N15" s="16"/>
      <c r="O15" s="2"/>
      <c r="P15" s="2"/>
      <c r="Q15" s="16"/>
      <c r="R15" s="49"/>
      <c r="S15" s="93" t="e">
        <f t="shared" si="0"/>
        <v>#DIV/0!</v>
      </c>
    </row>
    <row r="16" spans="1:19" x14ac:dyDescent="0.3">
      <c r="A16" s="5">
        <v>15</v>
      </c>
      <c r="B16" s="2">
        <v>1323015</v>
      </c>
      <c r="C16" s="2" t="s">
        <v>29</v>
      </c>
      <c r="D16" s="15" t="s">
        <v>1432</v>
      </c>
      <c r="E16" s="2" t="s">
        <v>1095</v>
      </c>
      <c r="F16" s="26">
        <v>7206610722</v>
      </c>
      <c r="G16" s="26" t="s">
        <v>1709</v>
      </c>
      <c r="H16" s="2" t="s">
        <v>1138</v>
      </c>
      <c r="I16" s="2"/>
      <c r="J16" s="16" t="s">
        <v>8</v>
      </c>
      <c r="K16" s="16"/>
      <c r="L16" s="2" t="s">
        <v>8</v>
      </c>
      <c r="M16" s="16">
        <v>7.91</v>
      </c>
      <c r="N16" s="16">
        <v>8.41</v>
      </c>
      <c r="O16" s="2"/>
      <c r="P16" s="2">
        <v>8.14</v>
      </c>
      <c r="Q16" s="16"/>
      <c r="R16" s="49"/>
      <c r="S16" s="93">
        <f t="shared" si="0"/>
        <v>8.1533333333333342</v>
      </c>
    </row>
    <row r="17" spans="1:19" x14ac:dyDescent="0.3">
      <c r="A17" s="5">
        <v>16</v>
      </c>
      <c r="B17" s="2">
        <v>1323016</v>
      </c>
      <c r="C17" s="2" t="s">
        <v>30</v>
      </c>
      <c r="D17" s="15" t="s">
        <v>618</v>
      </c>
      <c r="E17" s="2" t="s">
        <v>1096</v>
      </c>
      <c r="F17" s="26">
        <v>7206639042</v>
      </c>
      <c r="G17" s="26" t="s">
        <v>1710</v>
      </c>
      <c r="H17" s="2" t="s">
        <v>1138</v>
      </c>
      <c r="I17" s="2"/>
      <c r="J17" s="16"/>
      <c r="K17" s="16"/>
      <c r="L17" s="2" t="s">
        <v>8</v>
      </c>
      <c r="M17" s="16">
        <v>6.77</v>
      </c>
      <c r="N17" s="16">
        <v>6.95</v>
      </c>
      <c r="O17" s="2" t="s">
        <v>2209</v>
      </c>
      <c r="P17" s="2" t="s">
        <v>2250</v>
      </c>
      <c r="Q17" s="16"/>
      <c r="R17" s="49"/>
      <c r="S17" s="93">
        <f t="shared" si="0"/>
        <v>6.8599999999999994</v>
      </c>
    </row>
    <row r="18" spans="1:19" x14ac:dyDescent="0.3">
      <c r="A18" s="5">
        <v>17</v>
      </c>
      <c r="B18" s="2">
        <v>1323017</v>
      </c>
      <c r="C18" s="2" t="s">
        <v>31</v>
      </c>
      <c r="D18" s="15" t="s">
        <v>1433</v>
      </c>
      <c r="E18" s="2" t="s">
        <v>1097</v>
      </c>
      <c r="F18" s="26">
        <v>8307255025</v>
      </c>
      <c r="G18" s="26" t="s">
        <v>1711</v>
      </c>
      <c r="H18" s="2" t="s">
        <v>1138</v>
      </c>
      <c r="I18" s="2"/>
      <c r="J18" s="16" t="s">
        <v>8</v>
      </c>
      <c r="K18" s="16"/>
      <c r="L18" s="2" t="s">
        <v>8</v>
      </c>
      <c r="M18" s="16">
        <v>6.07</v>
      </c>
      <c r="N18" s="16" t="s">
        <v>1664</v>
      </c>
      <c r="O18" s="2" t="s">
        <v>2208</v>
      </c>
      <c r="P18" s="2" t="s">
        <v>2251</v>
      </c>
      <c r="Q18" s="16"/>
      <c r="R18" s="49"/>
      <c r="S18" s="93">
        <f t="shared" si="0"/>
        <v>6.07</v>
      </c>
    </row>
    <row r="19" spans="1:19" x14ac:dyDescent="0.3">
      <c r="A19" s="5">
        <v>18</v>
      </c>
      <c r="B19" s="2">
        <v>1323018</v>
      </c>
      <c r="C19" s="2" t="s">
        <v>32</v>
      </c>
      <c r="D19" s="18" t="s">
        <v>619</v>
      </c>
      <c r="E19" s="2" t="s">
        <v>1098</v>
      </c>
      <c r="F19" s="26">
        <v>7393900039</v>
      </c>
      <c r="G19" s="26" t="s">
        <v>1712</v>
      </c>
      <c r="H19" s="2" t="s">
        <v>1138</v>
      </c>
      <c r="I19" s="2"/>
      <c r="J19" s="16" t="s">
        <v>8</v>
      </c>
      <c r="K19" s="16"/>
      <c r="L19" s="2" t="s">
        <v>8</v>
      </c>
      <c r="M19" s="16">
        <v>6.75</v>
      </c>
      <c r="N19" s="16">
        <v>6.82</v>
      </c>
      <c r="O19" s="2" t="s">
        <v>2208</v>
      </c>
      <c r="P19" s="2" t="s">
        <v>2252</v>
      </c>
      <c r="Q19" s="16"/>
      <c r="R19" s="49"/>
      <c r="S19" s="93">
        <f t="shared" si="0"/>
        <v>6.7850000000000001</v>
      </c>
    </row>
    <row r="20" spans="1:19" x14ac:dyDescent="0.3">
      <c r="A20" s="5">
        <v>19</v>
      </c>
      <c r="B20" s="2">
        <v>1323019</v>
      </c>
      <c r="C20" s="2" t="s">
        <v>33</v>
      </c>
      <c r="D20" s="15" t="s">
        <v>620</v>
      </c>
      <c r="E20" s="2" t="s">
        <v>1099</v>
      </c>
      <c r="F20" s="26">
        <v>7404285548</v>
      </c>
      <c r="G20" s="26" t="s">
        <v>1713</v>
      </c>
      <c r="H20" s="2" t="s">
        <v>1138</v>
      </c>
      <c r="I20" s="2"/>
      <c r="J20" s="16" t="s">
        <v>8</v>
      </c>
      <c r="K20" s="16"/>
      <c r="L20" s="2" t="s">
        <v>8</v>
      </c>
      <c r="M20" s="16">
        <v>8.5</v>
      </c>
      <c r="N20" s="16">
        <v>9</v>
      </c>
      <c r="O20" s="2">
        <v>9.0500000000000007</v>
      </c>
      <c r="P20" s="2">
        <v>8.82</v>
      </c>
      <c r="Q20" s="16"/>
      <c r="R20" s="49"/>
      <c r="S20" s="93">
        <f t="shared" si="0"/>
        <v>8.8425000000000011</v>
      </c>
    </row>
    <row r="21" spans="1:19" x14ac:dyDescent="0.3">
      <c r="A21" s="5">
        <v>20</v>
      </c>
      <c r="B21" s="2">
        <v>1323020</v>
      </c>
      <c r="C21" s="2" t="s">
        <v>34</v>
      </c>
      <c r="D21" s="15" t="s">
        <v>703</v>
      </c>
      <c r="E21" s="2" t="s">
        <v>1151</v>
      </c>
      <c r="F21" s="26"/>
      <c r="G21" s="26"/>
      <c r="H21" s="2"/>
      <c r="I21" s="2"/>
      <c r="J21" s="16"/>
      <c r="K21" s="16"/>
      <c r="L21" s="2"/>
      <c r="M21" s="16" t="s">
        <v>958</v>
      </c>
      <c r="N21" s="16"/>
      <c r="O21" s="2"/>
      <c r="P21" s="2"/>
      <c r="Q21" s="16"/>
      <c r="R21" s="49"/>
      <c r="S21" s="93" t="e">
        <f t="shared" si="0"/>
        <v>#DIV/0!</v>
      </c>
    </row>
    <row r="22" spans="1:19" x14ac:dyDescent="0.3">
      <c r="A22" s="5">
        <v>21</v>
      </c>
      <c r="B22" s="2">
        <v>1323021</v>
      </c>
      <c r="C22" s="2" t="s">
        <v>35</v>
      </c>
      <c r="D22" s="15" t="s">
        <v>621</v>
      </c>
      <c r="E22" s="2" t="s">
        <v>1152</v>
      </c>
      <c r="F22" s="26"/>
      <c r="G22" s="26"/>
      <c r="H22" s="2" t="s">
        <v>1138</v>
      </c>
      <c r="I22" s="2"/>
      <c r="J22" s="16"/>
      <c r="K22" s="16"/>
      <c r="L22" s="2" t="s">
        <v>8</v>
      </c>
      <c r="M22" s="16" t="s">
        <v>1617</v>
      </c>
      <c r="N22" s="16" t="s">
        <v>1665</v>
      </c>
      <c r="O22" s="2"/>
      <c r="P22" s="2"/>
      <c r="Q22" s="16"/>
      <c r="R22" s="49"/>
      <c r="S22" s="93" t="e">
        <f t="shared" si="0"/>
        <v>#DIV/0!</v>
      </c>
    </row>
    <row r="23" spans="1:19" x14ac:dyDescent="0.3">
      <c r="A23" s="5">
        <v>22</v>
      </c>
      <c r="B23" s="2">
        <v>1323022</v>
      </c>
      <c r="C23" s="2" t="s">
        <v>36</v>
      </c>
      <c r="D23" s="15" t="s">
        <v>641</v>
      </c>
      <c r="E23" s="2" t="s">
        <v>1100</v>
      </c>
      <c r="F23" s="26">
        <v>7404743742</v>
      </c>
      <c r="G23" s="26" t="s">
        <v>1714</v>
      </c>
      <c r="H23" s="2" t="s">
        <v>1138</v>
      </c>
      <c r="I23" s="2"/>
      <c r="J23" s="16"/>
      <c r="K23" s="16"/>
      <c r="L23" s="2" t="s">
        <v>8</v>
      </c>
      <c r="M23" s="16">
        <v>6.91</v>
      </c>
      <c r="N23" s="16" t="s">
        <v>1666</v>
      </c>
      <c r="O23" s="2" t="s">
        <v>2208</v>
      </c>
      <c r="P23" s="2" t="s">
        <v>2253</v>
      </c>
      <c r="Q23" s="16"/>
      <c r="R23" s="49"/>
      <c r="S23" s="93">
        <f t="shared" si="0"/>
        <v>6.91</v>
      </c>
    </row>
    <row r="24" spans="1:19" x14ac:dyDescent="0.3">
      <c r="A24" s="5">
        <v>23</v>
      </c>
      <c r="B24" s="2">
        <v>1323023</v>
      </c>
      <c r="C24" s="2" t="s">
        <v>37</v>
      </c>
      <c r="D24" s="15" t="s">
        <v>622</v>
      </c>
      <c r="E24" s="2" t="s">
        <v>1101</v>
      </c>
      <c r="F24" s="26">
        <v>7419206501</v>
      </c>
      <c r="G24" s="26" t="s">
        <v>1715</v>
      </c>
      <c r="H24" s="2" t="s">
        <v>1138</v>
      </c>
      <c r="I24" s="2"/>
      <c r="J24" s="16" t="s">
        <v>1146</v>
      </c>
      <c r="K24" s="16"/>
      <c r="L24" s="2" t="s">
        <v>8</v>
      </c>
      <c r="M24" s="16">
        <v>8.18</v>
      </c>
      <c r="N24" s="16">
        <v>7.95</v>
      </c>
      <c r="O24" s="2" t="s">
        <v>2208</v>
      </c>
      <c r="P24" s="2">
        <v>7.95</v>
      </c>
      <c r="Q24" s="16"/>
      <c r="R24" s="49"/>
      <c r="S24" s="93">
        <f t="shared" si="0"/>
        <v>8.0266666666666655</v>
      </c>
    </row>
    <row r="25" spans="1:19" x14ac:dyDescent="0.3">
      <c r="A25" s="5">
        <v>24</v>
      </c>
      <c r="B25" s="2">
        <v>1323024</v>
      </c>
      <c r="C25" s="2" t="s">
        <v>941</v>
      </c>
      <c r="D25" s="15"/>
      <c r="E25" s="2"/>
      <c r="F25" s="26"/>
      <c r="G25" s="26"/>
      <c r="H25" s="2"/>
      <c r="I25" s="2"/>
      <c r="J25" s="16"/>
      <c r="K25" s="16"/>
      <c r="L25" s="2"/>
      <c r="M25" s="16"/>
      <c r="N25" s="16"/>
      <c r="O25" s="2"/>
      <c r="P25" s="2"/>
      <c r="Q25" s="16"/>
      <c r="R25" s="49"/>
      <c r="S25" s="93" t="e">
        <f t="shared" si="0"/>
        <v>#DIV/0!</v>
      </c>
    </row>
    <row r="26" spans="1:19" x14ac:dyDescent="0.3">
      <c r="A26" s="5">
        <v>25</v>
      </c>
      <c r="B26" s="2">
        <v>1323025</v>
      </c>
      <c r="C26" s="2" t="s">
        <v>38</v>
      </c>
      <c r="D26" s="15" t="s">
        <v>623</v>
      </c>
      <c r="E26" s="2" t="s">
        <v>1082</v>
      </c>
      <c r="F26" s="26">
        <v>7496018760</v>
      </c>
      <c r="G26" s="26" t="s">
        <v>1716</v>
      </c>
      <c r="H26" s="2" t="s">
        <v>1138</v>
      </c>
      <c r="I26" s="2"/>
      <c r="J26" s="16" t="s">
        <v>8</v>
      </c>
      <c r="K26" s="16"/>
      <c r="L26" s="2" t="s">
        <v>8</v>
      </c>
      <c r="M26" s="16">
        <v>6.82</v>
      </c>
      <c r="N26" s="16">
        <v>6.61</v>
      </c>
      <c r="O26" s="2" t="s">
        <v>2210</v>
      </c>
      <c r="P26" s="2" t="s">
        <v>2254</v>
      </c>
      <c r="Q26" s="16"/>
      <c r="R26" s="49"/>
      <c r="S26" s="93">
        <f t="shared" si="0"/>
        <v>6.7149999999999999</v>
      </c>
    </row>
    <row r="27" spans="1:19" x14ac:dyDescent="0.3">
      <c r="A27" s="5">
        <v>26</v>
      </c>
      <c r="B27" s="2">
        <v>1323026</v>
      </c>
      <c r="C27" s="2" t="s">
        <v>39</v>
      </c>
      <c r="D27" s="15" t="s">
        <v>624</v>
      </c>
      <c r="E27" s="2" t="s">
        <v>1102</v>
      </c>
      <c r="F27" s="26">
        <v>7500139374</v>
      </c>
      <c r="G27" s="26" t="s">
        <v>1717</v>
      </c>
      <c r="H27" s="2" t="s">
        <v>1138</v>
      </c>
      <c r="I27" s="2"/>
      <c r="J27" s="16" t="s">
        <v>8</v>
      </c>
      <c r="K27" s="16"/>
      <c r="L27" s="2" t="s">
        <v>8</v>
      </c>
      <c r="M27" s="16">
        <v>7.23</v>
      </c>
      <c r="N27" s="16">
        <v>7.55</v>
      </c>
      <c r="O27" s="2">
        <v>8.23</v>
      </c>
      <c r="P27" s="2">
        <v>6.68</v>
      </c>
      <c r="Q27" s="16"/>
      <c r="R27" s="49"/>
      <c r="S27" s="93">
        <f t="shared" si="0"/>
        <v>7.4225000000000003</v>
      </c>
    </row>
    <row r="28" spans="1:19" x14ac:dyDescent="0.3">
      <c r="A28" s="5">
        <v>27</v>
      </c>
      <c r="B28" s="2">
        <v>1323027</v>
      </c>
      <c r="C28" s="2" t="s">
        <v>40</v>
      </c>
      <c r="D28" s="15" t="s">
        <v>625</v>
      </c>
      <c r="E28" s="2" t="s">
        <v>1103</v>
      </c>
      <c r="F28" s="26">
        <v>9817026844</v>
      </c>
      <c r="G28" s="26" t="s">
        <v>1718</v>
      </c>
      <c r="H28" s="2" t="s">
        <v>1138</v>
      </c>
      <c r="I28" s="2"/>
      <c r="J28" s="16" t="s">
        <v>1145</v>
      </c>
      <c r="K28" s="16"/>
      <c r="L28" s="2" t="s">
        <v>8</v>
      </c>
      <c r="M28" s="16">
        <v>7.27</v>
      </c>
      <c r="N28" s="16" t="s">
        <v>1667</v>
      </c>
      <c r="O28" s="2" t="s">
        <v>2208</v>
      </c>
      <c r="P28" s="2" t="s">
        <v>953</v>
      </c>
      <c r="Q28" s="16"/>
      <c r="R28" s="49"/>
      <c r="S28" s="93">
        <f t="shared" si="0"/>
        <v>7.27</v>
      </c>
    </row>
    <row r="29" spans="1:19" x14ac:dyDescent="0.3">
      <c r="A29" s="5">
        <v>28</v>
      </c>
      <c r="B29" s="2">
        <v>1323028</v>
      </c>
      <c r="C29" s="2" t="s">
        <v>41</v>
      </c>
      <c r="D29" s="15" t="s">
        <v>1434</v>
      </c>
      <c r="E29" s="2" t="s">
        <v>1104</v>
      </c>
      <c r="F29" s="26">
        <v>7876863816</v>
      </c>
      <c r="G29" s="26" t="s">
        <v>1719</v>
      </c>
      <c r="H29" s="2" t="s">
        <v>1138</v>
      </c>
      <c r="I29" s="2"/>
      <c r="J29" s="16" t="s">
        <v>8</v>
      </c>
      <c r="K29" s="16"/>
      <c r="L29" s="2" t="s">
        <v>8</v>
      </c>
      <c r="M29" s="16">
        <v>6.75</v>
      </c>
      <c r="N29" s="16" t="s">
        <v>1668</v>
      </c>
      <c r="O29" s="2" t="s">
        <v>2208</v>
      </c>
      <c r="P29" s="2">
        <v>5.8</v>
      </c>
      <c r="Q29" s="16"/>
      <c r="R29" s="49"/>
      <c r="S29" s="93">
        <f t="shared" si="0"/>
        <v>6.2750000000000004</v>
      </c>
    </row>
    <row r="30" spans="1:19" x14ac:dyDescent="0.3">
      <c r="A30" s="5">
        <v>29</v>
      </c>
      <c r="B30" s="2">
        <v>1323029</v>
      </c>
      <c r="C30" s="2" t="s">
        <v>42</v>
      </c>
      <c r="D30" s="15" t="s">
        <v>626</v>
      </c>
      <c r="E30" s="2" t="s">
        <v>1105</v>
      </c>
      <c r="F30" s="26">
        <v>7973957117</v>
      </c>
      <c r="G30" s="26" t="s">
        <v>1720</v>
      </c>
      <c r="H30" s="2" t="s">
        <v>1138</v>
      </c>
      <c r="I30" s="2"/>
      <c r="J30" s="16"/>
      <c r="K30" s="16"/>
      <c r="L30" s="2" t="s">
        <v>8</v>
      </c>
      <c r="M30" s="16" t="s">
        <v>1618</v>
      </c>
      <c r="N30" s="16" t="s">
        <v>1662</v>
      </c>
      <c r="O30" s="2" t="s">
        <v>2211</v>
      </c>
      <c r="P30" s="2" t="s">
        <v>2255</v>
      </c>
      <c r="Q30" s="16"/>
      <c r="R30" s="49"/>
      <c r="S30" s="93" t="e">
        <f t="shared" si="0"/>
        <v>#DIV/0!</v>
      </c>
    </row>
    <row r="31" spans="1:19" x14ac:dyDescent="0.3">
      <c r="A31" s="5">
        <v>30</v>
      </c>
      <c r="B31" s="2">
        <v>1323030</v>
      </c>
      <c r="C31" s="2" t="s">
        <v>43</v>
      </c>
      <c r="D31" s="15" t="s">
        <v>627</v>
      </c>
      <c r="E31" s="2" t="s">
        <v>1106</v>
      </c>
      <c r="F31" s="26">
        <v>7988539214</v>
      </c>
      <c r="G31" s="26" t="s">
        <v>1721</v>
      </c>
      <c r="H31" s="2" t="s">
        <v>1138</v>
      </c>
      <c r="I31" s="2"/>
      <c r="J31" s="16" t="s">
        <v>8</v>
      </c>
      <c r="K31" s="16"/>
      <c r="L31" s="2" t="s">
        <v>8</v>
      </c>
      <c r="M31" s="16" t="s">
        <v>1619</v>
      </c>
      <c r="N31" s="16" t="s">
        <v>1669</v>
      </c>
      <c r="O31" s="2" t="s">
        <v>2208</v>
      </c>
      <c r="P31" s="2">
        <v>7.59</v>
      </c>
      <c r="Q31" s="16"/>
      <c r="R31" s="49"/>
      <c r="S31" s="93">
        <f t="shared" si="0"/>
        <v>7.59</v>
      </c>
    </row>
    <row r="32" spans="1:19" x14ac:dyDescent="0.3">
      <c r="A32" s="5">
        <v>31</v>
      </c>
      <c r="B32" s="2">
        <v>1323031</v>
      </c>
      <c r="C32" s="2" t="s">
        <v>44</v>
      </c>
      <c r="D32" s="15" t="s">
        <v>628</v>
      </c>
      <c r="E32" s="2" t="s">
        <v>1107</v>
      </c>
      <c r="F32" s="26">
        <v>7988585307</v>
      </c>
      <c r="G32" s="26" t="s">
        <v>1722</v>
      </c>
      <c r="H32" s="2" t="s">
        <v>1138</v>
      </c>
      <c r="I32" s="2"/>
      <c r="J32" s="16" t="s">
        <v>8</v>
      </c>
      <c r="K32" s="16"/>
      <c r="L32" s="2" t="s">
        <v>8</v>
      </c>
      <c r="M32" s="16">
        <v>9.36</v>
      </c>
      <c r="N32" s="16">
        <v>8.91</v>
      </c>
      <c r="O32" s="2">
        <v>8.9499999999999993</v>
      </c>
      <c r="P32" s="2">
        <v>9.32</v>
      </c>
      <c r="Q32" s="16"/>
      <c r="R32" s="49"/>
      <c r="S32" s="93">
        <f t="shared" si="0"/>
        <v>9.1349999999999998</v>
      </c>
    </row>
    <row r="33" spans="1:19" x14ac:dyDescent="0.3">
      <c r="A33" s="5">
        <v>32</v>
      </c>
      <c r="B33" s="2">
        <v>1323032</v>
      </c>
      <c r="C33" s="2" t="s">
        <v>45</v>
      </c>
      <c r="D33" s="18" t="s">
        <v>629</v>
      </c>
      <c r="E33" s="2" t="s">
        <v>1108</v>
      </c>
      <c r="F33" s="26">
        <v>8053095927</v>
      </c>
      <c r="G33" s="26" t="s">
        <v>1723</v>
      </c>
      <c r="H33" s="2" t="s">
        <v>1138</v>
      </c>
      <c r="I33" s="2"/>
      <c r="J33" s="16" t="s">
        <v>8</v>
      </c>
      <c r="K33" s="16"/>
      <c r="L33" s="2" t="s">
        <v>9</v>
      </c>
      <c r="M33" s="16">
        <v>7.32</v>
      </c>
      <c r="N33" s="16" t="s">
        <v>1662</v>
      </c>
      <c r="O33" s="2">
        <v>8.36</v>
      </c>
      <c r="P33" s="2" t="s">
        <v>954</v>
      </c>
      <c r="Q33" s="16"/>
      <c r="R33" s="49"/>
      <c r="S33" s="93">
        <f t="shared" si="0"/>
        <v>7.84</v>
      </c>
    </row>
    <row r="34" spans="1:19" x14ac:dyDescent="0.3">
      <c r="A34" s="5">
        <v>33</v>
      </c>
      <c r="B34" s="2">
        <v>1323033</v>
      </c>
      <c r="C34" s="2" t="s">
        <v>46</v>
      </c>
      <c r="D34" s="15" t="s">
        <v>1435</v>
      </c>
      <c r="E34" s="2" t="s">
        <v>1109</v>
      </c>
      <c r="F34" s="26">
        <v>8053211500</v>
      </c>
      <c r="G34" s="26" t="s">
        <v>1724</v>
      </c>
      <c r="H34" s="2" t="s">
        <v>1138</v>
      </c>
      <c r="I34" s="2"/>
      <c r="J34" s="16" t="s">
        <v>8</v>
      </c>
      <c r="K34" s="16"/>
      <c r="L34" s="2" t="s">
        <v>8</v>
      </c>
      <c r="M34" s="16">
        <v>7.32</v>
      </c>
      <c r="N34" s="16" t="s">
        <v>1663</v>
      </c>
      <c r="O34" s="2" t="s">
        <v>2208</v>
      </c>
      <c r="P34" s="2" t="s">
        <v>2253</v>
      </c>
      <c r="Q34" s="16"/>
      <c r="R34" s="49"/>
      <c r="S34" s="93">
        <f t="shared" si="0"/>
        <v>7.32</v>
      </c>
    </row>
    <row r="35" spans="1:19" x14ac:dyDescent="0.3">
      <c r="A35" s="5">
        <v>34</v>
      </c>
      <c r="B35" s="2">
        <v>1323034</v>
      </c>
      <c r="C35" s="2" t="s">
        <v>47</v>
      </c>
      <c r="D35" s="15" t="s">
        <v>1436</v>
      </c>
      <c r="E35" s="2" t="s">
        <v>1110</v>
      </c>
      <c r="F35" s="26">
        <v>8053841041</v>
      </c>
      <c r="G35" s="26" t="s">
        <v>1725</v>
      </c>
      <c r="H35" s="2" t="s">
        <v>1138</v>
      </c>
      <c r="I35" s="2"/>
      <c r="J35" s="16" t="s">
        <v>1145</v>
      </c>
      <c r="K35" s="16"/>
      <c r="L35" s="2" t="s">
        <v>8</v>
      </c>
      <c r="M35" s="16">
        <v>8.5500000000000007</v>
      </c>
      <c r="N35" s="16">
        <v>8.41</v>
      </c>
      <c r="O35" s="2">
        <v>8.27</v>
      </c>
      <c r="P35" s="2">
        <v>8.9499999999999993</v>
      </c>
      <c r="Q35" s="16"/>
      <c r="R35" s="49"/>
      <c r="S35" s="93">
        <f t="shared" si="0"/>
        <v>8.5449999999999999</v>
      </c>
    </row>
    <row r="36" spans="1:19" x14ac:dyDescent="0.3">
      <c r="A36" s="5">
        <v>35</v>
      </c>
      <c r="B36" s="2">
        <v>1323035</v>
      </c>
      <c r="C36" s="2" t="s">
        <v>48</v>
      </c>
      <c r="D36" s="2"/>
      <c r="E36" s="2"/>
      <c r="F36" s="26"/>
      <c r="G36" s="26"/>
      <c r="H36" s="2"/>
      <c r="I36" s="2"/>
      <c r="J36" s="16"/>
      <c r="K36" s="16"/>
      <c r="L36" s="2" t="s">
        <v>8</v>
      </c>
      <c r="M36" s="16"/>
      <c r="N36" s="16"/>
      <c r="O36" s="2"/>
      <c r="P36" s="2"/>
      <c r="Q36" s="16"/>
      <c r="R36" s="49"/>
      <c r="S36" s="93" t="e">
        <f t="shared" si="0"/>
        <v>#DIV/0!</v>
      </c>
    </row>
    <row r="37" spans="1:19" x14ac:dyDescent="0.3">
      <c r="A37" s="5">
        <v>36</v>
      </c>
      <c r="B37" s="2">
        <v>1323036</v>
      </c>
      <c r="C37" s="2" t="s">
        <v>49</v>
      </c>
      <c r="D37" s="15" t="s">
        <v>630</v>
      </c>
      <c r="E37" s="2" t="s">
        <v>1111</v>
      </c>
      <c r="F37" s="26">
        <v>8168091086</v>
      </c>
      <c r="G37" s="26" t="s">
        <v>1726</v>
      </c>
      <c r="H37" s="2" t="s">
        <v>1138</v>
      </c>
      <c r="I37" s="2"/>
      <c r="J37" s="16" t="s">
        <v>8</v>
      </c>
      <c r="K37" s="16"/>
      <c r="L37" s="2" t="s">
        <v>8</v>
      </c>
      <c r="M37" s="16">
        <v>7.64</v>
      </c>
      <c r="N37" s="16">
        <v>7.93</v>
      </c>
      <c r="O37" s="2">
        <v>8.09</v>
      </c>
      <c r="P37" s="2">
        <v>8</v>
      </c>
      <c r="Q37" s="16"/>
      <c r="R37" s="49"/>
      <c r="S37" s="93">
        <f t="shared" si="0"/>
        <v>7.915</v>
      </c>
    </row>
    <row r="38" spans="1:19" x14ac:dyDescent="0.3">
      <c r="A38" s="5">
        <v>37</v>
      </c>
      <c r="B38" s="2">
        <v>1323037</v>
      </c>
      <c r="C38" s="2" t="s">
        <v>50</v>
      </c>
      <c r="D38" s="15" t="s">
        <v>631</v>
      </c>
      <c r="E38" s="2" t="s">
        <v>1112</v>
      </c>
      <c r="F38" s="26">
        <v>8168105044</v>
      </c>
      <c r="G38" s="26" t="s">
        <v>1727</v>
      </c>
      <c r="H38" s="2" t="s">
        <v>1138</v>
      </c>
      <c r="I38" s="2"/>
      <c r="J38" s="16" t="s">
        <v>8</v>
      </c>
      <c r="K38" s="16"/>
      <c r="L38" s="2" t="s">
        <v>9</v>
      </c>
      <c r="M38" s="16" t="s">
        <v>1620</v>
      </c>
      <c r="N38" s="16" t="s">
        <v>1667</v>
      </c>
      <c r="O38" s="2" t="s">
        <v>2212</v>
      </c>
      <c r="P38" s="2">
        <v>7.36</v>
      </c>
      <c r="Q38" s="16"/>
      <c r="R38" s="49"/>
      <c r="S38" s="93">
        <f t="shared" si="0"/>
        <v>7.36</v>
      </c>
    </row>
    <row r="39" spans="1:19" x14ac:dyDescent="0.3">
      <c r="A39" s="5">
        <v>38</v>
      </c>
      <c r="B39" s="2">
        <v>1323038</v>
      </c>
      <c r="C39" s="2" t="s">
        <v>51</v>
      </c>
      <c r="D39" s="15" t="s">
        <v>632</v>
      </c>
      <c r="E39" s="2" t="s">
        <v>1113</v>
      </c>
      <c r="F39" s="26">
        <v>8168199269</v>
      </c>
      <c r="G39" s="26" t="s">
        <v>1728</v>
      </c>
      <c r="H39" s="2" t="s">
        <v>1138</v>
      </c>
      <c r="I39" s="2"/>
      <c r="J39" s="16" t="s">
        <v>1146</v>
      </c>
      <c r="K39" s="16"/>
      <c r="L39" s="2" t="s">
        <v>8</v>
      </c>
      <c r="M39" s="16">
        <v>6.09</v>
      </c>
      <c r="N39" s="16">
        <v>6.09</v>
      </c>
      <c r="O39" s="2" t="s">
        <v>2210</v>
      </c>
      <c r="P39" s="2">
        <v>6.3</v>
      </c>
      <c r="Q39" s="16"/>
      <c r="R39" s="49"/>
      <c r="S39" s="93">
        <f t="shared" si="0"/>
        <v>6.16</v>
      </c>
    </row>
    <row r="40" spans="1:19" x14ac:dyDescent="0.3">
      <c r="A40" s="5">
        <v>39</v>
      </c>
      <c r="B40" s="2">
        <v>1323039</v>
      </c>
      <c r="C40" s="2" t="s">
        <v>52</v>
      </c>
      <c r="D40" s="15" t="s">
        <v>1114</v>
      </c>
      <c r="E40" s="2" t="s">
        <v>1082</v>
      </c>
      <c r="F40" s="26">
        <v>8168760188</v>
      </c>
      <c r="G40" s="26" t="s">
        <v>1729</v>
      </c>
      <c r="H40" s="2" t="s">
        <v>1138</v>
      </c>
      <c r="I40" s="2"/>
      <c r="J40" s="16" t="s">
        <v>8</v>
      </c>
      <c r="K40" s="16"/>
      <c r="L40" s="2" t="s">
        <v>8</v>
      </c>
      <c r="M40" s="16">
        <v>7.45</v>
      </c>
      <c r="N40" s="16">
        <v>7.25</v>
      </c>
      <c r="O40" s="2">
        <v>7.64</v>
      </c>
      <c r="P40" s="2">
        <v>8.23</v>
      </c>
      <c r="Q40" s="16"/>
      <c r="R40" s="49"/>
      <c r="S40" s="93">
        <f t="shared" si="0"/>
        <v>7.6425000000000001</v>
      </c>
    </row>
    <row r="41" spans="1:19" x14ac:dyDescent="0.3">
      <c r="A41" s="5">
        <v>40</v>
      </c>
      <c r="B41" s="2">
        <v>1323040</v>
      </c>
      <c r="C41" s="2" t="s">
        <v>53</v>
      </c>
      <c r="D41" s="15" t="s">
        <v>633</v>
      </c>
      <c r="E41" s="2" t="s">
        <v>1115</v>
      </c>
      <c r="F41" s="26">
        <v>8221013127</v>
      </c>
      <c r="G41" s="26" t="s">
        <v>1730</v>
      </c>
      <c r="H41" s="2" t="s">
        <v>1138</v>
      </c>
      <c r="I41" s="2"/>
      <c r="J41" s="16" t="s">
        <v>8</v>
      </c>
      <c r="K41" s="16"/>
      <c r="L41" s="2" t="s">
        <v>8</v>
      </c>
      <c r="M41" s="16" t="s">
        <v>1621</v>
      </c>
      <c r="N41" s="16" t="s">
        <v>1670</v>
      </c>
      <c r="O41" s="2" t="s">
        <v>2213</v>
      </c>
      <c r="P41" s="2" t="s">
        <v>953</v>
      </c>
      <c r="Q41" s="16"/>
      <c r="R41" s="49"/>
      <c r="S41" s="93" t="e">
        <f t="shared" si="0"/>
        <v>#DIV/0!</v>
      </c>
    </row>
    <row r="42" spans="1:19" x14ac:dyDescent="0.3">
      <c r="A42" s="5">
        <v>41</v>
      </c>
      <c r="B42" s="2">
        <v>1323041</v>
      </c>
      <c r="C42" s="2" t="s">
        <v>54</v>
      </c>
      <c r="D42" s="15" t="s">
        <v>1437</v>
      </c>
      <c r="E42" s="2" t="s">
        <v>1116</v>
      </c>
      <c r="F42" s="26">
        <v>8222051432</v>
      </c>
      <c r="G42" s="26" t="s">
        <v>1731</v>
      </c>
      <c r="H42" s="2" t="s">
        <v>1138</v>
      </c>
      <c r="I42" s="2"/>
      <c r="J42" s="16" t="s">
        <v>8</v>
      </c>
      <c r="K42" s="16"/>
      <c r="L42" s="2"/>
      <c r="M42" s="16">
        <v>6.91</v>
      </c>
      <c r="N42" s="16">
        <v>6.43</v>
      </c>
      <c r="O42" s="2" t="s">
        <v>2208</v>
      </c>
      <c r="P42" s="2">
        <v>6.27</v>
      </c>
      <c r="Q42" s="16"/>
      <c r="R42" s="49"/>
      <c r="S42" s="93">
        <f t="shared" si="0"/>
        <v>6.5366666666666662</v>
      </c>
    </row>
    <row r="43" spans="1:19" x14ac:dyDescent="0.3">
      <c r="A43" s="5">
        <v>42</v>
      </c>
      <c r="B43" s="2">
        <v>1323042</v>
      </c>
      <c r="C43" s="2" t="s">
        <v>941</v>
      </c>
      <c r="D43" s="2"/>
      <c r="E43" s="2"/>
      <c r="F43" s="26"/>
      <c r="G43" s="26"/>
      <c r="H43" s="2"/>
      <c r="I43" s="2"/>
      <c r="J43" s="16"/>
      <c r="K43" s="16"/>
      <c r="L43" s="16"/>
      <c r="M43" s="16"/>
      <c r="N43" s="16"/>
      <c r="O43" s="2"/>
      <c r="P43" s="2"/>
      <c r="Q43" s="16"/>
      <c r="R43" s="49"/>
      <c r="S43" s="93" t="e">
        <f t="shared" si="0"/>
        <v>#DIV/0!</v>
      </c>
    </row>
    <row r="44" spans="1:19" x14ac:dyDescent="0.3">
      <c r="A44" s="5">
        <v>43</v>
      </c>
      <c r="B44" s="2">
        <v>1323043</v>
      </c>
      <c r="C44" s="2" t="s">
        <v>55</v>
      </c>
      <c r="D44" s="15" t="s">
        <v>678</v>
      </c>
      <c r="E44" s="2" t="s">
        <v>1117</v>
      </c>
      <c r="F44" s="26">
        <v>9812841396</v>
      </c>
      <c r="G44" s="26" t="s">
        <v>1732</v>
      </c>
      <c r="H44" s="2" t="s">
        <v>1138</v>
      </c>
      <c r="I44" s="2"/>
      <c r="J44" s="16" t="s">
        <v>8</v>
      </c>
      <c r="K44" s="16"/>
      <c r="L44" s="2" t="s">
        <v>8</v>
      </c>
      <c r="M44" s="16" t="s">
        <v>1617</v>
      </c>
      <c r="N44" s="16" t="s">
        <v>1667</v>
      </c>
      <c r="O44" s="2" t="s">
        <v>2212</v>
      </c>
      <c r="P44" s="2">
        <v>6.64</v>
      </c>
      <c r="Q44" s="16"/>
      <c r="R44" s="49"/>
      <c r="S44" s="93">
        <f t="shared" si="0"/>
        <v>6.64</v>
      </c>
    </row>
    <row r="45" spans="1:19" x14ac:dyDescent="0.3">
      <c r="A45" s="5">
        <v>44</v>
      </c>
      <c r="B45" s="2">
        <v>1323044</v>
      </c>
      <c r="C45" s="2" t="s">
        <v>56</v>
      </c>
      <c r="D45" s="15" t="s">
        <v>634</v>
      </c>
      <c r="E45" s="2" t="s">
        <v>1118</v>
      </c>
      <c r="F45" s="26">
        <v>8278476658</v>
      </c>
      <c r="G45" s="26" t="s">
        <v>1733</v>
      </c>
      <c r="H45" s="2" t="s">
        <v>1138</v>
      </c>
      <c r="I45" s="2"/>
      <c r="J45" s="16" t="s">
        <v>8</v>
      </c>
      <c r="K45" s="16"/>
      <c r="L45" s="2" t="s">
        <v>8</v>
      </c>
      <c r="M45" s="16">
        <v>8.5500000000000007</v>
      </c>
      <c r="N45" s="16">
        <v>9.18</v>
      </c>
      <c r="O45" s="2">
        <v>9.41</v>
      </c>
      <c r="P45" s="2">
        <v>9.73</v>
      </c>
      <c r="Q45" s="16"/>
      <c r="R45" s="49"/>
      <c r="S45" s="93">
        <f t="shared" si="0"/>
        <v>9.2175000000000011</v>
      </c>
    </row>
    <row r="46" spans="1:19" x14ac:dyDescent="0.3">
      <c r="A46" s="5">
        <v>45</v>
      </c>
      <c r="B46" s="2">
        <v>1323045</v>
      </c>
      <c r="C46" s="2" t="s">
        <v>57</v>
      </c>
      <c r="D46" s="15" t="s">
        <v>1438</v>
      </c>
      <c r="E46" s="2" t="s">
        <v>668</v>
      </c>
      <c r="F46" s="26">
        <v>8295988004</v>
      </c>
      <c r="G46" s="26" t="s">
        <v>1734</v>
      </c>
      <c r="H46" s="2" t="s">
        <v>1138</v>
      </c>
      <c r="I46" s="2"/>
      <c r="J46" s="16" t="s">
        <v>8</v>
      </c>
      <c r="K46" s="16"/>
      <c r="L46" s="2" t="s">
        <v>8</v>
      </c>
      <c r="M46" s="16">
        <v>7.91</v>
      </c>
      <c r="N46" s="16">
        <v>7.73</v>
      </c>
      <c r="O46" s="2" t="s">
        <v>2210</v>
      </c>
      <c r="P46" s="2">
        <v>7.05</v>
      </c>
      <c r="Q46" s="16"/>
      <c r="R46" s="49"/>
      <c r="S46" s="93">
        <f t="shared" si="0"/>
        <v>7.5633333333333335</v>
      </c>
    </row>
    <row r="47" spans="1:19" x14ac:dyDescent="0.3">
      <c r="A47" s="5">
        <v>46</v>
      </c>
      <c r="B47" s="2">
        <v>1323046</v>
      </c>
      <c r="C47" s="2" t="s">
        <v>58</v>
      </c>
      <c r="D47" s="15" t="s">
        <v>1439</v>
      </c>
      <c r="E47" s="2" t="s">
        <v>1119</v>
      </c>
      <c r="F47" s="26">
        <v>8307702591</v>
      </c>
      <c r="G47" s="26" t="s">
        <v>1735</v>
      </c>
      <c r="H47" s="2" t="s">
        <v>1138</v>
      </c>
      <c r="I47" s="2"/>
      <c r="J47" s="16" t="s">
        <v>8</v>
      </c>
      <c r="K47" s="16"/>
      <c r="L47" s="2" t="s">
        <v>8</v>
      </c>
      <c r="M47" s="16">
        <v>5.95</v>
      </c>
      <c r="N47" s="16">
        <v>6.02</v>
      </c>
      <c r="O47" s="2" t="s">
        <v>2214</v>
      </c>
      <c r="P47" s="2">
        <v>5.91</v>
      </c>
      <c r="Q47" s="16"/>
      <c r="R47" s="49"/>
      <c r="S47" s="93">
        <f t="shared" si="0"/>
        <v>5.96</v>
      </c>
    </row>
    <row r="48" spans="1:19" x14ac:dyDescent="0.3">
      <c r="A48" s="5">
        <v>47</v>
      </c>
      <c r="B48" s="2">
        <v>1323047</v>
      </c>
      <c r="C48" s="2" t="s">
        <v>59</v>
      </c>
      <c r="D48" s="18" t="s">
        <v>1440</v>
      </c>
      <c r="E48" s="2" t="s">
        <v>1120</v>
      </c>
      <c r="F48" s="26">
        <v>9671496807</v>
      </c>
      <c r="G48" s="26" t="s">
        <v>1736</v>
      </c>
      <c r="H48" s="2" t="s">
        <v>1138</v>
      </c>
      <c r="I48" s="2"/>
      <c r="J48" s="16"/>
      <c r="K48" s="16"/>
      <c r="L48" s="2" t="s">
        <v>8</v>
      </c>
      <c r="M48" s="16" t="s">
        <v>958</v>
      </c>
      <c r="N48" s="16" t="s">
        <v>958</v>
      </c>
      <c r="O48" s="2" t="s">
        <v>958</v>
      </c>
      <c r="P48" s="2" t="s">
        <v>954</v>
      </c>
      <c r="Q48" s="16"/>
      <c r="R48" s="49"/>
      <c r="S48" s="93" t="e">
        <f t="shared" si="0"/>
        <v>#DIV/0!</v>
      </c>
    </row>
    <row r="49" spans="1:19" x14ac:dyDescent="0.3">
      <c r="A49" s="5">
        <v>48</v>
      </c>
      <c r="B49" s="2">
        <v>1323048</v>
      </c>
      <c r="C49" s="2" t="s">
        <v>60</v>
      </c>
      <c r="D49" s="15" t="s">
        <v>1441</v>
      </c>
      <c r="E49" s="2" t="s">
        <v>1121</v>
      </c>
      <c r="F49" s="26">
        <v>8307521665</v>
      </c>
      <c r="G49" s="26" t="s">
        <v>1737</v>
      </c>
      <c r="H49" s="2" t="s">
        <v>1138</v>
      </c>
      <c r="I49" s="2"/>
      <c r="J49" s="16" t="s">
        <v>8</v>
      </c>
      <c r="K49" s="16"/>
      <c r="L49" s="2" t="s">
        <v>8</v>
      </c>
      <c r="M49" s="16" t="s">
        <v>1619</v>
      </c>
      <c r="N49" s="16" t="s">
        <v>1671</v>
      </c>
      <c r="O49" s="2" t="s">
        <v>953</v>
      </c>
      <c r="P49" s="2" t="s">
        <v>2256</v>
      </c>
      <c r="Q49" s="16"/>
      <c r="R49" s="49"/>
      <c r="S49" s="93" t="e">
        <f t="shared" si="0"/>
        <v>#DIV/0!</v>
      </c>
    </row>
    <row r="50" spans="1:19" x14ac:dyDescent="0.3">
      <c r="A50" s="5">
        <v>49</v>
      </c>
      <c r="B50" s="2">
        <v>1323049</v>
      </c>
      <c r="C50" s="2" t="s">
        <v>61</v>
      </c>
      <c r="D50" s="15" t="s">
        <v>635</v>
      </c>
      <c r="E50" s="2" t="s">
        <v>1122</v>
      </c>
      <c r="F50" s="26">
        <v>8307542422</v>
      </c>
      <c r="G50" s="26" t="s">
        <v>1738</v>
      </c>
      <c r="H50" s="2" t="s">
        <v>1138</v>
      </c>
      <c r="I50" s="2"/>
      <c r="J50" s="16" t="s">
        <v>8</v>
      </c>
      <c r="K50" s="16"/>
      <c r="L50" s="2" t="s">
        <v>8</v>
      </c>
      <c r="M50" s="16">
        <v>7.09</v>
      </c>
      <c r="N50" s="16" t="s">
        <v>1668</v>
      </c>
      <c r="O50" s="2" t="s">
        <v>2208</v>
      </c>
      <c r="P50" s="2">
        <v>7.07</v>
      </c>
      <c r="Q50" s="16"/>
      <c r="R50" s="49"/>
      <c r="S50" s="93">
        <f t="shared" si="0"/>
        <v>7.08</v>
      </c>
    </row>
    <row r="51" spans="1:19" x14ac:dyDescent="0.3">
      <c r="A51" s="5">
        <v>50</v>
      </c>
      <c r="B51" s="2">
        <v>1323050</v>
      </c>
      <c r="C51" s="2" t="s">
        <v>62</v>
      </c>
      <c r="D51" s="15" t="s">
        <v>1442</v>
      </c>
      <c r="E51" s="2" t="s">
        <v>1123</v>
      </c>
      <c r="F51" s="26">
        <v>8307603051</v>
      </c>
      <c r="G51" s="26" t="s">
        <v>1739</v>
      </c>
      <c r="H51" s="2" t="s">
        <v>1138</v>
      </c>
      <c r="I51" s="2"/>
      <c r="J51" s="16" t="s">
        <v>8</v>
      </c>
      <c r="K51" s="16"/>
      <c r="L51" s="2" t="s">
        <v>8</v>
      </c>
      <c r="M51" s="16" t="s">
        <v>1621</v>
      </c>
      <c r="N51" s="16" t="s">
        <v>1664</v>
      </c>
      <c r="O51" s="2" t="s">
        <v>2214</v>
      </c>
      <c r="P51" s="2">
        <v>6.64</v>
      </c>
      <c r="Q51" s="16"/>
      <c r="R51" s="49"/>
      <c r="S51" s="93">
        <f t="shared" si="0"/>
        <v>6.64</v>
      </c>
    </row>
    <row r="52" spans="1:19" x14ac:dyDescent="0.3">
      <c r="A52" s="5">
        <v>51</v>
      </c>
      <c r="B52" s="2">
        <v>1323051</v>
      </c>
      <c r="C52" s="2" t="s">
        <v>63</v>
      </c>
      <c r="D52" s="18" t="s">
        <v>636</v>
      </c>
      <c r="E52" s="2" t="s">
        <v>1124</v>
      </c>
      <c r="F52" s="26">
        <v>8307749948</v>
      </c>
      <c r="G52" s="26" t="s">
        <v>1740</v>
      </c>
      <c r="H52" s="2" t="s">
        <v>1138</v>
      </c>
      <c r="I52" s="2"/>
      <c r="J52" s="16" t="s">
        <v>8</v>
      </c>
      <c r="K52" s="16"/>
      <c r="L52" s="2" t="s">
        <v>8</v>
      </c>
      <c r="M52" s="16">
        <v>8.9499999999999993</v>
      </c>
      <c r="N52" s="16">
        <v>9</v>
      </c>
      <c r="O52" s="2">
        <v>9.09</v>
      </c>
      <c r="P52" s="2">
        <v>9</v>
      </c>
      <c r="Q52" s="16"/>
      <c r="R52" s="49"/>
      <c r="S52" s="93">
        <f t="shared" si="0"/>
        <v>9.01</v>
      </c>
    </row>
    <row r="53" spans="1:19" x14ac:dyDescent="0.3">
      <c r="A53" s="5">
        <v>52</v>
      </c>
      <c r="B53" s="2">
        <v>1323052</v>
      </c>
      <c r="C53" s="2" t="s">
        <v>64</v>
      </c>
      <c r="D53" s="15" t="s">
        <v>637</v>
      </c>
      <c r="E53" s="2" t="s">
        <v>1097</v>
      </c>
      <c r="F53" s="26">
        <v>8307983683</v>
      </c>
      <c r="G53" s="26" t="s">
        <v>1741</v>
      </c>
      <c r="H53" s="2" t="s">
        <v>1138</v>
      </c>
      <c r="I53" s="2"/>
      <c r="J53" s="16" t="s">
        <v>8</v>
      </c>
      <c r="K53" s="16"/>
      <c r="L53" s="2" t="s">
        <v>8</v>
      </c>
      <c r="M53" s="16">
        <v>8.4499999999999993</v>
      </c>
      <c r="N53" s="16">
        <v>8.5</v>
      </c>
      <c r="O53" s="2">
        <v>8.27</v>
      </c>
      <c r="P53" s="2">
        <v>9</v>
      </c>
      <c r="Q53" s="16"/>
      <c r="R53" s="49"/>
      <c r="S53" s="93">
        <f t="shared" si="0"/>
        <v>8.5549999999999997</v>
      </c>
    </row>
    <row r="54" spans="1:19" x14ac:dyDescent="0.3">
      <c r="A54" s="5">
        <v>53</v>
      </c>
      <c r="B54" s="2">
        <v>1323053</v>
      </c>
      <c r="C54" s="2" t="s">
        <v>65</v>
      </c>
      <c r="D54" s="15" t="s">
        <v>638</v>
      </c>
      <c r="E54" s="2" t="s">
        <v>1125</v>
      </c>
      <c r="F54" s="26">
        <v>8396898841</v>
      </c>
      <c r="G54" s="26" t="s">
        <v>1742</v>
      </c>
      <c r="H54" s="2" t="s">
        <v>1138</v>
      </c>
      <c r="I54" s="2"/>
      <c r="J54" s="16" t="s">
        <v>8</v>
      </c>
      <c r="K54" s="16"/>
      <c r="L54" s="2" t="s">
        <v>8</v>
      </c>
      <c r="M54" s="16" t="s">
        <v>958</v>
      </c>
      <c r="N54" s="16" t="s">
        <v>953</v>
      </c>
      <c r="O54" s="2" t="s">
        <v>953</v>
      </c>
      <c r="P54" s="2" t="s">
        <v>954</v>
      </c>
      <c r="Q54" s="16"/>
      <c r="R54" s="49"/>
      <c r="S54" s="93" t="e">
        <f t="shared" si="0"/>
        <v>#DIV/0!</v>
      </c>
    </row>
    <row r="55" spans="1:19" x14ac:dyDescent="0.3">
      <c r="A55" s="5">
        <v>54</v>
      </c>
      <c r="B55" s="2">
        <v>1323054</v>
      </c>
      <c r="C55" s="2" t="s">
        <v>66</v>
      </c>
      <c r="D55" s="15" t="s">
        <v>639</v>
      </c>
      <c r="E55" s="2" t="s">
        <v>1126</v>
      </c>
      <c r="F55" s="26">
        <v>8398916564</v>
      </c>
      <c r="G55" s="26" t="s">
        <v>1743</v>
      </c>
      <c r="H55" s="2" t="s">
        <v>1138</v>
      </c>
      <c r="I55" s="2"/>
      <c r="J55" s="16" t="s">
        <v>8</v>
      </c>
      <c r="K55" s="16"/>
      <c r="L55" s="2" t="s">
        <v>8</v>
      </c>
      <c r="M55" s="16">
        <v>7.07</v>
      </c>
      <c r="N55" s="16">
        <v>6.2</v>
      </c>
      <c r="O55" s="2" t="s">
        <v>2215</v>
      </c>
      <c r="P55" s="2" t="s">
        <v>2257</v>
      </c>
      <c r="Q55" s="16"/>
      <c r="R55" s="49"/>
      <c r="S55" s="93">
        <f t="shared" si="0"/>
        <v>6.6349999999999998</v>
      </c>
    </row>
    <row r="56" spans="1:19" x14ac:dyDescent="0.3">
      <c r="A56" s="5">
        <v>55</v>
      </c>
      <c r="B56" s="2">
        <v>1323055</v>
      </c>
      <c r="C56" s="2" t="s">
        <v>67</v>
      </c>
      <c r="D56" s="15" t="s">
        <v>640</v>
      </c>
      <c r="E56" s="2" t="s">
        <v>1127</v>
      </c>
      <c r="F56" s="26">
        <v>8570841035</v>
      </c>
      <c r="G56" s="26" t="s">
        <v>1744</v>
      </c>
      <c r="H56" s="2" t="s">
        <v>1138</v>
      </c>
      <c r="I56" s="2"/>
      <c r="J56" s="16"/>
      <c r="K56" s="16"/>
      <c r="L56" s="2" t="s">
        <v>8</v>
      </c>
      <c r="M56" s="16">
        <v>7.91</v>
      </c>
      <c r="N56" s="16">
        <v>7.82</v>
      </c>
      <c r="O56" s="2">
        <v>7.18</v>
      </c>
      <c r="P56" s="2">
        <v>7.18</v>
      </c>
      <c r="Q56" s="16"/>
      <c r="R56" s="49"/>
      <c r="S56" s="93">
        <f t="shared" si="0"/>
        <v>7.5225</v>
      </c>
    </row>
    <row r="57" spans="1:19" x14ac:dyDescent="0.3">
      <c r="A57" s="5">
        <v>56</v>
      </c>
      <c r="B57" s="2">
        <v>1323056</v>
      </c>
      <c r="C57" s="2" t="s">
        <v>941</v>
      </c>
      <c r="D57" s="2"/>
      <c r="E57" s="2"/>
      <c r="F57" s="26"/>
      <c r="G57" s="26"/>
      <c r="H57" s="2"/>
      <c r="I57" s="2"/>
      <c r="J57" s="16"/>
      <c r="K57" s="16"/>
      <c r="L57" s="2"/>
      <c r="M57" s="16"/>
      <c r="N57" s="16"/>
      <c r="O57" s="2"/>
      <c r="P57" s="2"/>
      <c r="Q57" s="16"/>
      <c r="R57" s="49"/>
      <c r="S57" s="93" t="e">
        <f t="shared" si="0"/>
        <v>#DIV/0!</v>
      </c>
    </row>
    <row r="58" spans="1:19" x14ac:dyDescent="0.3">
      <c r="A58" s="5">
        <v>57</v>
      </c>
      <c r="B58" s="2">
        <v>1323057</v>
      </c>
      <c r="C58" s="2" t="s">
        <v>68</v>
      </c>
      <c r="D58" s="15" t="s">
        <v>641</v>
      </c>
      <c r="E58" s="2" t="s">
        <v>1128</v>
      </c>
      <c r="F58" s="26">
        <v>8708011996</v>
      </c>
      <c r="G58" s="26" t="s">
        <v>1745</v>
      </c>
      <c r="H58" s="2" t="s">
        <v>1138</v>
      </c>
      <c r="I58" s="2"/>
      <c r="J58" s="16" t="s">
        <v>8</v>
      </c>
      <c r="K58" s="16"/>
      <c r="L58" s="2" t="s">
        <v>8</v>
      </c>
      <c r="M58" s="16">
        <v>7</v>
      </c>
      <c r="N58" s="16">
        <v>7.18</v>
      </c>
      <c r="O58" s="2" t="s">
        <v>2214</v>
      </c>
      <c r="P58" s="2">
        <v>7.64</v>
      </c>
      <c r="Q58" s="16"/>
      <c r="R58" s="49"/>
      <c r="S58" s="93">
        <f t="shared" si="0"/>
        <v>7.2733333333333334</v>
      </c>
    </row>
    <row r="59" spans="1:19" x14ac:dyDescent="0.3">
      <c r="A59" s="5">
        <v>58</v>
      </c>
      <c r="B59" s="2">
        <v>1323058</v>
      </c>
      <c r="C59" s="2" t="s">
        <v>69</v>
      </c>
      <c r="D59" s="15" t="s">
        <v>642</v>
      </c>
      <c r="E59" s="2" t="s">
        <v>1129</v>
      </c>
      <c r="F59" s="26">
        <v>8053910415</v>
      </c>
      <c r="G59" s="26" t="s">
        <v>1746</v>
      </c>
      <c r="H59" s="2" t="s">
        <v>1138</v>
      </c>
      <c r="I59" s="2"/>
      <c r="J59" s="16"/>
      <c r="K59" s="16"/>
      <c r="L59" s="2" t="s">
        <v>8</v>
      </c>
      <c r="M59" s="16" t="s">
        <v>1618</v>
      </c>
      <c r="N59" s="16" t="s">
        <v>1662</v>
      </c>
      <c r="O59" s="2" t="s">
        <v>954</v>
      </c>
      <c r="P59" s="2" t="s">
        <v>954</v>
      </c>
      <c r="Q59" s="16"/>
      <c r="R59" s="49"/>
      <c r="S59" s="93" t="e">
        <f t="shared" si="0"/>
        <v>#DIV/0!</v>
      </c>
    </row>
    <row r="60" spans="1:19" x14ac:dyDescent="0.3">
      <c r="A60" s="5">
        <v>59</v>
      </c>
      <c r="B60" s="2">
        <v>1323059</v>
      </c>
      <c r="C60" s="2" t="s">
        <v>70</v>
      </c>
      <c r="D60" s="15" t="s">
        <v>643</v>
      </c>
      <c r="E60" s="2" t="s">
        <v>1130</v>
      </c>
      <c r="F60" s="26">
        <v>7988616254</v>
      </c>
      <c r="G60" s="26" t="s">
        <v>1747</v>
      </c>
      <c r="H60" s="2" t="s">
        <v>1138</v>
      </c>
      <c r="I60" s="2"/>
      <c r="J60" s="16" t="s">
        <v>1146</v>
      </c>
      <c r="K60" s="16"/>
      <c r="L60" s="2" t="s">
        <v>8</v>
      </c>
      <c r="M60" s="16">
        <v>8.18</v>
      </c>
      <c r="N60" s="16">
        <v>8.18</v>
      </c>
      <c r="O60" s="2" t="s">
        <v>2216</v>
      </c>
      <c r="P60" s="2">
        <v>8.0500000000000007</v>
      </c>
      <c r="Q60" s="16"/>
      <c r="R60" s="49"/>
      <c r="S60" s="93">
        <f t="shared" si="0"/>
        <v>8.1366666666666667</v>
      </c>
    </row>
    <row r="61" spans="1:19" x14ac:dyDescent="0.3">
      <c r="A61" s="5">
        <v>60</v>
      </c>
      <c r="B61" s="2">
        <v>1323060</v>
      </c>
      <c r="C61" s="2" t="s">
        <v>71</v>
      </c>
      <c r="D61" s="15" t="s">
        <v>644</v>
      </c>
      <c r="E61" s="2" t="s">
        <v>1131</v>
      </c>
      <c r="F61" s="26">
        <v>8708418701</v>
      </c>
      <c r="G61" s="26" t="s">
        <v>1748</v>
      </c>
      <c r="H61" s="2" t="s">
        <v>1138</v>
      </c>
      <c r="I61" s="2"/>
      <c r="J61" s="16" t="s">
        <v>1145</v>
      </c>
      <c r="K61" s="16"/>
      <c r="L61" s="2" t="s">
        <v>8</v>
      </c>
      <c r="M61" s="16">
        <v>7.27</v>
      </c>
      <c r="N61" s="16">
        <v>7.95</v>
      </c>
      <c r="O61" s="2">
        <v>7.14</v>
      </c>
      <c r="P61" s="2">
        <v>7.75</v>
      </c>
      <c r="Q61" s="16"/>
      <c r="R61" s="49"/>
      <c r="S61" s="93">
        <f t="shared" si="0"/>
        <v>7.5274999999999999</v>
      </c>
    </row>
    <row r="62" spans="1:19" x14ac:dyDescent="0.3">
      <c r="A62" s="5">
        <v>61</v>
      </c>
      <c r="B62" s="2">
        <v>1323061</v>
      </c>
      <c r="C62" s="2" t="s">
        <v>72</v>
      </c>
      <c r="D62" s="15" t="s">
        <v>625</v>
      </c>
      <c r="E62" s="2" t="s">
        <v>1128</v>
      </c>
      <c r="F62" s="26">
        <v>8814827548</v>
      </c>
      <c r="G62" s="26" t="s">
        <v>1749</v>
      </c>
      <c r="H62" s="2" t="s">
        <v>1138</v>
      </c>
      <c r="I62" s="2"/>
      <c r="J62" s="16" t="s">
        <v>8</v>
      </c>
      <c r="K62" s="16"/>
      <c r="L62" s="2" t="s">
        <v>8</v>
      </c>
      <c r="M62" s="16" t="s">
        <v>1622</v>
      </c>
      <c r="N62" s="16" t="s">
        <v>1672</v>
      </c>
      <c r="O62" s="2" t="s">
        <v>954</v>
      </c>
      <c r="P62" s="2" t="s">
        <v>954</v>
      </c>
      <c r="Q62" s="16"/>
      <c r="R62" s="49"/>
      <c r="S62" s="93" t="e">
        <f t="shared" si="0"/>
        <v>#DIV/0!</v>
      </c>
    </row>
    <row r="63" spans="1:19" x14ac:dyDescent="0.3">
      <c r="A63" s="5">
        <v>62</v>
      </c>
      <c r="B63" s="2">
        <v>1323062</v>
      </c>
      <c r="C63" s="2" t="s">
        <v>73</v>
      </c>
      <c r="D63" s="15" t="s">
        <v>645</v>
      </c>
      <c r="E63" s="2" t="s">
        <v>1132</v>
      </c>
      <c r="F63" s="26">
        <v>8816884548</v>
      </c>
      <c r="G63" s="26" t="s">
        <v>1750</v>
      </c>
      <c r="H63" s="2" t="s">
        <v>1138</v>
      </c>
      <c r="I63" s="2"/>
      <c r="J63" s="16" t="s">
        <v>1146</v>
      </c>
      <c r="K63" s="16"/>
      <c r="L63" s="2" t="s">
        <v>8</v>
      </c>
      <c r="M63" s="16">
        <v>7.36</v>
      </c>
      <c r="N63" s="16">
        <v>8.0500000000000007</v>
      </c>
      <c r="O63" s="2">
        <v>7.64</v>
      </c>
      <c r="P63" s="2">
        <v>8.14</v>
      </c>
      <c r="Q63" s="16"/>
      <c r="R63" s="49"/>
      <c r="S63" s="93">
        <f t="shared" si="0"/>
        <v>7.7975000000000003</v>
      </c>
    </row>
    <row r="64" spans="1:19" x14ac:dyDescent="0.3">
      <c r="A64" s="5">
        <v>63</v>
      </c>
      <c r="B64" s="2">
        <v>1323063</v>
      </c>
      <c r="C64" s="2" t="s">
        <v>74</v>
      </c>
      <c r="D64" s="15" t="s">
        <v>1443</v>
      </c>
      <c r="E64" s="2" t="s">
        <v>1125</v>
      </c>
      <c r="F64" s="26">
        <v>8950212534</v>
      </c>
      <c r="G64" s="26" t="s">
        <v>1751</v>
      </c>
      <c r="H64" s="2" t="s">
        <v>1138</v>
      </c>
      <c r="I64" s="2"/>
      <c r="J64" s="16"/>
      <c r="K64" s="16"/>
      <c r="L64" s="2" t="s">
        <v>8</v>
      </c>
      <c r="M64" s="16">
        <v>5.98</v>
      </c>
      <c r="N64" s="16" t="s">
        <v>1673</v>
      </c>
      <c r="O64" s="2" t="s">
        <v>2217</v>
      </c>
      <c r="P64" s="2" t="s">
        <v>953</v>
      </c>
      <c r="Q64" s="16"/>
      <c r="R64" s="49"/>
      <c r="S64" s="93">
        <f t="shared" si="0"/>
        <v>5.98</v>
      </c>
    </row>
    <row r="65" spans="1:19" x14ac:dyDescent="0.3">
      <c r="A65" s="5">
        <v>64</v>
      </c>
      <c r="B65" s="2">
        <v>1323064</v>
      </c>
      <c r="C65" s="2" t="s">
        <v>75</v>
      </c>
      <c r="D65" s="15" t="s">
        <v>646</v>
      </c>
      <c r="E65" s="2" t="s">
        <v>1133</v>
      </c>
      <c r="F65" s="26">
        <v>8950229941</v>
      </c>
      <c r="G65" s="26" t="s">
        <v>1752</v>
      </c>
      <c r="H65" s="2" t="s">
        <v>1138</v>
      </c>
      <c r="I65" s="2"/>
      <c r="J65" s="16"/>
      <c r="K65" s="16"/>
      <c r="L65" s="2" t="s">
        <v>8</v>
      </c>
      <c r="M65" s="16">
        <v>6.09</v>
      </c>
      <c r="N65" s="16" t="s">
        <v>1673</v>
      </c>
      <c r="O65" s="2" t="s">
        <v>2218</v>
      </c>
      <c r="P65" s="2" t="s">
        <v>954</v>
      </c>
      <c r="Q65" s="16"/>
      <c r="R65" s="49"/>
      <c r="S65" s="93">
        <f t="shared" si="0"/>
        <v>6.09</v>
      </c>
    </row>
    <row r="66" spans="1:19" x14ac:dyDescent="0.3">
      <c r="A66" s="5">
        <v>65</v>
      </c>
      <c r="B66" s="2">
        <v>1323065</v>
      </c>
      <c r="C66" s="2" t="s">
        <v>76</v>
      </c>
      <c r="D66" s="15" t="s">
        <v>647</v>
      </c>
      <c r="E66" s="2" t="s">
        <v>1134</v>
      </c>
      <c r="F66" s="26">
        <v>8950548142</v>
      </c>
      <c r="G66" s="26" t="s">
        <v>1753</v>
      </c>
      <c r="H66" s="2" t="s">
        <v>1138</v>
      </c>
      <c r="I66" s="2"/>
      <c r="J66" s="16" t="s">
        <v>1145</v>
      </c>
      <c r="K66" s="16"/>
      <c r="L66" s="2" t="s">
        <v>8</v>
      </c>
      <c r="M66" s="16">
        <v>8</v>
      </c>
      <c r="N66" s="16">
        <v>9.4499999999999993</v>
      </c>
      <c r="O66" s="2">
        <v>8.32</v>
      </c>
      <c r="P66" s="2">
        <v>9.27</v>
      </c>
      <c r="Q66" s="16"/>
      <c r="R66" s="49"/>
      <c r="S66" s="93">
        <f t="shared" ref="S66:S129" si="1">AVERAGE(M66:P66)</f>
        <v>8.76</v>
      </c>
    </row>
    <row r="67" spans="1:19" x14ac:dyDescent="0.3">
      <c r="A67" s="5">
        <v>66</v>
      </c>
      <c r="B67" s="2">
        <v>1323066</v>
      </c>
      <c r="C67" s="2" t="s">
        <v>77</v>
      </c>
      <c r="D67" s="15" t="s">
        <v>1444</v>
      </c>
      <c r="E67" s="2" t="s">
        <v>1082</v>
      </c>
      <c r="F67" s="26">
        <v>8950667283</v>
      </c>
      <c r="G67" s="26" t="s">
        <v>1754</v>
      </c>
      <c r="H67" s="2" t="s">
        <v>1138</v>
      </c>
      <c r="I67" s="2"/>
      <c r="J67" s="16" t="s">
        <v>8</v>
      </c>
      <c r="K67" s="16"/>
      <c r="L67" s="2" t="s">
        <v>8</v>
      </c>
      <c r="M67" s="16">
        <v>8.5500000000000007</v>
      </c>
      <c r="N67" s="16">
        <v>8.86</v>
      </c>
      <c r="O67" s="2">
        <v>8.18</v>
      </c>
      <c r="P67" s="2">
        <v>8.91</v>
      </c>
      <c r="Q67" s="16"/>
      <c r="R67" s="49"/>
      <c r="S67" s="93">
        <f t="shared" si="1"/>
        <v>8.625</v>
      </c>
    </row>
    <row r="68" spans="1:19" x14ac:dyDescent="0.3">
      <c r="A68" s="5">
        <v>67</v>
      </c>
      <c r="B68" s="2">
        <v>1323067</v>
      </c>
      <c r="C68" s="2" t="s">
        <v>78</v>
      </c>
      <c r="D68" s="15" t="s">
        <v>648</v>
      </c>
      <c r="E68" s="2" t="s">
        <v>1135</v>
      </c>
      <c r="F68" s="26">
        <v>8950877990</v>
      </c>
      <c r="G68" s="26" t="s">
        <v>1755</v>
      </c>
      <c r="H68" s="2" t="s">
        <v>1138</v>
      </c>
      <c r="I68" s="2"/>
      <c r="J68" s="16" t="s">
        <v>1145</v>
      </c>
      <c r="K68" s="16"/>
      <c r="L68" s="2" t="s">
        <v>8</v>
      </c>
      <c r="M68" s="16">
        <v>7.68</v>
      </c>
      <c r="N68" s="16">
        <v>7.64</v>
      </c>
      <c r="O68" s="2">
        <v>7.77</v>
      </c>
      <c r="P68" s="2">
        <v>7.86</v>
      </c>
      <c r="Q68" s="16"/>
      <c r="R68" s="49"/>
      <c r="S68" s="93">
        <f t="shared" si="1"/>
        <v>7.7374999999999998</v>
      </c>
    </row>
    <row r="69" spans="1:19" x14ac:dyDescent="0.3">
      <c r="A69" s="5">
        <v>68</v>
      </c>
      <c r="B69" s="2">
        <v>1323068</v>
      </c>
      <c r="C69" s="2" t="s">
        <v>79</v>
      </c>
      <c r="D69" s="15" t="s">
        <v>649</v>
      </c>
      <c r="E69" s="2" t="s">
        <v>963</v>
      </c>
      <c r="F69" s="26">
        <v>9017595727</v>
      </c>
      <c r="G69" s="26" t="s">
        <v>1756</v>
      </c>
      <c r="H69" s="2" t="s">
        <v>1138</v>
      </c>
      <c r="I69" s="2"/>
      <c r="J69" s="16" t="s">
        <v>1146</v>
      </c>
      <c r="K69" s="16"/>
      <c r="L69" s="2" t="s">
        <v>8</v>
      </c>
      <c r="M69" s="16">
        <v>6.91</v>
      </c>
      <c r="N69" s="16">
        <v>6.09</v>
      </c>
      <c r="O69" s="2" t="s">
        <v>2219</v>
      </c>
      <c r="P69" s="2" t="s">
        <v>2249</v>
      </c>
      <c r="Q69" s="16"/>
      <c r="R69" s="49"/>
      <c r="S69" s="93">
        <f t="shared" si="1"/>
        <v>6.5</v>
      </c>
    </row>
    <row r="70" spans="1:19" x14ac:dyDescent="0.3">
      <c r="A70" s="5">
        <v>69</v>
      </c>
      <c r="B70" s="2">
        <v>1323069</v>
      </c>
      <c r="C70" s="2" t="s">
        <v>941</v>
      </c>
      <c r="D70" s="2"/>
      <c r="E70" s="2"/>
      <c r="F70" s="26"/>
      <c r="G70" s="26"/>
      <c r="H70" s="2"/>
      <c r="I70" s="2"/>
      <c r="J70" s="16"/>
      <c r="K70" s="16"/>
      <c r="L70" s="2"/>
      <c r="M70" s="16"/>
      <c r="N70" s="16"/>
      <c r="O70" s="2"/>
      <c r="P70" s="2"/>
      <c r="Q70" s="16"/>
      <c r="R70" s="49"/>
      <c r="S70" s="93" t="e">
        <f t="shared" si="1"/>
        <v>#DIV/0!</v>
      </c>
    </row>
    <row r="71" spans="1:19" x14ac:dyDescent="0.3">
      <c r="A71" s="5">
        <v>70</v>
      </c>
      <c r="B71" s="2">
        <v>1323070</v>
      </c>
      <c r="C71" s="2" t="s">
        <v>80</v>
      </c>
      <c r="D71" s="15" t="s">
        <v>650</v>
      </c>
      <c r="E71" s="2" t="s">
        <v>1136</v>
      </c>
      <c r="F71" s="26"/>
      <c r="G71" s="26"/>
      <c r="H71" s="2" t="s">
        <v>1138</v>
      </c>
      <c r="I71" s="2"/>
      <c r="J71" s="16"/>
      <c r="K71" s="16"/>
      <c r="L71" s="2" t="s">
        <v>8</v>
      </c>
      <c r="M71" s="16">
        <v>6.95</v>
      </c>
      <c r="N71" s="16">
        <v>6.59</v>
      </c>
      <c r="O71" s="2" t="s">
        <v>954</v>
      </c>
      <c r="P71" s="2"/>
      <c r="Q71" s="16"/>
      <c r="R71" s="49"/>
      <c r="S71" s="93">
        <f t="shared" si="1"/>
        <v>6.77</v>
      </c>
    </row>
    <row r="72" spans="1:19" x14ac:dyDescent="0.3">
      <c r="A72" s="5">
        <v>71</v>
      </c>
      <c r="B72" s="2">
        <v>1323071</v>
      </c>
      <c r="C72" s="2" t="s">
        <v>81</v>
      </c>
      <c r="D72" s="15" t="s">
        <v>641</v>
      </c>
      <c r="E72" s="2" t="s">
        <v>1137</v>
      </c>
      <c r="F72" s="26">
        <v>9885802000</v>
      </c>
      <c r="G72" s="26" t="s">
        <v>1757</v>
      </c>
      <c r="H72" s="2" t="s">
        <v>1138</v>
      </c>
      <c r="I72" s="2"/>
      <c r="J72" s="16"/>
      <c r="K72" s="16"/>
      <c r="L72" s="2" t="s">
        <v>8</v>
      </c>
      <c r="M72" s="16">
        <v>6.86</v>
      </c>
      <c r="N72" s="16" t="s">
        <v>1668</v>
      </c>
      <c r="O72" s="2" t="s">
        <v>2214</v>
      </c>
      <c r="P72" s="2" t="s">
        <v>954</v>
      </c>
      <c r="Q72" s="16"/>
      <c r="R72" s="49"/>
      <c r="S72" s="93">
        <f t="shared" si="1"/>
        <v>6.86</v>
      </c>
    </row>
    <row r="73" spans="1:19" x14ac:dyDescent="0.3">
      <c r="A73" s="5">
        <v>72</v>
      </c>
      <c r="B73" s="2">
        <v>1323072</v>
      </c>
      <c r="C73" s="2" t="s">
        <v>82</v>
      </c>
      <c r="D73" s="15" t="s">
        <v>779</v>
      </c>
      <c r="E73" s="2" t="s">
        <v>1153</v>
      </c>
      <c r="F73" s="26">
        <v>9050214683</v>
      </c>
      <c r="G73" s="26" t="s">
        <v>1758</v>
      </c>
      <c r="H73" s="2" t="s">
        <v>1138</v>
      </c>
      <c r="I73" s="2"/>
      <c r="J73" s="16" t="s">
        <v>8</v>
      </c>
      <c r="K73" s="16"/>
      <c r="L73" s="2" t="s">
        <v>8</v>
      </c>
      <c r="M73" s="16">
        <v>6.34</v>
      </c>
      <c r="N73" s="16" t="s">
        <v>1674</v>
      </c>
      <c r="O73" s="2" t="s">
        <v>953</v>
      </c>
      <c r="P73" s="2" t="s">
        <v>2258</v>
      </c>
      <c r="Q73" s="16"/>
      <c r="R73" s="49"/>
      <c r="S73" s="93">
        <f t="shared" si="1"/>
        <v>6.34</v>
      </c>
    </row>
    <row r="74" spans="1:19" x14ac:dyDescent="0.3">
      <c r="A74" s="5">
        <v>73</v>
      </c>
      <c r="B74" s="2">
        <v>1323073</v>
      </c>
      <c r="C74" s="2" t="s">
        <v>83</v>
      </c>
      <c r="D74" s="15" t="s">
        <v>1445</v>
      </c>
      <c r="E74" s="2" t="s">
        <v>1154</v>
      </c>
      <c r="F74" s="26"/>
      <c r="G74" s="26"/>
      <c r="H74" s="2" t="s">
        <v>1138</v>
      </c>
      <c r="I74" s="2"/>
      <c r="J74" s="16"/>
      <c r="K74" s="16"/>
      <c r="L74" s="2" t="s">
        <v>8</v>
      </c>
      <c r="M74" s="16">
        <v>7.68</v>
      </c>
      <c r="N74" s="16">
        <v>7.43</v>
      </c>
      <c r="O74" s="2" t="s">
        <v>954</v>
      </c>
      <c r="P74" s="2"/>
      <c r="Q74" s="16"/>
      <c r="R74" s="49"/>
      <c r="S74" s="93">
        <f t="shared" si="1"/>
        <v>7.5549999999999997</v>
      </c>
    </row>
    <row r="75" spans="1:19" x14ac:dyDescent="0.3">
      <c r="A75" s="5">
        <v>74</v>
      </c>
      <c r="B75" s="2">
        <v>1323074</v>
      </c>
      <c r="C75" s="2" t="s">
        <v>941</v>
      </c>
      <c r="D75" s="15" t="s">
        <v>1446</v>
      </c>
      <c r="E75" s="2" t="s">
        <v>1155</v>
      </c>
      <c r="F75" s="26">
        <v>7027172903</v>
      </c>
      <c r="G75" s="26" t="s">
        <v>1759</v>
      </c>
      <c r="H75" s="2" t="s">
        <v>1138</v>
      </c>
      <c r="I75" s="2"/>
      <c r="J75" s="16"/>
      <c r="K75" s="16"/>
      <c r="L75" s="2"/>
      <c r="M75" s="16">
        <v>6.66</v>
      </c>
      <c r="N75" s="16" t="s">
        <v>1665</v>
      </c>
      <c r="O75" s="2"/>
      <c r="P75" s="2" t="s">
        <v>954</v>
      </c>
      <c r="Q75" s="16"/>
      <c r="R75" s="49"/>
      <c r="S75" s="93">
        <f t="shared" si="1"/>
        <v>6.66</v>
      </c>
    </row>
    <row r="76" spans="1:19" x14ac:dyDescent="0.3">
      <c r="A76" s="5">
        <v>75</v>
      </c>
      <c r="B76" s="2">
        <v>1323075</v>
      </c>
      <c r="C76" s="2" t="s">
        <v>84</v>
      </c>
      <c r="D76" s="15" t="s">
        <v>1447</v>
      </c>
      <c r="E76" s="2" t="s">
        <v>1082</v>
      </c>
      <c r="F76" s="26"/>
      <c r="G76" s="26"/>
      <c r="H76" s="2"/>
      <c r="I76" s="2"/>
      <c r="J76" s="16"/>
      <c r="K76" s="16"/>
      <c r="L76" s="2"/>
      <c r="M76" s="16">
        <v>7</v>
      </c>
      <c r="N76" s="16" t="s">
        <v>1665</v>
      </c>
      <c r="O76" s="2"/>
      <c r="P76" s="2"/>
      <c r="Q76" s="16"/>
      <c r="R76" s="49"/>
      <c r="S76" s="93">
        <f t="shared" si="1"/>
        <v>7</v>
      </c>
    </row>
    <row r="77" spans="1:19" x14ac:dyDescent="0.3">
      <c r="A77" s="5">
        <v>76</v>
      </c>
      <c r="B77" s="2">
        <v>1323076</v>
      </c>
      <c r="C77" s="2" t="s">
        <v>85</v>
      </c>
      <c r="D77" s="2"/>
      <c r="E77" s="2"/>
      <c r="F77" s="26"/>
      <c r="G77" s="26"/>
      <c r="H77" s="2"/>
      <c r="I77" s="2"/>
      <c r="J77" s="16"/>
      <c r="K77" s="16"/>
      <c r="L77" s="2"/>
      <c r="M77" s="16"/>
      <c r="N77" s="16"/>
      <c r="O77" s="2"/>
      <c r="P77" s="2"/>
      <c r="Q77" s="16"/>
      <c r="R77" s="49"/>
      <c r="S77" s="93" t="e">
        <f t="shared" si="1"/>
        <v>#DIV/0!</v>
      </c>
    </row>
    <row r="78" spans="1:19" x14ac:dyDescent="0.3">
      <c r="A78" s="5">
        <v>77</v>
      </c>
      <c r="B78" s="2">
        <v>1323077</v>
      </c>
      <c r="C78" s="2" t="s">
        <v>86</v>
      </c>
      <c r="D78" s="15" t="s">
        <v>1448</v>
      </c>
      <c r="E78" s="2" t="s">
        <v>1156</v>
      </c>
      <c r="F78" s="26">
        <v>9153874994</v>
      </c>
      <c r="G78" s="26" t="s">
        <v>1760</v>
      </c>
      <c r="H78" s="2" t="s">
        <v>1138</v>
      </c>
      <c r="I78" s="2"/>
      <c r="J78" s="16" t="s">
        <v>8</v>
      </c>
      <c r="K78" s="16"/>
      <c r="L78" s="2" t="s">
        <v>8</v>
      </c>
      <c r="M78" s="16">
        <v>8.5500000000000007</v>
      </c>
      <c r="N78" s="16">
        <v>9.09</v>
      </c>
      <c r="O78" s="2">
        <v>8.5</v>
      </c>
      <c r="P78" s="2">
        <v>9.18</v>
      </c>
      <c r="Q78" s="16"/>
      <c r="R78" s="49"/>
      <c r="S78" s="93">
        <f t="shared" si="1"/>
        <v>8.83</v>
      </c>
    </row>
    <row r="79" spans="1:19" x14ac:dyDescent="0.3">
      <c r="A79" s="5">
        <v>78</v>
      </c>
      <c r="B79" s="2">
        <v>1323078</v>
      </c>
      <c r="C79" s="2" t="s">
        <v>87</v>
      </c>
      <c r="D79" s="15" t="s">
        <v>651</v>
      </c>
      <c r="E79" s="2" t="s">
        <v>1157</v>
      </c>
      <c r="F79" s="26">
        <v>9258370702</v>
      </c>
      <c r="G79" s="26" t="s">
        <v>1761</v>
      </c>
      <c r="H79" s="2" t="s">
        <v>1138</v>
      </c>
      <c r="I79" s="2"/>
      <c r="J79" s="16"/>
      <c r="K79" s="16"/>
      <c r="L79" s="2" t="s">
        <v>8</v>
      </c>
      <c r="M79" s="16">
        <v>6.48</v>
      </c>
      <c r="N79" s="16" t="s">
        <v>1673</v>
      </c>
      <c r="O79" s="2" t="s">
        <v>2212</v>
      </c>
      <c r="P79" s="2">
        <v>6.5</v>
      </c>
      <c r="Q79" s="16"/>
      <c r="R79" s="49"/>
      <c r="S79" s="93">
        <f t="shared" si="1"/>
        <v>6.49</v>
      </c>
    </row>
    <row r="80" spans="1:19" x14ac:dyDescent="0.3">
      <c r="A80" s="5">
        <v>79</v>
      </c>
      <c r="B80" s="2">
        <v>1323079</v>
      </c>
      <c r="C80" s="2" t="s">
        <v>88</v>
      </c>
      <c r="D80" s="15" t="s">
        <v>1449</v>
      </c>
      <c r="E80" s="2" t="s">
        <v>1158</v>
      </c>
      <c r="F80" s="26">
        <v>9258620589</v>
      </c>
      <c r="G80" s="26" t="s">
        <v>1762</v>
      </c>
      <c r="H80" s="2" t="s">
        <v>1138</v>
      </c>
      <c r="I80" s="2"/>
      <c r="J80" s="16" t="s">
        <v>8</v>
      </c>
      <c r="K80" s="16"/>
      <c r="L80" s="2" t="s">
        <v>8</v>
      </c>
      <c r="M80" s="16">
        <v>7.95</v>
      </c>
      <c r="N80" s="16">
        <v>8.86</v>
      </c>
      <c r="O80" s="2">
        <v>8.82</v>
      </c>
      <c r="P80" s="2">
        <v>8.91</v>
      </c>
      <c r="Q80" s="16"/>
      <c r="R80" s="49"/>
      <c r="S80" s="93">
        <f t="shared" si="1"/>
        <v>8.6349999999999998</v>
      </c>
    </row>
    <row r="81" spans="1:19" x14ac:dyDescent="0.3">
      <c r="A81" s="5">
        <v>80</v>
      </c>
      <c r="B81" s="2">
        <v>1323080</v>
      </c>
      <c r="C81" s="2" t="s">
        <v>89</v>
      </c>
      <c r="D81" s="15" t="s">
        <v>652</v>
      </c>
      <c r="E81" s="2" t="s">
        <v>1159</v>
      </c>
      <c r="F81" s="26">
        <v>9350756736</v>
      </c>
      <c r="G81" s="26" t="s">
        <v>1763</v>
      </c>
      <c r="H81" s="2" t="s">
        <v>1138</v>
      </c>
      <c r="I81" s="2"/>
      <c r="J81" s="16" t="s">
        <v>8</v>
      </c>
      <c r="K81" s="16"/>
      <c r="L81" s="2" t="s">
        <v>8</v>
      </c>
      <c r="M81" s="16">
        <v>6</v>
      </c>
      <c r="N81" s="16" t="s">
        <v>1662</v>
      </c>
      <c r="O81" s="2" t="s">
        <v>953</v>
      </c>
      <c r="P81" s="2" t="s">
        <v>954</v>
      </c>
      <c r="Q81" s="16"/>
      <c r="R81" s="49"/>
      <c r="S81" s="93">
        <f t="shared" si="1"/>
        <v>6</v>
      </c>
    </row>
    <row r="82" spans="1:19" x14ac:dyDescent="0.3">
      <c r="A82" s="5">
        <v>81</v>
      </c>
      <c r="B82" s="2">
        <v>1323081</v>
      </c>
      <c r="C82" s="2" t="s">
        <v>90</v>
      </c>
      <c r="D82" s="18" t="s">
        <v>653</v>
      </c>
      <c r="E82" s="2" t="s">
        <v>1160</v>
      </c>
      <c r="F82" s="26"/>
      <c r="G82" s="26"/>
      <c r="H82" s="2"/>
      <c r="I82" s="2"/>
      <c r="J82" s="16"/>
      <c r="K82" s="16"/>
      <c r="L82" s="2" t="s">
        <v>8</v>
      </c>
      <c r="M82" s="16" t="s">
        <v>1623</v>
      </c>
      <c r="N82" s="16" t="s">
        <v>1675</v>
      </c>
      <c r="O82" s="2"/>
      <c r="P82" s="2"/>
      <c r="Q82" s="16"/>
      <c r="R82" s="49"/>
      <c r="S82" s="93" t="e">
        <f t="shared" si="1"/>
        <v>#DIV/0!</v>
      </c>
    </row>
    <row r="83" spans="1:19" x14ac:dyDescent="0.3">
      <c r="A83" s="5">
        <v>82</v>
      </c>
      <c r="B83" s="2">
        <v>1323082</v>
      </c>
      <c r="C83" s="2" t="s">
        <v>91</v>
      </c>
      <c r="D83" s="15" t="s">
        <v>654</v>
      </c>
      <c r="E83" s="2" t="s">
        <v>1161</v>
      </c>
      <c r="F83" s="26">
        <v>9306396810</v>
      </c>
      <c r="G83" s="26" t="s">
        <v>1764</v>
      </c>
      <c r="H83" s="2" t="s">
        <v>1139</v>
      </c>
      <c r="I83" s="2"/>
      <c r="J83" s="16" t="s">
        <v>8</v>
      </c>
      <c r="K83" s="16"/>
      <c r="L83" s="2" t="s">
        <v>8</v>
      </c>
      <c r="M83" s="16" t="s">
        <v>1624</v>
      </c>
      <c r="N83" s="16" t="s">
        <v>1676</v>
      </c>
      <c r="O83" s="2">
        <v>6.95</v>
      </c>
      <c r="P83" s="2">
        <v>8.18</v>
      </c>
      <c r="Q83" s="16"/>
      <c r="R83" s="49"/>
      <c r="S83" s="93">
        <f t="shared" si="1"/>
        <v>7.5649999999999995</v>
      </c>
    </row>
    <row r="84" spans="1:19" x14ac:dyDescent="0.3">
      <c r="A84" s="5">
        <v>83</v>
      </c>
      <c r="B84" s="2">
        <v>1323083</v>
      </c>
      <c r="C84" s="2" t="s">
        <v>92</v>
      </c>
      <c r="D84" s="15" t="s">
        <v>655</v>
      </c>
      <c r="E84" s="2" t="s">
        <v>1162</v>
      </c>
      <c r="F84" s="26">
        <v>9306483856</v>
      </c>
      <c r="G84" s="26" t="s">
        <v>1765</v>
      </c>
      <c r="H84" s="2" t="s">
        <v>1139</v>
      </c>
      <c r="I84" s="2"/>
      <c r="J84" s="16" t="s">
        <v>8</v>
      </c>
      <c r="K84" s="16"/>
      <c r="L84" s="2" t="s">
        <v>8</v>
      </c>
      <c r="M84" s="16">
        <v>7.23</v>
      </c>
      <c r="N84" s="16" t="s">
        <v>1677</v>
      </c>
      <c r="O84" s="2">
        <v>7.64</v>
      </c>
      <c r="P84" s="2">
        <v>7.73</v>
      </c>
      <c r="Q84" s="16"/>
      <c r="R84" s="49"/>
      <c r="S84" s="93">
        <f t="shared" si="1"/>
        <v>7.5333333333333341</v>
      </c>
    </row>
    <row r="85" spans="1:19" x14ac:dyDescent="0.3">
      <c r="A85" s="5">
        <v>84</v>
      </c>
      <c r="B85" s="2">
        <v>1323084</v>
      </c>
      <c r="C85" s="2" t="s">
        <v>93</v>
      </c>
      <c r="D85" s="15" t="s">
        <v>656</v>
      </c>
      <c r="E85" s="2" t="s">
        <v>1163</v>
      </c>
      <c r="F85" s="26">
        <v>9306526975</v>
      </c>
      <c r="G85" s="26" t="s">
        <v>1766</v>
      </c>
      <c r="H85" s="2" t="s">
        <v>1139</v>
      </c>
      <c r="I85" s="2"/>
      <c r="J85" s="16" t="s">
        <v>8</v>
      </c>
      <c r="K85" s="16"/>
      <c r="L85" s="2" t="s">
        <v>8</v>
      </c>
      <c r="M85" s="16">
        <v>7.32</v>
      </c>
      <c r="N85" s="16">
        <v>7.73</v>
      </c>
      <c r="O85" s="2">
        <v>8.59</v>
      </c>
      <c r="P85" s="2">
        <v>8.86</v>
      </c>
      <c r="Q85" s="16"/>
      <c r="R85" s="49"/>
      <c r="S85" s="93">
        <f t="shared" si="1"/>
        <v>8.125</v>
      </c>
    </row>
    <row r="86" spans="1:19" x14ac:dyDescent="0.3">
      <c r="A86" s="5">
        <v>85</v>
      </c>
      <c r="B86" s="2">
        <v>1323085</v>
      </c>
      <c r="C86" s="2" t="s">
        <v>94</v>
      </c>
      <c r="D86" s="15" t="s">
        <v>1450</v>
      </c>
      <c r="E86" s="2" t="s">
        <v>1164</v>
      </c>
      <c r="F86" s="26">
        <v>9806882008</v>
      </c>
      <c r="G86" s="26" t="s">
        <v>1767</v>
      </c>
      <c r="H86" s="2" t="s">
        <v>1139</v>
      </c>
      <c r="I86" s="2"/>
      <c r="J86" s="16" t="s">
        <v>1146</v>
      </c>
      <c r="K86" s="16"/>
      <c r="L86" s="2" t="s">
        <v>8</v>
      </c>
      <c r="M86" s="16">
        <v>6.73</v>
      </c>
      <c r="N86" s="16">
        <v>7.73</v>
      </c>
      <c r="O86" s="2">
        <v>7.41</v>
      </c>
      <c r="P86" s="2">
        <v>7.43</v>
      </c>
      <c r="Q86" s="16"/>
      <c r="R86" s="49"/>
      <c r="S86" s="93">
        <f t="shared" si="1"/>
        <v>7.3250000000000002</v>
      </c>
    </row>
    <row r="87" spans="1:19" x14ac:dyDescent="0.3">
      <c r="A87" s="5">
        <v>86</v>
      </c>
      <c r="B87" s="2">
        <v>1323086</v>
      </c>
      <c r="C87" s="2" t="s">
        <v>95</v>
      </c>
      <c r="D87" s="15" t="s">
        <v>657</v>
      </c>
      <c r="E87" s="2" t="s">
        <v>1165</v>
      </c>
      <c r="F87" s="26">
        <v>9306906734</v>
      </c>
      <c r="G87" s="26" t="s">
        <v>1768</v>
      </c>
      <c r="H87" s="2" t="s">
        <v>1139</v>
      </c>
      <c r="I87" s="2"/>
      <c r="J87" s="16" t="s">
        <v>1145</v>
      </c>
      <c r="K87" s="16"/>
      <c r="L87" s="2" t="s">
        <v>8</v>
      </c>
      <c r="M87" s="16">
        <v>6.57</v>
      </c>
      <c r="N87" s="16">
        <v>7.36</v>
      </c>
      <c r="O87" s="2">
        <v>7.09</v>
      </c>
      <c r="P87" s="2">
        <v>7</v>
      </c>
      <c r="Q87" s="16"/>
      <c r="R87" s="49"/>
      <c r="S87" s="93">
        <f t="shared" si="1"/>
        <v>7.0049999999999999</v>
      </c>
    </row>
    <row r="88" spans="1:19" x14ac:dyDescent="0.3">
      <c r="A88" s="5">
        <v>87</v>
      </c>
      <c r="B88" s="2">
        <v>1323087</v>
      </c>
      <c r="C88" s="2" t="s">
        <v>96</v>
      </c>
      <c r="D88" s="15" t="s">
        <v>658</v>
      </c>
      <c r="E88" s="2" t="s">
        <v>1166</v>
      </c>
      <c r="F88" s="26">
        <v>8053048981</v>
      </c>
      <c r="G88" s="26" t="s">
        <v>1769</v>
      </c>
      <c r="H88" s="2" t="s">
        <v>1139</v>
      </c>
      <c r="I88" s="2"/>
      <c r="J88" s="16" t="s">
        <v>1145</v>
      </c>
      <c r="K88" s="16"/>
      <c r="L88" s="2" t="s">
        <v>8</v>
      </c>
      <c r="M88" s="16">
        <v>6.52</v>
      </c>
      <c r="N88" s="16">
        <v>6.73</v>
      </c>
      <c r="O88" s="2">
        <v>7.36</v>
      </c>
      <c r="P88" s="2">
        <v>6.48</v>
      </c>
      <c r="Q88" s="16"/>
      <c r="R88" s="49"/>
      <c r="S88" s="93">
        <f t="shared" si="1"/>
        <v>6.7725</v>
      </c>
    </row>
    <row r="89" spans="1:19" x14ac:dyDescent="0.3">
      <c r="A89" s="5">
        <v>88</v>
      </c>
      <c r="B89" s="2">
        <v>1323088</v>
      </c>
      <c r="C89" s="2" t="s">
        <v>97</v>
      </c>
      <c r="D89" s="15" t="s">
        <v>1451</v>
      </c>
      <c r="E89" s="2" t="s">
        <v>668</v>
      </c>
      <c r="F89" s="26">
        <v>9350090426</v>
      </c>
      <c r="G89" s="26" t="s">
        <v>1770</v>
      </c>
      <c r="H89" s="2" t="s">
        <v>1139</v>
      </c>
      <c r="I89" s="2"/>
      <c r="J89" s="16" t="s">
        <v>8</v>
      </c>
      <c r="K89" s="16"/>
      <c r="L89" s="2" t="s">
        <v>8</v>
      </c>
      <c r="M89" s="16">
        <v>5.93</v>
      </c>
      <c r="N89" s="16">
        <v>6.25</v>
      </c>
      <c r="O89" s="2" t="s">
        <v>2220</v>
      </c>
      <c r="P89" s="2" t="s">
        <v>2259</v>
      </c>
      <c r="Q89" s="16"/>
      <c r="R89" s="49"/>
      <c r="S89" s="93">
        <f t="shared" si="1"/>
        <v>6.09</v>
      </c>
    </row>
    <row r="90" spans="1:19" x14ac:dyDescent="0.3">
      <c r="A90" s="5">
        <v>89</v>
      </c>
      <c r="B90" s="2">
        <v>1323089</v>
      </c>
      <c r="C90" s="2" t="s">
        <v>98</v>
      </c>
      <c r="D90" s="15" t="s">
        <v>1452</v>
      </c>
      <c r="E90" s="2" t="s">
        <v>878</v>
      </c>
      <c r="F90" s="26"/>
      <c r="G90" s="26"/>
      <c r="H90" s="2"/>
      <c r="I90" s="2"/>
      <c r="J90" s="16"/>
      <c r="K90" s="16"/>
      <c r="L90" s="2" t="s">
        <v>8</v>
      </c>
      <c r="M90" s="16">
        <v>6.3</v>
      </c>
      <c r="N90" s="16" t="s">
        <v>1662</v>
      </c>
      <c r="O90" s="2"/>
      <c r="P90" s="2"/>
      <c r="Q90" s="16"/>
      <c r="R90" s="49"/>
      <c r="S90" s="93">
        <f t="shared" si="1"/>
        <v>6.3</v>
      </c>
    </row>
    <row r="91" spans="1:19" x14ac:dyDescent="0.3">
      <c r="A91" s="5">
        <v>90</v>
      </c>
      <c r="B91" s="2">
        <v>1323090</v>
      </c>
      <c r="C91" s="2" t="s">
        <v>99</v>
      </c>
      <c r="D91" s="15" t="s">
        <v>659</v>
      </c>
      <c r="E91" s="2" t="s">
        <v>1167</v>
      </c>
      <c r="F91" s="26">
        <v>9416291170</v>
      </c>
      <c r="G91" s="26" t="s">
        <v>1771</v>
      </c>
      <c r="H91" s="2" t="s">
        <v>1139</v>
      </c>
      <c r="I91" s="2"/>
      <c r="J91" s="16" t="s">
        <v>8</v>
      </c>
      <c r="K91" s="16"/>
      <c r="L91" s="2" t="s">
        <v>8</v>
      </c>
      <c r="M91" s="16">
        <v>8.86</v>
      </c>
      <c r="N91" s="16">
        <v>9.64</v>
      </c>
      <c r="O91" s="2">
        <v>9.41</v>
      </c>
      <c r="P91" s="2">
        <v>9.0500000000000007</v>
      </c>
      <c r="Q91" s="16"/>
      <c r="R91" s="49"/>
      <c r="S91" s="93">
        <f t="shared" si="1"/>
        <v>9.24</v>
      </c>
    </row>
    <row r="92" spans="1:19" x14ac:dyDescent="0.3">
      <c r="A92" s="5">
        <v>91</v>
      </c>
      <c r="B92" s="2">
        <v>1323091</v>
      </c>
      <c r="C92" s="2" t="s">
        <v>100</v>
      </c>
      <c r="D92" s="15" t="s">
        <v>660</v>
      </c>
      <c r="E92" s="2" t="s">
        <v>1168</v>
      </c>
      <c r="F92" s="26">
        <v>9416461113</v>
      </c>
      <c r="G92" s="26" t="s">
        <v>1772</v>
      </c>
      <c r="H92" s="2" t="s">
        <v>1139</v>
      </c>
      <c r="I92" s="2"/>
      <c r="J92" s="16" t="s">
        <v>1145</v>
      </c>
      <c r="K92" s="16"/>
      <c r="L92" s="2" t="s">
        <v>8</v>
      </c>
      <c r="M92" s="16">
        <v>7.41</v>
      </c>
      <c r="N92" s="16">
        <v>8.14</v>
      </c>
      <c r="O92" s="2">
        <v>8.4499999999999993</v>
      </c>
      <c r="P92" s="2">
        <v>8.27</v>
      </c>
      <c r="Q92" s="16"/>
      <c r="R92" s="49"/>
      <c r="S92" s="93">
        <f t="shared" si="1"/>
        <v>8.067499999999999</v>
      </c>
    </row>
    <row r="93" spans="1:19" x14ac:dyDescent="0.3">
      <c r="A93" s="5">
        <v>92</v>
      </c>
      <c r="B93" s="2">
        <v>1323092</v>
      </c>
      <c r="C93" s="2" t="s">
        <v>101</v>
      </c>
      <c r="D93" s="15" t="s">
        <v>661</v>
      </c>
      <c r="E93" s="2" t="s">
        <v>668</v>
      </c>
      <c r="F93" s="26">
        <v>7082371844</v>
      </c>
      <c r="G93" s="26" t="s">
        <v>1773</v>
      </c>
      <c r="H93" s="2" t="s">
        <v>1139</v>
      </c>
      <c r="I93" s="2"/>
      <c r="J93" s="16" t="s">
        <v>1145</v>
      </c>
      <c r="K93" s="16"/>
      <c r="L93" s="2" t="s">
        <v>8</v>
      </c>
      <c r="M93" s="16">
        <v>6.39</v>
      </c>
      <c r="N93" s="16">
        <v>7.32</v>
      </c>
      <c r="O93" s="2">
        <v>7.36</v>
      </c>
      <c r="P93" s="2">
        <v>6.45</v>
      </c>
      <c r="Q93" s="16"/>
      <c r="R93" s="49"/>
      <c r="S93" s="93">
        <f t="shared" si="1"/>
        <v>6.88</v>
      </c>
    </row>
    <row r="94" spans="1:19" x14ac:dyDescent="0.3">
      <c r="A94" s="5">
        <v>93</v>
      </c>
      <c r="B94" s="2">
        <v>1323093</v>
      </c>
      <c r="C94" s="2" t="s">
        <v>102</v>
      </c>
      <c r="D94" s="15" t="s">
        <v>662</v>
      </c>
      <c r="E94" s="2" t="s">
        <v>1169</v>
      </c>
      <c r="F94" s="26">
        <v>9416904526</v>
      </c>
      <c r="G94" s="26" t="s">
        <v>1774</v>
      </c>
      <c r="H94" s="2" t="s">
        <v>1139</v>
      </c>
      <c r="I94" s="2"/>
      <c r="J94" s="16" t="s">
        <v>1145</v>
      </c>
      <c r="K94" s="16"/>
      <c r="L94" s="2" t="s">
        <v>8</v>
      </c>
      <c r="M94" s="16">
        <v>5.48</v>
      </c>
      <c r="N94" s="16">
        <v>6.05</v>
      </c>
      <c r="O94" s="2">
        <v>6.27</v>
      </c>
      <c r="P94" s="2" t="s">
        <v>2249</v>
      </c>
      <c r="Q94" s="16"/>
      <c r="R94" s="49"/>
      <c r="S94" s="93">
        <f t="shared" si="1"/>
        <v>5.9333333333333336</v>
      </c>
    </row>
    <row r="95" spans="1:19" x14ac:dyDescent="0.3">
      <c r="A95" s="5">
        <v>94</v>
      </c>
      <c r="B95" s="2">
        <v>1323094</v>
      </c>
      <c r="C95" s="2" t="s">
        <v>103</v>
      </c>
      <c r="D95" s="15" t="s">
        <v>663</v>
      </c>
      <c r="E95" s="2" t="s">
        <v>1170</v>
      </c>
      <c r="F95" s="26">
        <v>9466411285</v>
      </c>
      <c r="G95" s="26" t="s">
        <v>1775</v>
      </c>
      <c r="H95" s="2" t="s">
        <v>1139</v>
      </c>
      <c r="I95" s="2"/>
      <c r="J95" s="16" t="s">
        <v>1146</v>
      </c>
      <c r="K95" s="16"/>
      <c r="L95" s="2" t="s">
        <v>8</v>
      </c>
      <c r="M95" s="16">
        <v>7.86</v>
      </c>
      <c r="N95" s="16">
        <v>8.41</v>
      </c>
      <c r="O95" s="2">
        <v>8.73</v>
      </c>
      <c r="P95" s="2">
        <v>7.91</v>
      </c>
      <c r="Q95" s="16"/>
      <c r="R95" s="49"/>
      <c r="S95" s="93">
        <f t="shared" si="1"/>
        <v>8.2274999999999991</v>
      </c>
    </row>
    <row r="96" spans="1:19" x14ac:dyDescent="0.3">
      <c r="A96" s="5">
        <v>95</v>
      </c>
      <c r="B96" s="2">
        <v>1323095</v>
      </c>
      <c r="C96" s="2" t="s">
        <v>104</v>
      </c>
      <c r="D96" s="15" t="s">
        <v>664</v>
      </c>
      <c r="E96" s="2" t="s">
        <v>1171</v>
      </c>
      <c r="F96" s="26">
        <v>9416264031</v>
      </c>
      <c r="G96" s="26" t="s">
        <v>1776</v>
      </c>
      <c r="H96" s="2" t="s">
        <v>1139</v>
      </c>
      <c r="I96" s="2"/>
      <c r="J96" s="16" t="s">
        <v>1146</v>
      </c>
      <c r="K96" s="16"/>
      <c r="L96" s="2" t="s">
        <v>8</v>
      </c>
      <c r="M96" s="16" t="s">
        <v>1625</v>
      </c>
      <c r="N96" s="16" t="s">
        <v>1673</v>
      </c>
      <c r="O96" s="2">
        <v>5.64</v>
      </c>
      <c r="P96" s="2" t="s">
        <v>2260</v>
      </c>
      <c r="Q96" s="16"/>
      <c r="R96" s="49"/>
      <c r="S96" s="93">
        <f t="shared" si="1"/>
        <v>5.64</v>
      </c>
    </row>
    <row r="97" spans="1:19" x14ac:dyDescent="0.3">
      <c r="A97" s="5">
        <v>96</v>
      </c>
      <c r="B97" s="2">
        <v>1323096</v>
      </c>
      <c r="C97" s="2" t="s">
        <v>105</v>
      </c>
      <c r="D97" s="15" t="s">
        <v>665</v>
      </c>
      <c r="E97" s="2" t="s">
        <v>1172</v>
      </c>
      <c r="F97" s="26">
        <v>9518202144</v>
      </c>
      <c r="G97" s="26" t="s">
        <v>1777</v>
      </c>
      <c r="H97" s="2" t="s">
        <v>1139</v>
      </c>
      <c r="I97" s="2"/>
      <c r="J97" s="16" t="s">
        <v>8</v>
      </c>
      <c r="K97" s="16"/>
      <c r="L97" s="2" t="s">
        <v>8</v>
      </c>
      <c r="M97" s="16">
        <v>7.14</v>
      </c>
      <c r="N97" s="16">
        <v>6.75</v>
      </c>
      <c r="O97" s="2">
        <v>7</v>
      </c>
      <c r="P97" s="2">
        <v>6.93</v>
      </c>
      <c r="Q97" s="16"/>
      <c r="R97" s="49"/>
      <c r="S97" s="93">
        <f t="shared" si="1"/>
        <v>6.9550000000000001</v>
      </c>
    </row>
    <row r="98" spans="1:19" x14ac:dyDescent="0.3">
      <c r="A98" s="5">
        <v>97</v>
      </c>
      <c r="B98" s="2">
        <v>1323097</v>
      </c>
      <c r="C98" s="2" t="s">
        <v>106</v>
      </c>
      <c r="D98" s="15" t="s">
        <v>666</v>
      </c>
      <c r="E98" s="2" t="s">
        <v>1173</v>
      </c>
      <c r="F98" s="26">
        <v>8699832140</v>
      </c>
      <c r="G98" s="26" t="s">
        <v>1778</v>
      </c>
      <c r="H98" s="2" t="s">
        <v>1139</v>
      </c>
      <c r="I98" s="2"/>
      <c r="J98" s="16" t="s">
        <v>1145</v>
      </c>
      <c r="K98" s="16"/>
      <c r="L98" s="2" t="s">
        <v>8</v>
      </c>
      <c r="M98" s="16">
        <v>7.66</v>
      </c>
      <c r="N98" s="16">
        <v>8.41</v>
      </c>
      <c r="O98" s="2">
        <v>8.23</v>
      </c>
      <c r="P98" s="2">
        <v>8.4499999999999993</v>
      </c>
      <c r="Q98" s="16"/>
      <c r="R98" s="49"/>
      <c r="S98" s="93">
        <f t="shared" si="1"/>
        <v>8.1875</v>
      </c>
    </row>
    <row r="99" spans="1:19" x14ac:dyDescent="0.3">
      <c r="A99" s="5">
        <v>98</v>
      </c>
      <c r="B99" s="2">
        <v>1323098</v>
      </c>
      <c r="C99" s="2" t="s">
        <v>107</v>
      </c>
      <c r="D99" s="15" t="s">
        <v>639</v>
      </c>
      <c r="E99" s="2" t="s">
        <v>1163</v>
      </c>
      <c r="F99" s="26"/>
      <c r="G99" s="26"/>
      <c r="H99" s="2"/>
      <c r="I99" s="2"/>
      <c r="J99" s="16"/>
      <c r="K99" s="16"/>
      <c r="L99" s="2"/>
      <c r="M99" s="16" t="s">
        <v>958</v>
      </c>
      <c r="N99" s="16"/>
      <c r="O99" s="2"/>
      <c r="P99" s="2"/>
      <c r="Q99" s="16"/>
      <c r="R99" s="49"/>
      <c r="S99" s="93" t="e">
        <f t="shared" si="1"/>
        <v>#DIV/0!</v>
      </c>
    </row>
    <row r="100" spans="1:19" x14ac:dyDescent="0.3">
      <c r="A100" s="5">
        <v>99</v>
      </c>
      <c r="B100" s="2">
        <v>1323099</v>
      </c>
      <c r="C100" s="2" t="s">
        <v>108</v>
      </c>
      <c r="D100" s="2" t="s">
        <v>1453</v>
      </c>
      <c r="E100" s="2" t="s">
        <v>1125</v>
      </c>
      <c r="F100" s="26"/>
      <c r="G100" s="26"/>
      <c r="H100" s="2"/>
      <c r="I100" s="2"/>
      <c r="J100" s="16"/>
      <c r="K100" s="16"/>
      <c r="L100" s="2"/>
      <c r="M100" s="16" t="s">
        <v>1626</v>
      </c>
      <c r="N100" s="16" t="s">
        <v>1663</v>
      </c>
      <c r="O100" s="2"/>
      <c r="P100" s="2"/>
      <c r="Q100" s="16"/>
      <c r="R100" s="49"/>
      <c r="S100" s="93" t="e">
        <f t="shared" si="1"/>
        <v>#DIV/0!</v>
      </c>
    </row>
    <row r="101" spans="1:19" x14ac:dyDescent="0.3">
      <c r="A101" s="5">
        <v>100</v>
      </c>
      <c r="B101" s="2">
        <v>1323100</v>
      </c>
      <c r="C101" s="2" t="s">
        <v>109</v>
      </c>
      <c r="D101" s="18" t="s">
        <v>779</v>
      </c>
      <c r="E101" s="2" t="s">
        <v>1174</v>
      </c>
      <c r="F101" s="26">
        <v>9588139944</v>
      </c>
      <c r="G101" s="26" t="s">
        <v>1779</v>
      </c>
      <c r="H101" s="2" t="s">
        <v>1139</v>
      </c>
      <c r="I101" s="2"/>
      <c r="J101" s="16" t="s">
        <v>8</v>
      </c>
      <c r="K101" s="16"/>
      <c r="L101" s="2" t="s">
        <v>8</v>
      </c>
      <c r="M101" s="16">
        <v>6.82</v>
      </c>
      <c r="N101" s="16">
        <v>7.36</v>
      </c>
      <c r="O101" s="2">
        <v>7.16</v>
      </c>
      <c r="P101" s="2">
        <v>7.55</v>
      </c>
      <c r="Q101" s="16"/>
      <c r="R101" s="49"/>
      <c r="S101" s="93">
        <f t="shared" si="1"/>
        <v>7.2225000000000001</v>
      </c>
    </row>
    <row r="102" spans="1:19" x14ac:dyDescent="0.3">
      <c r="A102" s="5">
        <v>101</v>
      </c>
      <c r="B102" s="2">
        <v>1323101</v>
      </c>
      <c r="C102" s="2" t="s">
        <v>110</v>
      </c>
      <c r="D102" s="15" t="s">
        <v>667</v>
      </c>
      <c r="E102" s="2" t="s">
        <v>1130</v>
      </c>
      <c r="F102" s="26">
        <v>9671038771</v>
      </c>
      <c r="G102" s="26" t="s">
        <v>1780</v>
      </c>
      <c r="H102" s="2" t="s">
        <v>1139</v>
      </c>
      <c r="I102" s="2"/>
      <c r="J102" s="16" t="s">
        <v>8</v>
      </c>
      <c r="K102" s="16"/>
      <c r="L102" s="2" t="s">
        <v>8</v>
      </c>
      <c r="M102" s="16">
        <v>7.23</v>
      </c>
      <c r="N102" s="16">
        <v>8.59</v>
      </c>
      <c r="O102" s="2">
        <v>8.36</v>
      </c>
      <c r="P102" s="2">
        <v>8.86</v>
      </c>
      <c r="Q102" s="16"/>
      <c r="R102" s="49"/>
      <c r="S102" s="93">
        <f t="shared" si="1"/>
        <v>8.26</v>
      </c>
    </row>
    <row r="103" spans="1:19" x14ac:dyDescent="0.3">
      <c r="A103" s="5">
        <v>102</v>
      </c>
      <c r="B103" s="2">
        <v>1323102</v>
      </c>
      <c r="C103" s="2" t="s">
        <v>111</v>
      </c>
      <c r="D103" s="15" t="s">
        <v>668</v>
      </c>
      <c r="E103" s="2" t="s">
        <v>1128</v>
      </c>
      <c r="F103" s="26"/>
      <c r="G103" s="26"/>
      <c r="H103" s="2"/>
      <c r="I103" s="2"/>
      <c r="J103" s="16"/>
      <c r="K103" s="16"/>
      <c r="L103" s="2" t="s">
        <v>8</v>
      </c>
      <c r="M103" s="16">
        <v>6.36</v>
      </c>
      <c r="N103" s="16" t="s">
        <v>1678</v>
      </c>
      <c r="O103" s="2"/>
      <c r="P103" s="2"/>
      <c r="Q103" s="16"/>
      <c r="R103" s="49"/>
      <c r="S103" s="93">
        <f t="shared" si="1"/>
        <v>6.36</v>
      </c>
    </row>
    <row r="104" spans="1:19" x14ac:dyDescent="0.3">
      <c r="A104" s="5">
        <v>103</v>
      </c>
      <c r="B104" s="2">
        <v>1323103</v>
      </c>
      <c r="C104" s="2" t="s">
        <v>112</v>
      </c>
      <c r="D104" s="15" t="s">
        <v>669</v>
      </c>
      <c r="E104" s="2" t="s">
        <v>613</v>
      </c>
      <c r="F104" s="26">
        <v>9728610748</v>
      </c>
      <c r="G104" s="26" t="s">
        <v>1781</v>
      </c>
      <c r="H104" s="2" t="s">
        <v>1139</v>
      </c>
      <c r="I104" s="2"/>
      <c r="J104" s="16" t="s">
        <v>1146</v>
      </c>
      <c r="K104" s="16"/>
      <c r="L104" s="2" t="s">
        <v>8</v>
      </c>
      <c r="M104" s="16">
        <v>5.89</v>
      </c>
      <c r="N104" s="16">
        <v>6.27</v>
      </c>
      <c r="O104" s="2">
        <v>6.64</v>
      </c>
      <c r="P104" s="2" t="s">
        <v>2253</v>
      </c>
      <c r="Q104" s="16"/>
      <c r="R104" s="49"/>
      <c r="S104" s="93">
        <f t="shared" si="1"/>
        <v>6.2666666666666666</v>
      </c>
    </row>
    <row r="105" spans="1:19" x14ac:dyDescent="0.3">
      <c r="A105" s="5">
        <v>104</v>
      </c>
      <c r="B105" s="2">
        <v>1323104</v>
      </c>
      <c r="C105" s="2" t="s">
        <v>113</v>
      </c>
      <c r="D105" s="15" t="s">
        <v>1454</v>
      </c>
      <c r="E105" s="2" t="s">
        <v>1175</v>
      </c>
      <c r="F105" s="26">
        <v>9761616164</v>
      </c>
      <c r="G105" s="26" t="s">
        <v>1782</v>
      </c>
      <c r="H105" s="2" t="s">
        <v>1139</v>
      </c>
      <c r="I105" s="2"/>
      <c r="J105" s="16" t="s">
        <v>1146</v>
      </c>
      <c r="K105" s="16"/>
      <c r="L105" s="2" t="s">
        <v>8</v>
      </c>
      <c r="M105" s="16">
        <v>7.14</v>
      </c>
      <c r="N105" s="16">
        <v>7.27</v>
      </c>
      <c r="O105" s="2">
        <v>7.32</v>
      </c>
      <c r="P105" s="2">
        <v>8.18</v>
      </c>
      <c r="Q105" s="16"/>
      <c r="R105" s="49"/>
      <c r="S105" s="93">
        <f t="shared" si="1"/>
        <v>7.4775</v>
      </c>
    </row>
    <row r="106" spans="1:19" x14ac:dyDescent="0.3">
      <c r="A106" s="5">
        <v>105</v>
      </c>
      <c r="B106" s="2">
        <v>1323105</v>
      </c>
      <c r="C106" s="2" t="s">
        <v>114</v>
      </c>
      <c r="D106" s="15" t="s">
        <v>670</v>
      </c>
      <c r="E106" s="2" t="s">
        <v>1176</v>
      </c>
      <c r="F106" s="26">
        <v>9813283886</v>
      </c>
      <c r="G106" s="26" t="s">
        <v>1783</v>
      </c>
      <c r="H106" s="2" t="s">
        <v>1139</v>
      </c>
      <c r="I106" s="2"/>
      <c r="J106" s="16" t="s">
        <v>1146</v>
      </c>
      <c r="K106" s="16"/>
      <c r="L106" s="2" t="s">
        <v>8</v>
      </c>
      <c r="M106" s="16">
        <v>6.18</v>
      </c>
      <c r="N106" s="16">
        <v>7.18</v>
      </c>
      <c r="O106" s="2">
        <v>7.05</v>
      </c>
      <c r="P106" s="2">
        <v>6.8</v>
      </c>
      <c r="Q106" s="16"/>
      <c r="R106" s="49"/>
      <c r="S106" s="93">
        <f t="shared" si="1"/>
        <v>6.8025000000000002</v>
      </c>
    </row>
    <row r="107" spans="1:19" x14ac:dyDescent="0.3">
      <c r="A107" s="5">
        <v>106</v>
      </c>
      <c r="B107" s="2">
        <v>1323106</v>
      </c>
      <c r="C107" s="2" t="s">
        <v>115</v>
      </c>
      <c r="D107" s="18" t="s">
        <v>671</v>
      </c>
      <c r="E107" s="2" t="s">
        <v>1177</v>
      </c>
      <c r="F107" s="26">
        <v>8708564493</v>
      </c>
      <c r="G107" s="26" t="s">
        <v>1784</v>
      </c>
      <c r="H107" s="2" t="s">
        <v>1139</v>
      </c>
      <c r="I107" s="2"/>
      <c r="J107" s="16"/>
      <c r="K107" s="16"/>
      <c r="L107" s="2" t="s">
        <v>8</v>
      </c>
      <c r="M107" s="16">
        <v>5.75</v>
      </c>
      <c r="N107" s="16" t="s">
        <v>1679</v>
      </c>
      <c r="O107" s="2" t="s">
        <v>953</v>
      </c>
      <c r="P107" s="2">
        <v>5.89</v>
      </c>
      <c r="Q107" s="16"/>
      <c r="R107" s="49"/>
      <c r="S107" s="93">
        <f t="shared" si="1"/>
        <v>5.82</v>
      </c>
    </row>
    <row r="108" spans="1:19" x14ac:dyDescent="0.3">
      <c r="A108" s="5">
        <v>107</v>
      </c>
      <c r="B108" s="2">
        <v>1323107</v>
      </c>
      <c r="C108" s="2" t="s">
        <v>116</v>
      </c>
      <c r="D108" s="15" t="s">
        <v>956</v>
      </c>
      <c r="E108" s="2" t="s">
        <v>1178</v>
      </c>
      <c r="F108" s="26">
        <v>9813863531</v>
      </c>
      <c r="G108" s="26" t="s">
        <v>1785</v>
      </c>
      <c r="H108" s="2" t="s">
        <v>1139</v>
      </c>
      <c r="I108" s="2"/>
      <c r="J108" s="16" t="s">
        <v>8</v>
      </c>
      <c r="K108" s="16"/>
      <c r="L108" s="2" t="s">
        <v>8</v>
      </c>
      <c r="M108" s="16">
        <v>7.41</v>
      </c>
      <c r="N108" s="16">
        <v>8</v>
      </c>
      <c r="O108" s="2">
        <v>7.68</v>
      </c>
      <c r="P108" s="2">
        <v>8</v>
      </c>
      <c r="Q108" s="16"/>
      <c r="R108" s="49"/>
      <c r="S108" s="93">
        <f t="shared" si="1"/>
        <v>7.7725</v>
      </c>
    </row>
    <row r="109" spans="1:19" x14ac:dyDescent="0.3">
      <c r="A109" s="5">
        <v>108</v>
      </c>
      <c r="B109" s="2">
        <v>1323108</v>
      </c>
      <c r="C109" s="2" t="s">
        <v>117</v>
      </c>
      <c r="D109" s="15" t="s">
        <v>1455</v>
      </c>
      <c r="E109" s="2" t="s">
        <v>1179</v>
      </c>
      <c r="F109" s="26">
        <v>9816325218</v>
      </c>
      <c r="G109" s="26" t="s">
        <v>1786</v>
      </c>
      <c r="H109" s="2" t="s">
        <v>1139</v>
      </c>
      <c r="I109" s="2"/>
      <c r="J109" s="16" t="s">
        <v>1146</v>
      </c>
      <c r="K109" s="16"/>
      <c r="L109" s="2" t="s">
        <v>8</v>
      </c>
      <c r="M109" s="16">
        <v>5.98</v>
      </c>
      <c r="N109" s="16">
        <v>5.95</v>
      </c>
      <c r="O109" s="2" t="s">
        <v>954</v>
      </c>
      <c r="P109" s="2" t="s">
        <v>953</v>
      </c>
      <c r="Q109" s="16"/>
      <c r="R109" s="49"/>
      <c r="S109" s="93">
        <f t="shared" si="1"/>
        <v>5.9649999999999999</v>
      </c>
    </row>
    <row r="110" spans="1:19" x14ac:dyDescent="0.3">
      <c r="A110" s="5">
        <v>109</v>
      </c>
      <c r="B110" s="2">
        <v>1323109</v>
      </c>
      <c r="C110" s="2" t="s">
        <v>118</v>
      </c>
      <c r="D110" s="15" t="s">
        <v>1456</v>
      </c>
      <c r="E110" s="2" t="s">
        <v>1180</v>
      </c>
      <c r="F110" s="26">
        <v>9817051738</v>
      </c>
      <c r="G110" s="26" t="s">
        <v>1787</v>
      </c>
      <c r="H110" s="2" t="s">
        <v>1139</v>
      </c>
      <c r="I110" s="2"/>
      <c r="J110" s="16" t="s">
        <v>1146</v>
      </c>
      <c r="K110" s="16"/>
      <c r="L110" s="2" t="s">
        <v>8</v>
      </c>
      <c r="M110" s="16" t="s">
        <v>958</v>
      </c>
      <c r="N110" s="16" t="s">
        <v>1673</v>
      </c>
      <c r="O110" s="2" t="s">
        <v>954</v>
      </c>
      <c r="P110" s="2" t="s">
        <v>2261</v>
      </c>
      <c r="Q110" s="16"/>
      <c r="R110" s="49"/>
      <c r="S110" s="93" t="e">
        <f t="shared" si="1"/>
        <v>#DIV/0!</v>
      </c>
    </row>
    <row r="111" spans="1:19" x14ac:dyDescent="0.3">
      <c r="A111" s="5">
        <v>110</v>
      </c>
      <c r="B111" s="2">
        <v>1323110</v>
      </c>
      <c r="C111" s="2" t="s">
        <v>119</v>
      </c>
      <c r="D111" s="15" t="s">
        <v>1457</v>
      </c>
      <c r="E111" s="2" t="s">
        <v>1181</v>
      </c>
      <c r="F111" s="26">
        <v>9817374543</v>
      </c>
      <c r="G111" s="26" t="s">
        <v>1788</v>
      </c>
      <c r="H111" s="2" t="s">
        <v>1139</v>
      </c>
      <c r="I111" s="2"/>
      <c r="J111" s="16" t="s">
        <v>1145</v>
      </c>
      <c r="K111" s="16"/>
      <c r="L111" s="2" t="s">
        <v>8</v>
      </c>
      <c r="M111" s="16" t="s">
        <v>1627</v>
      </c>
      <c r="N111" s="16" t="s">
        <v>1678</v>
      </c>
      <c r="O111" s="2">
        <v>7.23</v>
      </c>
      <c r="P111" s="2">
        <v>7.91</v>
      </c>
      <c r="Q111" s="16"/>
      <c r="R111" s="49"/>
      <c r="S111" s="93">
        <f t="shared" si="1"/>
        <v>7.57</v>
      </c>
    </row>
    <row r="112" spans="1:19" x14ac:dyDescent="0.3">
      <c r="A112" s="5">
        <v>111</v>
      </c>
      <c r="B112" s="2">
        <v>1323111</v>
      </c>
      <c r="C112" s="2" t="s">
        <v>120</v>
      </c>
      <c r="D112" s="15" t="s">
        <v>672</v>
      </c>
      <c r="E112" s="2" t="s">
        <v>1097</v>
      </c>
      <c r="F112" s="26">
        <v>9817675764</v>
      </c>
      <c r="G112" s="26" t="s">
        <v>1789</v>
      </c>
      <c r="H112" s="2" t="s">
        <v>1139</v>
      </c>
      <c r="I112" s="2"/>
      <c r="J112" s="16" t="s">
        <v>1146</v>
      </c>
      <c r="K112" s="16"/>
      <c r="L112" s="2" t="s">
        <v>8</v>
      </c>
      <c r="M112" s="16">
        <v>6.3</v>
      </c>
      <c r="N112" s="16">
        <v>5.66</v>
      </c>
      <c r="O112" s="2" t="s">
        <v>2218</v>
      </c>
      <c r="P112" s="2">
        <v>6</v>
      </c>
      <c r="Q112" s="16"/>
      <c r="R112" s="49"/>
      <c r="S112" s="93">
        <f t="shared" si="1"/>
        <v>5.9866666666666672</v>
      </c>
    </row>
    <row r="113" spans="1:19" x14ac:dyDescent="0.3">
      <c r="A113" s="5">
        <v>112</v>
      </c>
      <c r="B113" s="2">
        <v>1323112</v>
      </c>
      <c r="C113" s="2" t="s">
        <v>121</v>
      </c>
      <c r="D113" s="15" t="s">
        <v>1458</v>
      </c>
      <c r="E113" s="2" t="s">
        <v>1182</v>
      </c>
      <c r="F113" s="26">
        <v>9034580894</v>
      </c>
      <c r="G113" s="26" t="s">
        <v>1790</v>
      </c>
      <c r="H113" s="2" t="s">
        <v>1139</v>
      </c>
      <c r="I113" s="2"/>
      <c r="J113" s="16" t="s">
        <v>8</v>
      </c>
      <c r="K113" s="16"/>
      <c r="L113" s="2" t="s">
        <v>8</v>
      </c>
      <c r="M113" s="16">
        <v>5.86</v>
      </c>
      <c r="N113" s="16">
        <v>5.77</v>
      </c>
      <c r="O113" s="2" t="s">
        <v>2218</v>
      </c>
      <c r="P113" s="2">
        <v>6.25</v>
      </c>
      <c r="Q113" s="16"/>
      <c r="R113" s="49"/>
      <c r="S113" s="93">
        <f t="shared" si="1"/>
        <v>5.96</v>
      </c>
    </row>
    <row r="114" spans="1:19" x14ac:dyDescent="0.3">
      <c r="A114" s="5">
        <v>113</v>
      </c>
      <c r="B114" s="2">
        <v>1323113</v>
      </c>
      <c r="C114" s="2" t="s">
        <v>122</v>
      </c>
      <c r="D114" s="15" t="s">
        <v>673</v>
      </c>
      <c r="E114" s="2" t="s">
        <v>1183</v>
      </c>
      <c r="F114" s="26">
        <v>9416466539</v>
      </c>
      <c r="G114" s="26" t="s">
        <v>1791</v>
      </c>
      <c r="H114" s="2" t="s">
        <v>1139</v>
      </c>
      <c r="I114" s="2"/>
      <c r="J114" s="16" t="s">
        <v>8</v>
      </c>
      <c r="K114" s="16"/>
      <c r="L114" s="2" t="s">
        <v>8</v>
      </c>
      <c r="M114" s="16">
        <v>9.4499999999999993</v>
      </c>
      <c r="N114" s="16">
        <v>9.23</v>
      </c>
      <c r="O114" s="2">
        <v>8.77</v>
      </c>
      <c r="P114" s="2">
        <v>9</v>
      </c>
      <c r="Q114" s="16"/>
      <c r="R114" s="49"/>
      <c r="S114" s="93">
        <f t="shared" si="1"/>
        <v>9.1125000000000007</v>
      </c>
    </row>
    <row r="115" spans="1:19" x14ac:dyDescent="0.3">
      <c r="A115" s="5">
        <v>114</v>
      </c>
      <c r="B115" s="2">
        <v>1323114</v>
      </c>
      <c r="C115" s="2" t="s">
        <v>123</v>
      </c>
      <c r="D115" s="15" t="s">
        <v>957</v>
      </c>
      <c r="E115" s="2" t="s">
        <v>1184</v>
      </c>
      <c r="F115" s="26">
        <v>9896088313</v>
      </c>
      <c r="G115" s="26" t="s">
        <v>1792</v>
      </c>
      <c r="H115" s="2" t="s">
        <v>1139</v>
      </c>
      <c r="I115" s="2"/>
      <c r="J115" s="16" t="s">
        <v>8</v>
      </c>
      <c r="K115" s="16"/>
      <c r="L115" s="2" t="s">
        <v>8</v>
      </c>
      <c r="M115" s="16">
        <v>9.18</v>
      </c>
      <c r="N115" s="16">
        <v>8.77</v>
      </c>
      <c r="O115" s="2">
        <v>9.0500000000000007</v>
      </c>
      <c r="P115" s="2">
        <v>8.91</v>
      </c>
      <c r="Q115" s="16"/>
      <c r="R115" s="49"/>
      <c r="S115" s="93">
        <f t="shared" si="1"/>
        <v>8.9774999999999991</v>
      </c>
    </row>
    <row r="116" spans="1:19" x14ac:dyDescent="0.3">
      <c r="A116" s="5">
        <v>115</v>
      </c>
      <c r="B116" s="2">
        <v>1323115</v>
      </c>
      <c r="C116" s="2" t="s">
        <v>124</v>
      </c>
      <c r="D116" s="15" t="s">
        <v>674</v>
      </c>
      <c r="E116" s="2" t="s">
        <v>1185</v>
      </c>
      <c r="F116" s="26">
        <v>9896756257</v>
      </c>
      <c r="G116" s="26" t="s">
        <v>1793</v>
      </c>
      <c r="H116" s="2" t="s">
        <v>1139</v>
      </c>
      <c r="I116" s="2"/>
      <c r="J116" s="16" t="s">
        <v>1146</v>
      </c>
      <c r="K116" s="16"/>
      <c r="L116" s="2" t="s">
        <v>8</v>
      </c>
      <c r="M116" s="16">
        <v>7.77</v>
      </c>
      <c r="N116" s="16">
        <v>7.64</v>
      </c>
      <c r="O116" s="2">
        <v>7.32</v>
      </c>
      <c r="P116" s="2">
        <v>7.25</v>
      </c>
      <c r="Q116" s="16"/>
      <c r="R116" s="49"/>
      <c r="S116" s="93">
        <f t="shared" si="1"/>
        <v>7.4950000000000001</v>
      </c>
    </row>
    <row r="117" spans="1:19" x14ac:dyDescent="0.3">
      <c r="A117" s="5">
        <v>116</v>
      </c>
      <c r="B117" s="2">
        <v>1323116</v>
      </c>
      <c r="C117" s="2" t="s">
        <v>125</v>
      </c>
      <c r="D117" s="15" t="s">
        <v>675</v>
      </c>
      <c r="E117" s="2" t="s">
        <v>1186</v>
      </c>
      <c r="F117" s="26">
        <v>9991023968</v>
      </c>
      <c r="G117" s="26" t="s">
        <v>1794</v>
      </c>
      <c r="H117" s="2" t="s">
        <v>1139</v>
      </c>
      <c r="I117" s="2"/>
      <c r="J117" s="16" t="s">
        <v>8</v>
      </c>
      <c r="K117" s="16"/>
      <c r="L117" s="2" t="s">
        <v>8</v>
      </c>
      <c r="M117" s="16">
        <v>8.09</v>
      </c>
      <c r="N117" s="16">
        <v>8.18</v>
      </c>
      <c r="O117" s="2">
        <v>8.32</v>
      </c>
      <c r="P117" s="2">
        <v>8.91</v>
      </c>
      <c r="Q117" s="16"/>
      <c r="R117" s="49"/>
      <c r="S117" s="93">
        <f t="shared" si="1"/>
        <v>8.375</v>
      </c>
    </row>
    <row r="118" spans="1:19" x14ac:dyDescent="0.3">
      <c r="A118" s="5">
        <v>117</v>
      </c>
      <c r="B118" s="2">
        <v>1323117</v>
      </c>
      <c r="C118" s="2" t="s">
        <v>126</v>
      </c>
      <c r="D118" s="15" t="s">
        <v>1459</v>
      </c>
      <c r="E118" s="2" t="s">
        <v>1187</v>
      </c>
      <c r="F118" s="26">
        <v>9991930049</v>
      </c>
      <c r="G118" s="26" t="s">
        <v>1795</v>
      </c>
      <c r="H118" s="2" t="s">
        <v>1139</v>
      </c>
      <c r="I118" s="2"/>
      <c r="J118" s="16" t="s">
        <v>1145</v>
      </c>
      <c r="K118" s="16"/>
      <c r="L118" s="2" t="s">
        <v>8</v>
      </c>
      <c r="M118" s="16">
        <v>6.59</v>
      </c>
      <c r="N118" s="16">
        <v>6.86</v>
      </c>
      <c r="O118" s="2" t="s">
        <v>2221</v>
      </c>
      <c r="P118" s="2">
        <v>6.27</v>
      </c>
      <c r="Q118" s="16"/>
      <c r="R118" s="49"/>
      <c r="S118" s="93">
        <f t="shared" si="1"/>
        <v>6.5733333333333333</v>
      </c>
    </row>
    <row r="119" spans="1:19" x14ac:dyDescent="0.3">
      <c r="A119" s="5">
        <v>118</v>
      </c>
      <c r="B119" s="2">
        <v>1323118</v>
      </c>
      <c r="C119" s="2" t="s">
        <v>127</v>
      </c>
      <c r="D119" s="15" t="s">
        <v>1460</v>
      </c>
      <c r="E119" s="2" t="s">
        <v>1188</v>
      </c>
      <c r="F119" s="26">
        <v>9992163523</v>
      </c>
      <c r="G119" s="26" t="s">
        <v>1796</v>
      </c>
      <c r="H119" s="2" t="s">
        <v>1139</v>
      </c>
      <c r="I119" s="2"/>
      <c r="J119" s="16" t="s">
        <v>1145</v>
      </c>
      <c r="K119" s="16"/>
      <c r="L119" s="2" t="s">
        <v>8</v>
      </c>
      <c r="M119" s="16">
        <v>7.45</v>
      </c>
      <c r="N119" s="16">
        <v>8.36</v>
      </c>
      <c r="O119" s="2">
        <v>7.59</v>
      </c>
      <c r="P119" s="2">
        <v>8</v>
      </c>
      <c r="Q119" s="16"/>
      <c r="R119" s="49"/>
      <c r="S119" s="93">
        <f t="shared" si="1"/>
        <v>7.85</v>
      </c>
    </row>
    <row r="120" spans="1:19" x14ac:dyDescent="0.3">
      <c r="A120" s="5">
        <v>119</v>
      </c>
      <c r="B120" s="2">
        <v>1323119</v>
      </c>
      <c r="C120" s="2" t="s">
        <v>128</v>
      </c>
      <c r="D120" s="15" t="s">
        <v>1461</v>
      </c>
      <c r="E120" s="2" t="s">
        <v>1189</v>
      </c>
      <c r="F120" s="26"/>
      <c r="G120" s="26"/>
      <c r="H120" s="2"/>
      <c r="I120" s="2"/>
      <c r="J120" s="16"/>
      <c r="K120" s="16"/>
      <c r="L120" s="2"/>
      <c r="M120" s="16" t="s">
        <v>954</v>
      </c>
      <c r="N120" s="16"/>
      <c r="O120" s="2"/>
      <c r="P120" s="2"/>
      <c r="Q120" s="16"/>
      <c r="R120" s="49"/>
      <c r="S120" s="93" t="e">
        <f t="shared" si="1"/>
        <v>#DIV/0!</v>
      </c>
    </row>
    <row r="121" spans="1:19" x14ac:dyDescent="0.3">
      <c r="A121" s="5">
        <v>120</v>
      </c>
      <c r="B121" s="2">
        <v>1323120</v>
      </c>
      <c r="C121" s="2" t="s">
        <v>129</v>
      </c>
      <c r="D121" s="15" t="s">
        <v>1129</v>
      </c>
      <c r="E121" s="2" t="s">
        <v>1190</v>
      </c>
      <c r="F121" s="26"/>
      <c r="G121" s="26"/>
      <c r="H121" s="2"/>
      <c r="I121" s="2"/>
      <c r="J121" s="16"/>
      <c r="K121" s="16"/>
      <c r="L121" s="2"/>
      <c r="M121" s="16" t="s">
        <v>1626</v>
      </c>
      <c r="N121" s="16" t="s">
        <v>1662</v>
      </c>
      <c r="O121" s="2"/>
      <c r="P121" s="2"/>
      <c r="Q121" s="16"/>
      <c r="R121" s="49"/>
      <c r="S121" s="93" t="e">
        <f t="shared" si="1"/>
        <v>#DIV/0!</v>
      </c>
    </row>
    <row r="122" spans="1:19" x14ac:dyDescent="0.3">
      <c r="A122" s="5">
        <v>121</v>
      </c>
      <c r="B122" s="2">
        <v>1323121</v>
      </c>
      <c r="C122" s="2" t="s">
        <v>130</v>
      </c>
      <c r="D122" s="2" t="s">
        <v>1462</v>
      </c>
      <c r="E122" s="2" t="s">
        <v>1166</v>
      </c>
      <c r="F122" s="26"/>
      <c r="G122" s="26"/>
      <c r="H122" s="2"/>
      <c r="I122" s="2"/>
      <c r="J122" s="16"/>
      <c r="K122" s="16"/>
      <c r="L122" s="2"/>
      <c r="M122" s="16">
        <v>8.09</v>
      </c>
      <c r="N122" s="16" t="s">
        <v>1663</v>
      </c>
      <c r="O122" s="2"/>
      <c r="P122" s="2"/>
      <c r="Q122" s="16"/>
      <c r="R122" s="49"/>
      <c r="S122" s="93">
        <f t="shared" si="1"/>
        <v>8.09</v>
      </c>
    </row>
    <row r="123" spans="1:19" x14ac:dyDescent="0.3">
      <c r="A123" s="5">
        <v>122</v>
      </c>
      <c r="B123" s="2">
        <v>1323122</v>
      </c>
      <c r="C123" s="2" t="s">
        <v>131</v>
      </c>
      <c r="D123" s="15" t="s">
        <v>1463</v>
      </c>
      <c r="E123" s="2" t="s">
        <v>1191</v>
      </c>
      <c r="F123" s="26"/>
      <c r="G123" s="26"/>
      <c r="H123" s="2"/>
      <c r="I123" s="2"/>
      <c r="J123" s="16"/>
      <c r="K123" s="16"/>
      <c r="L123" s="2" t="s">
        <v>8</v>
      </c>
      <c r="M123" s="16">
        <v>5.77</v>
      </c>
      <c r="N123" s="16">
        <v>5.91</v>
      </c>
      <c r="O123" s="2"/>
      <c r="P123" s="2"/>
      <c r="Q123" s="16"/>
      <c r="R123" s="49"/>
      <c r="S123" s="93">
        <f t="shared" si="1"/>
        <v>5.84</v>
      </c>
    </row>
    <row r="124" spans="1:19" x14ac:dyDescent="0.3">
      <c r="A124" s="5">
        <v>123</v>
      </c>
      <c r="B124" s="2">
        <v>1323123</v>
      </c>
      <c r="C124" s="2" t="s">
        <v>132</v>
      </c>
      <c r="D124" s="15" t="s">
        <v>676</v>
      </c>
      <c r="E124" s="2" t="s">
        <v>1192</v>
      </c>
      <c r="F124" s="26">
        <v>8708579612</v>
      </c>
      <c r="G124" s="26" t="s">
        <v>1797</v>
      </c>
      <c r="H124" s="2" t="s">
        <v>1139</v>
      </c>
      <c r="I124" s="2"/>
      <c r="J124" s="16" t="s">
        <v>1145</v>
      </c>
      <c r="K124" s="16"/>
      <c r="L124" s="2" t="s">
        <v>8</v>
      </c>
      <c r="M124" s="16">
        <v>7.73</v>
      </c>
      <c r="N124" s="16">
        <v>8.82</v>
      </c>
      <c r="O124" s="2">
        <v>8.09</v>
      </c>
      <c r="P124" s="2">
        <v>8.18</v>
      </c>
      <c r="Q124" s="16"/>
      <c r="R124" s="49"/>
      <c r="S124" s="93">
        <f t="shared" si="1"/>
        <v>8.2050000000000001</v>
      </c>
    </row>
    <row r="125" spans="1:19" x14ac:dyDescent="0.3">
      <c r="A125" s="5">
        <v>124</v>
      </c>
      <c r="B125" s="2">
        <v>1323124</v>
      </c>
      <c r="C125" s="2" t="s">
        <v>133</v>
      </c>
      <c r="D125" s="15" t="s">
        <v>1464</v>
      </c>
      <c r="E125" s="2" t="s">
        <v>1193</v>
      </c>
      <c r="F125" s="26">
        <v>8860801395</v>
      </c>
      <c r="G125" s="26" t="s">
        <v>1798</v>
      </c>
      <c r="H125" s="2" t="s">
        <v>1139</v>
      </c>
      <c r="I125" s="2"/>
      <c r="J125" s="16" t="s">
        <v>1145</v>
      </c>
      <c r="K125" s="16"/>
      <c r="L125" s="2" t="s">
        <v>8</v>
      </c>
      <c r="M125" s="16">
        <v>8.09</v>
      </c>
      <c r="N125" s="16">
        <v>8.59</v>
      </c>
      <c r="O125" s="2">
        <v>8.5</v>
      </c>
      <c r="P125" s="2">
        <v>8.4499999999999993</v>
      </c>
      <c r="Q125" s="16"/>
      <c r="R125" s="49"/>
      <c r="S125" s="93">
        <f t="shared" si="1"/>
        <v>8.4074999999999989</v>
      </c>
    </row>
    <row r="126" spans="1:19" x14ac:dyDescent="0.3">
      <c r="A126" s="5">
        <v>125</v>
      </c>
      <c r="B126" s="2">
        <v>1323125</v>
      </c>
      <c r="C126" s="2" t="s">
        <v>134</v>
      </c>
      <c r="D126" s="15" t="s">
        <v>677</v>
      </c>
      <c r="E126" s="2" t="s">
        <v>1194</v>
      </c>
      <c r="F126" s="26">
        <v>9588706474</v>
      </c>
      <c r="G126" s="26" t="s">
        <v>1799</v>
      </c>
      <c r="H126" s="2" t="s">
        <v>1139</v>
      </c>
      <c r="I126" s="2"/>
      <c r="J126" s="16" t="s">
        <v>8</v>
      </c>
      <c r="K126" s="16"/>
      <c r="L126" s="2" t="s">
        <v>8</v>
      </c>
      <c r="M126" s="16" t="s">
        <v>958</v>
      </c>
      <c r="N126" s="16" t="s">
        <v>958</v>
      </c>
      <c r="O126" s="2" t="s">
        <v>958</v>
      </c>
      <c r="P126" s="2" t="s">
        <v>958</v>
      </c>
      <c r="Q126" s="16"/>
      <c r="R126" s="49"/>
      <c r="S126" s="93" t="e">
        <f t="shared" si="1"/>
        <v>#DIV/0!</v>
      </c>
    </row>
    <row r="127" spans="1:19" x14ac:dyDescent="0.3">
      <c r="A127" s="5">
        <v>126</v>
      </c>
      <c r="B127" s="2">
        <v>1323126</v>
      </c>
      <c r="C127" s="2" t="s">
        <v>135</v>
      </c>
      <c r="D127" s="15" t="s">
        <v>1465</v>
      </c>
      <c r="E127" s="2" t="s">
        <v>964</v>
      </c>
      <c r="F127" s="26">
        <v>7206667117</v>
      </c>
      <c r="G127" s="26" t="s">
        <v>1800</v>
      </c>
      <c r="H127" s="2" t="s">
        <v>1139</v>
      </c>
      <c r="I127" s="2"/>
      <c r="J127" s="16" t="s">
        <v>8</v>
      </c>
      <c r="K127" s="16"/>
      <c r="L127" s="2" t="s">
        <v>8</v>
      </c>
      <c r="M127" s="16" t="s">
        <v>958</v>
      </c>
      <c r="N127" s="16" t="s">
        <v>953</v>
      </c>
      <c r="O127" s="2" t="s">
        <v>2222</v>
      </c>
      <c r="P127" s="2" t="s">
        <v>954</v>
      </c>
      <c r="Q127" s="16"/>
      <c r="R127" s="49"/>
      <c r="S127" s="93" t="e">
        <f t="shared" si="1"/>
        <v>#DIV/0!</v>
      </c>
    </row>
    <row r="128" spans="1:19" x14ac:dyDescent="0.3">
      <c r="A128" s="5">
        <v>127</v>
      </c>
      <c r="B128" s="2">
        <v>1323127</v>
      </c>
      <c r="C128" s="2" t="s">
        <v>136</v>
      </c>
      <c r="D128" s="15" t="s">
        <v>625</v>
      </c>
      <c r="E128" s="2" t="s">
        <v>1195</v>
      </c>
      <c r="F128" s="26">
        <v>7404564065</v>
      </c>
      <c r="G128" s="26" t="s">
        <v>1801</v>
      </c>
      <c r="H128" s="2" t="s">
        <v>1139</v>
      </c>
      <c r="I128" s="2"/>
      <c r="J128" s="16" t="s">
        <v>1146</v>
      </c>
      <c r="K128" s="16"/>
      <c r="L128" s="2" t="s">
        <v>8</v>
      </c>
      <c r="M128" s="16">
        <v>6.07</v>
      </c>
      <c r="N128" s="16" t="s">
        <v>1664</v>
      </c>
      <c r="O128" s="2" t="s">
        <v>2218</v>
      </c>
      <c r="P128" s="2">
        <v>5.68</v>
      </c>
      <c r="Q128" s="16"/>
      <c r="R128" s="49"/>
      <c r="S128" s="93">
        <f t="shared" si="1"/>
        <v>5.875</v>
      </c>
    </row>
    <row r="129" spans="1:19" x14ac:dyDescent="0.3">
      <c r="A129" s="5">
        <v>128</v>
      </c>
      <c r="B129" s="2">
        <v>1323128</v>
      </c>
      <c r="C129" s="2" t="s">
        <v>137</v>
      </c>
      <c r="D129" s="15" t="s">
        <v>678</v>
      </c>
      <c r="E129" s="2" t="s">
        <v>1097</v>
      </c>
      <c r="F129" s="26">
        <v>7900014583</v>
      </c>
      <c r="G129" s="26" t="s">
        <v>1802</v>
      </c>
      <c r="H129" s="2" t="s">
        <v>1139</v>
      </c>
      <c r="I129" s="2"/>
      <c r="J129" s="16" t="s">
        <v>8</v>
      </c>
      <c r="K129" s="16"/>
      <c r="L129" s="2" t="s">
        <v>8</v>
      </c>
      <c r="M129" s="16">
        <v>6.73</v>
      </c>
      <c r="N129" s="16">
        <v>5.98</v>
      </c>
      <c r="O129" s="2">
        <v>6.23</v>
      </c>
      <c r="P129" s="2">
        <v>5.98</v>
      </c>
      <c r="Q129" s="16"/>
      <c r="R129" s="49"/>
      <c r="S129" s="93">
        <f t="shared" si="1"/>
        <v>6.23</v>
      </c>
    </row>
    <row r="130" spans="1:19" x14ac:dyDescent="0.3">
      <c r="A130" s="5">
        <v>129</v>
      </c>
      <c r="B130" s="2">
        <v>1323129</v>
      </c>
      <c r="C130" s="2" t="s">
        <v>138</v>
      </c>
      <c r="D130" s="15" t="s">
        <v>1466</v>
      </c>
      <c r="E130" s="2" t="s">
        <v>1196</v>
      </c>
      <c r="F130" s="26"/>
      <c r="G130" s="26"/>
      <c r="H130" s="2"/>
      <c r="I130" s="2"/>
      <c r="J130" s="16"/>
      <c r="K130" s="16"/>
      <c r="L130" s="2"/>
      <c r="M130" s="16" t="s">
        <v>958</v>
      </c>
      <c r="N130" s="16"/>
      <c r="O130" s="2"/>
      <c r="P130" s="2"/>
      <c r="Q130" s="16"/>
      <c r="R130" s="49"/>
      <c r="S130" s="93" t="e">
        <f t="shared" ref="S130:S193" si="2">AVERAGE(M130:P130)</f>
        <v>#DIV/0!</v>
      </c>
    </row>
    <row r="131" spans="1:19" x14ac:dyDescent="0.3">
      <c r="A131" s="5">
        <v>130</v>
      </c>
      <c r="B131" s="2">
        <v>1323130</v>
      </c>
      <c r="C131" s="2" t="s">
        <v>139</v>
      </c>
      <c r="D131" s="15" t="s">
        <v>679</v>
      </c>
      <c r="E131" s="2" t="s">
        <v>1082</v>
      </c>
      <c r="F131" s="26">
        <v>8295770509</v>
      </c>
      <c r="G131" s="26" t="s">
        <v>1803</v>
      </c>
      <c r="H131" s="2" t="s">
        <v>1139</v>
      </c>
      <c r="I131" s="2"/>
      <c r="J131" s="16" t="s">
        <v>8</v>
      </c>
      <c r="K131" s="16"/>
      <c r="L131" s="2" t="s">
        <v>8</v>
      </c>
      <c r="M131" s="16">
        <v>9.0500000000000007</v>
      </c>
      <c r="N131" s="16">
        <v>9.18</v>
      </c>
      <c r="O131" s="2">
        <v>9.18</v>
      </c>
      <c r="P131" s="2">
        <v>9</v>
      </c>
      <c r="Q131" s="16"/>
      <c r="R131" s="49"/>
      <c r="S131" s="93">
        <f t="shared" si="2"/>
        <v>9.1024999999999991</v>
      </c>
    </row>
    <row r="132" spans="1:19" x14ac:dyDescent="0.3">
      <c r="A132" s="5">
        <v>131</v>
      </c>
      <c r="B132" s="2">
        <v>1323131</v>
      </c>
      <c r="C132" s="2" t="s">
        <v>140</v>
      </c>
      <c r="D132" s="15" t="s">
        <v>680</v>
      </c>
      <c r="E132" s="2" t="s">
        <v>1174</v>
      </c>
      <c r="F132" s="26">
        <v>8572066760</v>
      </c>
      <c r="G132" s="26" t="s">
        <v>1804</v>
      </c>
      <c r="H132" s="2" t="s">
        <v>1139</v>
      </c>
      <c r="I132" s="2"/>
      <c r="J132" s="16" t="s">
        <v>8</v>
      </c>
      <c r="K132" s="16"/>
      <c r="L132" s="2" t="s">
        <v>8</v>
      </c>
      <c r="M132" s="16" t="s">
        <v>1628</v>
      </c>
      <c r="N132" s="16">
        <v>5.95</v>
      </c>
      <c r="O132" s="2">
        <v>6.73</v>
      </c>
      <c r="P132" s="2" t="s">
        <v>2262</v>
      </c>
      <c r="Q132" s="16"/>
      <c r="R132" s="49"/>
      <c r="S132" s="93">
        <f t="shared" si="2"/>
        <v>6.34</v>
      </c>
    </row>
    <row r="133" spans="1:19" x14ac:dyDescent="0.3">
      <c r="A133" s="5">
        <v>132</v>
      </c>
      <c r="B133" s="2">
        <v>1323132</v>
      </c>
      <c r="C133" s="2" t="s">
        <v>141</v>
      </c>
      <c r="D133" s="15" t="s">
        <v>681</v>
      </c>
      <c r="E133" s="2" t="s">
        <v>1197</v>
      </c>
      <c r="F133" s="26">
        <v>8813082298</v>
      </c>
      <c r="G133" s="26" t="s">
        <v>1805</v>
      </c>
      <c r="H133" s="2" t="s">
        <v>1139</v>
      </c>
      <c r="I133" s="2"/>
      <c r="J133" s="16" t="s">
        <v>8</v>
      </c>
      <c r="K133" s="16"/>
      <c r="L133" s="2" t="s">
        <v>8</v>
      </c>
      <c r="M133" s="16">
        <v>9.4499999999999993</v>
      </c>
      <c r="N133" s="16">
        <v>9.64</v>
      </c>
      <c r="O133" s="2">
        <v>9.91</v>
      </c>
      <c r="P133" s="2">
        <v>9.09</v>
      </c>
      <c r="Q133" s="16"/>
      <c r="R133" s="49"/>
      <c r="S133" s="93">
        <f t="shared" si="2"/>
        <v>9.5225000000000009</v>
      </c>
    </row>
    <row r="134" spans="1:19" x14ac:dyDescent="0.3">
      <c r="A134" s="5">
        <v>133</v>
      </c>
      <c r="B134" s="2">
        <v>1323133</v>
      </c>
      <c r="C134" s="2" t="s">
        <v>142</v>
      </c>
      <c r="D134" s="15" t="s">
        <v>643</v>
      </c>
      <c r="E134" s="2" t="s">
        <v>668</v>
      </c>
      <c r="F134" s="26">
        <v>8930085322</v>
      </c>
      <c r="G134" s="26" t="s">
        <v>1806</v>
      </c>
      <c r="H134" s="2" t="s">
        <v>1139</v>
      </c>
      <c r="I134" s="2"/>
      <c r="J134" s="16" t="s">
        <v>1145</v>
      </c>
      <c r="K134" s="16"/>
      <c r="L134" s="2" t="s">
        <v>8</v>
      </c>
      <c r="M134" s="16">
        <v>8</v>
      </c>
      <c r="N134" s="16">
        <v>8.41</v>
      </c>
      <c r="O134" s="2">
        <v>8.77</v>
      </c>
      <c r="P134" s="2">
        <v>8.4499999999999993</v>
      </c>
      <c r="Q134" s="16"/>
      <c r="R134" s="49"/>
      <c r="S134" s="93">
        <f t="shared" si="2"/>
        <v>8.4074999999999989</v>
      </c>
    </row>
    <row r="135" spans="1:19" x14ac:dyDescent="0.3">
      <c r="A135" s="5">
        <v>134</v>
      </c>
      <c r="B135" s="2">
        <v>1323134</v>
      </c>
      <c r="C135" s="2" t="s">
        <v>143</v>
      </c>
      <c r="D135" s="15" t="s">
        <v>682</v>
      </c>
      <c r="E135" s="2" t="s">
        <v>964</v>
      </c>
      <c r="F135" s="26">
        <v>9050823718</v>
      </c>
      <c r="G135" s="26" t="s">
        <v>1807</v>
      </c>
      <c r="H135" s="2" t="s">
        <v>1139</v>
      </c>
      <c r="I135" s="2"/>
      <c r="J135" s="16" t="s">
        <v>8</v>
      </c>
      <c r="K135" s="16"/>
      <c r="L135" s="2" t="s">
        <v>8</v>
      </c>
      <c r="M135" s="16">
        <v>6.41</v>
      </c>
      <c r="N135" s="16">
        <v>6.32</v>
      </c>
      <c r="O135" s="2">
        <v>7.09</v>
      </c>
      <c r="P135" s="2">
        <v>6.43</v>
      </c>
      <c r="Q135" s="16"/>
      <c r="R135" s="49"/>
      <c r="S135" s="93">
        <f t="shared" si="2"/>
        <v>6.5625</v>
      </c>
    </row>
    <row r="136" spans="1:19" x14ac:dyDescent="0.3">
      <c r="A136" s="5">
        <v>135</v>
      </c>
      <c r="B136" s="2">
        <v>1323135</v>
      </c>
      <c r="C136" s="2" t="s">
        <v>144</v>
      </c>
      <c r="D136" s="15" t="s">
        <v>683</v>
      </c>
      <c r="E136" s="2" t="s">
        <v>1113</v>
      </c>
      <c r="F136" s="26">
        <v>8168468731</v>
      </c>
      <c r="G136" s="26" t="s">
        <v>1808</v>
      </c>
      <c r="H136" s="2" t="s">
        <v>1139</v>
      </c>
      <c r="I136" s="2"/>
      <c r="J136" s="16" t="s">
        <v>8</v>
      </c>
      <c r="K136" s="16"/>
      <c r="L136" s="2" t="s">
        <v>8</v>
      </c>
      <c r="M136" s="16" t="s">
        <v>1628</v>
      </c>
      <c r="N136" s="16" t="s">
        <v>1678</v>
      </c>
      <c r="O136" s="2">
        <v>7.05</v>
      </c>
      <c r="P136" s="2">
        <v>6.5</v>
      </c>
      <c r="Q136" s="16"/>
      <c r="R136" s="49"/>
      <c r="S136" s="93">
        <f t="shared" si="2"/>
        <v>6.7750000000000004</v>
      </c>
    </row>
    <row r="137" spans="1:19" x14ac:dyDescent="0.3">
      <c r="A137" s="5">
        <v>136</v>
      </c>
      <c r="B137" s="2">
        <v>1323136</v>
      </c>
      <c r="C137" s="2" t="s">
        <v>145</v>
      </c>
      <c r="D137" s="15" t="s">
        <v>1467</v>
      </c>
      <c r="E137" s="2" t="s">
        <v>1198</v>
      </c>
      <c r="F137" s="26">
        <v>9317909741</v>
      </c>
      <c r="G137" s="26" t="s">
        <v>1809</v>
      </c>
      <c r="H137" s="2" t="s">
        <v>1139</v>
      </c>
      <c r="I137" s="2"/>
      <c r="J137" s="16" t="s">
        <v>8</v>
      </c>
      <c r="K137" s="16"/>
      <c r="L137" s="2" t="s">
        <v>8</v>
      </c>
      <c r="M137" s="16">
        <v>6.73</v>
      </c>
      <c r="N137" s="16" t="s">
        <v>1677</v>
      </c>
      <c r="O137" s="2">
        <v>7.64</v>
      </c>
      <c r="P137" s="2" t="s">
        <v>2250</v>
      </c>
      <c r="Q137" s="16"/>
      <c r="R137" s="49"/>
      <c r="S137" s="93">
        <f t="shared" si="2"/>
        <v>7.1850000000000005</v>
      </c>
    </row>
    <row r="138" spans="1:19" x14ac:dyDescent="0.3">
      <c r="A138" s="5">
        <v>137</v>
      </c>
      <c r="B138" s="2">
        <v>1323137</v>
      </c>
      <c r="C138" s="2" t="s">
        <v>146</v>
      </c>
      <c r="D138" s="15" t="s">
        <v>1468</v>
      </c>
      <c r="E138" s="2" t="s">
        <v>1199</v>
      </c>
      <c r="F138" s="26">
        <v>9350618617</v>
      </c>
      <c r="G138" s="26" t="s">
        <v>1810</v>
      </c>
      <c r="H138" s="2" t="s">
        <v>1139</v>
      </c>
      <c r="I138" s="2"/>
      <c r="J138" s="16"/>
      <c r="K138" s="16"/>
      <c r="L138" s="2" t="s">
        <v>8</v>
      </c>
      <c r="M138" s="16" t="s">
        <v>1629</v>
      </c>
      <c r="N138" s="16" t="s">
        <v>1678</v>
      </c>
      <c r="O138" s="2" t="s">
        <v>2223</v>
      </c>
      <c r="P138" s="2">
        <v>6.09</v>
      </c>
      <c r="Q138" s="16"/>
      <c r="R138" s="49"/>
      <c r="S138" s="93">
        <f t="shared" si="2"/>
        <v>6.09</v>
      </c>
    </row>
    <row r="139" spans="1:19" x14ac:dyDescent="0.3">
      <c r="A139" s="5">
        <v>138</v>
      </c>
      <c r="B139" s="2">
        <v>1323138</v>
      </c>
      <c r="C139" s="2" t="s">
        <v>147</v>
      </c>
      <c r="D139" s="15" t="s">
        <v>684</v>
      </c>
      <c r="E139" s="2" t="s">
        <v>1200</v>
      </c>
      <c r="F139" s="26">
        <v>9416682415</v>
      </c>
      <c r="G139" s="26" t="s">
        <v>1811</v>
      </c>
      <c r="H139" s="2" t="s">
        <v>1139</v>
      </c>
      <c r="I139" s="2"/>
      <c r="J139" s="16" t="s">
        <v>8</v>
      </c>
      <c r="K139" s="16"/>
      <c r="L139" s="2" t="s">
        <v>8</v>
      </c>
      <c r="M139" s="16">
        <v>7.59</v>
      </c>
      <c r="N139" s="16">
        <v>7.55</v>
      </c>
      <c r="O139" s="2" t="s">
        <v>953</v>
      </c>
      <c r="P139" s="2">
        <v>7.86</v>
      </c>
      <c r="Q139" s="16"/>
      <c r="R139" s="49"/>
      <c r="S139" s="93">
        <f t="shared" si="2"/>
        <v>7.666666666666667</v>
      </c>
    </row>
    <row r="140" spans="1:19" x14ac:dyDescent="0.3">
      <c r="A140" s="5">
        <v>139</v>
      </c>
      <c r="B140" s="2">
        <v>1323139</v>
      </c>
      <c r="C140" s="2" t="s">
        <v>148</v>
      </c>
      <c r="D140" s="18" t="s">
        <v>1469</v>
      </c>
      <c r="E140" s="2" t="s">
        <v>1113</v>
      </c>
      <c r="F140" s="26"/>
      <c r="G140" s="26"/>
      <c r="H140" s="2"/>
      <c r="I140" s="2"/>
      <c r="J140" s="16"/>
      <c r="K140" s="16"/>
      <c r="L140" s="2"/>
      <c r="M140" s="16" t="s">
        <v>1626</v>
      </c>
      <c r="N140" s="16" t="s">
        <v>1680</v>
      </c>
      <c r="O140" s="2"/>
      <c r="P140" s="2"/>
      <c r="Q140" s="16"/>
      <c r="R140" s="49"/>
      <c r="S140" s="93" t="e">
        <f t="shared" si="2"/>
        <v>#DIV/0!</v>
      </c>
    </row>
    <row r="141" spans="1:19" x14ac:dyDescent="0.3">
      <c r="A141" s="5">
        <v>140</v>
      </c>
      <c r="B141" s="2">
        <v>1323140</v>
      </c>
      <c r="C141" s="2" t="s">
        <v>149</v>
      </c>
      <c r="D141" s="15" t="s">
        <v>1470</v>
      </c>
      <c r="E141" s="2" t="s">
        <v>1201</v>
      </c>
      <c r="F141" s="26">
        <v>9813072199</v>
      </c>
      <c r="G141" s="26" t="s">
        <v>1812</v>
      </c>
      <c r="H141" s="2" t="s">
        <v>1139</v>
      </c>
      <c r="I141" s="2"/>
      <c r="J141" s="16" t="s">
        <v>1146</v>
      </c>
      <c r="K141" s="16"/>
      <c r="L141" s="2" t="s">
        <v>8</v>
      </c>
      <c r="M141" s="16">
        <v>6.45</v>
      </c>
      <c r="N141" s="16">
        <v>7.02</v>
      </c>
      <c r="O141" s="2">
        <v>7.36</v>
      </c>
      <c r="P141" s="2">
        <v>7.02</v>
      </c>
      <c r="Q141" s="16"/>
      <c r="R141" s="49"/>
      <c r="S141" s="93">
        <f t="shared" si="2"/>
        <v>6.9624999999999995</v>
      </c>
    </row>
    <row r="142" spans="1:19" x14ac:dyDescent="0.3">
      <c r="A142" s="5">
        <v>141</v>
      </c>
      <c r="B142" s="2">
        <v>1323141</v>
      </c>
      <c r="C142" s="2" t="s">
        <v>150</v>
      </c>
      <c r="D142" s="15" t="s">
        <v>685</v>
      </c>
      <c r="E142" s="2" t="s">
        <v>1038</v>
      </c>
      <c r="F142" s="26">
        <v>9818959320</v>
      </c>
      <c r="G142" s="26" t="s">
        <v>1813</v>
      </c>
      <c r="H142" s="2" t="s">
        <v>1139</v>
      </c>
      <c r="I142" s="2"/>
      <c r="J142" s="16" t="s">
        <v>1146</v>
      </c>
      <c r="K142" s="16"/>
      <c r="L142" s="2" t="s">
        <v>8</v>
      </c>
      <c r="M142" s="16">
        <v>5.48</v>
      </c>
      <c r="N142" s="16">
        <v>6.55</v>
      </c>
      <c r="O142" s="2" t="s">
        <v>2221</v>
      </c>
      <c r="P142" s="2" t="s">
        <v>2250</v>
      </c>
      <c r="Q142" s="16"/>
      <c r="R142" s="49"/>
      <c r="S142" s="93">
        <f t="shared" si="2"/>
        <v>6.0150000000000006</v>
      </c>
    </row>
    <row r="143" spans="1:19" x14ac:dyDescent="0.3">
      <c r="A143" s="5">
        <v>142</v>
      </c>
      <c r="B143" s="2">
        <v>1323142</v>
      </c>
      <c r="C143" s="2" t="s">
        <v>151</v>
      </c>
      <c r="D143" s="15" t="s">
        <v>686</v>
      </c>
      <c r="E143" s="2" t="s">
        <v>1202</v>
      </c>
      <c r="F143" s="26">
        <v>9896535013</v>
      </c>
      <c r="G143" s="26" t="s">
        <v>1814</v>
      </c>
      <c r="H143" s="2" t="s">
        <v>1139</v>
      </c>
      <c r="I143" s="2"/>
      <c r="J143" s="16" t="s">
        <v>1146</v>
      </c>
      <c r="K143" s="16"/>
      <c r="L143" s="2" t="s">
        <v>8</v>
      </c>
      <c r="M143" s="16">
        <v>8.77</v>
      </c>
      <c r="N143" s="16">
        <v>9.0500000000000007</v>
      </c>
      <c r="O143" s="2">
        <v>9.0500000000000007</v>
      </c>
      <c r="P143" s="2">
        <v>8.73</v>
      </c>
      <c r="Q143" s="16"/>
      <c r="R143" s="49"/>
      <c r="S143" s="93">
        <f t="shared" si="2"/>
        <v>8.9</v>
      </c>
    </row>
    <row r="144" spans="1:19" x14ac:dyDescent="0.3">
      <c r="A144" s="5">
        <v>143</v>
      </c>
      <c r="B144" s="2">
        <v>1323143</v>
      </c>
      <c r="C144" s="2" t="s">
        <v>152</v>
      </c>
      <c r="D144" s="15" t="s">
        <v>687</v>
      </c>
      <c r="E144" s="2" t="s">
        <v>1203</v>
      </c>
      <c r="F144" s="26">
        <v>8278112112</v>
      </c>
      <c r="G144" s="26" t="s">
        <v>1815</v>
      </c>
      <c r="H144" s="2" t="s">
        <v>1139</v>
      </c>
      <c r="I144" s="2"/>
      <c r="J144" s="16" t="s">
        <v>1145</v>
      </c>
      <c r="K144" s="16"/>
      <c r="L144" s="2" t="s">
        <v>8</v>
      </c>
      <c r="M144" s="16">
        <v>8.36</v>
      </c>
      <c r="N144" s="16">
        <v>8.77</v>
      </c>
      <c r="O144" s="2">
        <v>9.0500000000000007</v>
      </c>
      <c r="P144" s="2">
        <v>9.09</v>
      </c>
      <c r="Q144" s="16"/>
      <c r="R144" s="49"/>
      <c r="S144" s="93">
        <f t="shared" si="2"/>
        <v>8.817499999999999</v>
      </c>
    </row>
    <row r="145" spans="1:19" x14ac:dyDescent="0.3">
      <c r="A145" s="5">
        <v>144</v>
      </c>
      <c r="B145" s="2">
        <v>1323144</v>
      </c>
      <c r="C145" s="2" t="s">
        <v>153</v>
      </c>
      <c r="D145" s="15" t="s">
        <v>688</v>
      </c>
      <c r="E145" s="2" t="s">
        <v>1204</v>
      </c>
      <c r="F145" s="26">
        <v>8307452896</v>
      </c>
      <c r="G145" s="26" t="s">
        <v>1816</v>
      </c>
      <c r="H145" s="2" t="s">
        <v>1139</v>
      </c>
      <c r="I145" s="2"/>
      <c r="J145" s="16" t="s">
        <v>1146</v>
      </c>
      <c r="K145" s="16"/>
      <c r="L145" s="2" t="s">
        <v>8</v>
      </c>
      <c r="M145" s="16">
        <v>6.5</v>
      </c>
      <c r="N145" s="16">
        <v>8.09</v>
      </c>
      <c r="O145" s="2">
        <v>7.95</v>
      </c>
      <c r="P145" s="2">
        <v>8.09</v>
      </c>
      <c r="Q145" s="16"/>
      <c r="R145" s="49"/>
      <c r="S145" s="93">
        <f t="shared" si="2"/>
        <v>7.6574999999999998</v>
      </c>
    </row>
    <row r="146" spans="1:19" x14ac:dyDescent="0.3">
      <c r="A146" s="5">
        <v>145</v>
      </c>
      <c r="B146" s="2">
        <v>1323145</v>
      </c>
      <c r="C146" s="2" t="s">
        <v>154</v>
      </c>
      <c r="D146" s="15" t="s">
        <v>1471</v>
      </c>
      <c r="E146" s="2" t="s">
        <v>1090</v>
      </c>
      <c r="F146" s="26">
        <v>9053609211</v>
      </c>
      <c r="G146" s="26" t="s">
        <v>1817</v>
      </c>
      <c r="H146" s="2" t="s">
        <v>1139</v>
      </c>
      <c r="I146" s="2"/>
      <c r="J146" s="16" t="s">
        <v>8</v>
      </c>
      <c r="K146" s="16"/>
      <c r="L146" s="2" t="s">
        <v>8</v>
      </c>
      <c r="M146" s="16">
        <v>7.02</v>
      </c>
      <c r="N146" s="16">
        <v>6.95</v>
      </c>
      <c r="O146" s="2">
        <v>7.77</v>
      </c>
      <c r="P146" s="2">
        <v>7.91</v>
      </c>
      <c r="Q146" s="16"/>
      <c r="R146" s="49"/>
      <c r="S146" s="93">
        <f t="shared" si="2"/>
        <v>7.4124999999999996</v>
      </c>
    </row>
    <row r="147" spans="1:19" x14ac:dyDescent="0.3">
      <c r="A147" s="5">
        <v>146</v>
      </c>
      <c r="B147" s="2">
        <v>1323146</v>
      </c>
      <c r="C147" s="2" t="s">
        <v>155</v>
      </c>
      <c r="D147" s="15" t="s">
        <v>1472</v>
      </c>
      <c r="E147" s="2" t="s">
        <v>1205</v>
      </c>
      <c r="F147" s="26">
        <v>9034642504</v>
      </c>
      <c r="G147" s="26" t="s">
        <v>1818</v>
      </c>
      <c r="H147" s="2" t="s">
        <v>1139</v>
      </c>
      <c r="I147" s="2"/>
      <c r="J147" s="16" t="s">
        <v>8</v>
      </c>
      <c r="K147" s="16"/>
      <c r="L147" s="2" t="s">
        <v>8</v>
      </c>
      <c r="M147" s="16">
        <v>7.16</v>
      </c>
      <c r="N147" s="16">
        <v>7.23</v>
      </c>
      <c r="O147" s="2" t="s">
        <v>2224</v>
      </c>
      <c r="P147" s="2">
        <v>7.18</v>
      </c>
      <c r="Q147" s="16"/>
      <c r="R147" s="49"/>
      <c r="S147" s="93">
        <f t="shared" si="2"/>
        <v>7.19</v>
      </c>
    </row>
    <row r="148" spans="1:19" x14ac:dyDescent="0.3">
      <c r="A148" s="5">
        <v>147</v>
      </c>
      <c r="B148" s="2">
        <v>1323147</v>
      </c>
      <c r="C148" s="2" t="s">
        <v>156</v>
      </c>
      <c r="D148" s="15" t="s">
        <v>629</v>
      </c>
      <c r="E148" s="2" t="s">
        <v>1206</v>
      </c>
      <c r="F148" s="26">
        <v>9817757835</v>
      </c>
      <c r="G148" s="26" t="s">
        <v>1819</v>
      </c>
      <c r="H148" s="2" t="s">
        <v>1139</v>
      </c>
      <c r="I148" s="2"/>
      <c r="J148" s="16" t="s">
        <v>8</v>
      </c>
      <c r="K148" s="16"/>
      <c r="L148" s="2" t="s">
        <v>8</v>
      </c>
      <c r="M148" s="16">
        <v>8.5500000000000007</v>
      </c>
      <c r="N148" s="16">
        <v>8.82</v>
      </c>
      <c r="O148" s="2">
        <v>8.5500000000000007</v>
      </c>
      <c r="P148" s="2">
        <v>8.59</v>
      </c>
      <c r="Q148" s="16"/>
      <c r="R148" s="49"/>
      <c r="S148" s="93">
        <f t="shared" si="2"/>
        <v>8.6275000000000013</v>
      </c>
    </row>
    <row r="149" spans="1:19" x14ac:dyDescent="0.3">
      <c r="A149" s="5">
        <v>148</v>
      </c>
      <c r="B149" s="2">
        <v>1323148</v>
      </c>
      <c r="C149" s="2" t="s">
        <v>157</v>
      </c>
      <c r="D149" s="15" t="s">
        <v>689</v>
      </c>
      <c r="E149" s="2" t="s">
        <v>1207</v>
      </c>
      <c r="F149" s="26">
        <v>7027038933</v>
      </c>
      <c r="G149" s="26" t="s">
        <v>1820</v>
      </c>
      <c r="H149" s="2" t="s">
        <v>1139</v>
      </c>
      <c r="I149" s="2"/>
      <c r="J149" s="16" t="s">
        <v>8</v>
      </c>
      <c r="K149" s="16"/>
      <c r="L149" s="2" t="s">
        <v>8</v>
      </c>
      <c r="M149" s="16">
        <v>6.73</v>
      </c>
      <c r="N149" s="16">
        <v>6.64</v>
      </c>
      <c r="O149" s="2">
        <v>6.57</v>
      </c>
      <c r="P149" s="2" t="s">
        <v>2263</v>
      </c>
      <c r="Q149" s="16"/>
      <c r="R149" s="49"/>
      <c r="S149" s="93">
        <f t="shared" si="2"/>
        <v>6.6466666666666674</v>
      </c>
    </row>
    <row r="150" spans="1:19" x14ac:dyDescent="0.3">
      <c r="A150" s="5">
        <v>149</v>
      </c>
      <c r="B150" s="2">
        <v>1323149</v>
      </c>
      <c r="C150" s="2" t="s">
        <v>158</v>
      </c>
      <c r="D150" s="15" t="s">
        <v>672</v>
      </c>
      <c r="E150" s="2" t="s">
        <v>1124</v>
      </c>
      <c r="F150" s="26">
        <v>9306644522</v>
      </c>
      <c r="G150" s="26" t="s">
        <v>1821</v>
      </c>
      <c r="H150" s="2" t="s">
        <v>1139</v>
      </c>
      <c r="I150" s="2"/>
      <c r="J150" s="16" t="s">
        <v>8</v>
      </c>
      <c r="K150" s="16"/>
      <c r="L150" s="2" t="s">
        <v>8</v>
      </c>
      <c r="M150" s="16">
        <v>6.45</v>
      </c>
      <c r="N150" s="16" t="s">
        <v>1678</v>
      </c>
      <c r="O150" s="2" t="s">
        <v>953</v>
      </c>
      <c r="P150" s="2">
        <v>6.02</v>
      </c>
      <c r="Q150" s="16"/>
      <c r="R150" s="49"/>
      <c r="S150" s="93">
        <f t="shared" si="2"/>
        <v>6.2349999999999994</v>
      </c>
    </row>
    <row r="151" spans="1:19" x14ac:dyDescent="0.3">
      <c r="A151" s="5">
        <v>150</v>
      </c>
      <c r="B151" s="2">
        <v>1323150</v>
      </c>
      <c r="C151" s="2" t="s">
        <v>159</v>
      </c>
      <c r="D151" s="15" t="s">
        <v>690</v>
      </c>
      <c r="E151" s="2" t="s">
        <v>1208</v>
      </c>
      <c r="F151" s="26">
        <v>7082658280</v>
      </c>
      <c r="G151" s="26" t="s">
        <v>1822</v>
      </c>
      <c r="H151" s="2" t="s">
        <v>1139</v>
      </c>
      <c r="I151" s="2"/>
      <c r="J151" s="16"/>
      <c r="K151" s="16"/>
      <c r="L151" s="2" t="s">
        <v>8</v>
      </c>
      <c r="M151" s="16" t="s">
        <v>958</v>
      </c>
      <c r="N151" s="16" t="s">
        <v>953</v>
      </c>
      <c r="O151" s="2" t="s">
        <v>953</v>
      </c>
      <c r="P151" s="2" t="s">
        <v>954</v>
      </c>
      <c r="Q151" s="16"/>
      <c r="R151" s="49"/>
      <c r="S151" s="93" t="e">
        <f t="shared" si="2"/>
        <v>#DIV/0!</v>
      </c>
    </row>
    <row r="152" spans="1:19" x14ac:dyDescent="0.3">
      <c r="A152" s="5">
        <v>151</v>
      </c>
      <c r="B152" s="2">
        <v>1323151</v>
      </c>
      <c r="C152" s="2" t="s">
        <v>160</v>
      </c>
      <c r="D152" s="15" t="s">
        <v>1473</v>
      </c>
      <c r="E152" s="2" t="s">
        <v>1192</v>
      </c>
      <c r="F152" s="26">
        <v>7082722013</v>
      </c>
      <c r="G152" s="26" t="s">
        <v>1823</v>
      </c>
      <c r="H152" s="2" t="s">
        <v>1139</v>
      </c>
      <c r="I152" s="2"/>
      <c r="J152" s="16" t="s">
        <v>8</v>
      </c>
      <c r="K152" s="16"/>
      <c r="L152" s="2" t="s">
        <v>8</v>
      </c>
      <c r="M152" s="16">
        <v>6.68</v>
      </c>
      <c r="N152" s="16">
        <v>7.36</v>
      </c>
      <c r="O152" s="2">
        <v>6.27</v>
      </c>
      <c r="P152" s="2">
        <v>6.7</v>
      </c>
      <c r="Q152" s="16"/>
      <c r="R152" s="49"/>
      <c r="S152" s="93">
        <f t="shared" si="2"/>
        <v>6.7524999999999995</v>
      </c>
    </row>
    <row r="153" spans="1:19" x14ac:dyDescent="0.3">
      <c r="A153" s="5">
        <v>152</v>
      </c>
      <c r="B153" s="2">
        <v>1323152</v>
      </c>
      <c r="C153" s="2" t="s">
        <v>161</v>
      </c>
      <c r="D153" s="15" t="s">
        <v>691</v>
      </c>
      <c r="E153" s="2" t="s">
        <v>1209</v>
      </c>
      <c r="F153" s="26">
        <v>6398878216</v>
      </c>
      <c r="G153" s="26" t="s">
        <v>1824</v>
      </c>
      <c r="H153" s="2" t="s">
        <v>1139</v>
      </c>
      <c r="I153" s="2"/>
      <c r="J153" s="16" t="s">
        <v>1146</v>
      </c>
      <c r="K153" s="16"/>
      <c r="L153" s="2" t="s">
        <v>8</v>
      </c>
      <c r="M153" s="16">
        <v>8.4499999999999993</v>
      </c>
      <c r="N153" s="16">
        <v>8.5</v>
      </c>
      <c r="O153" s="2">
        <v>8.41</v>
      </c>
      <c r="P153" s="2">
        <v>8.82</v>
      </c>
      <c r="Q153" s="16"/>
      <c r="R153" s="49"/>
      <c r="S153" s="93">
        <f t="shared" si="2"/>
        <v>8.5449999999999999</v>
      </c>
    </row>
    <row r="154" spans="1:19" x14ac:dyDescent="0.3">
      <c r="A154" s="5">
        <v>153</v>
      </c>
      <c r="B154" s="2">
        <v>1323153</v>
      </c>
      <c r="C154" s="2" t="s">
        <v>162</v>
      </c>
      <c r="D154" s="18" t="s">
        <v>1474</v>
      </c>
      <c r="E154" s="2" t="s">
        <v>1210</v>
      </c>
      <c r="F154" s="26"/>
      <c r="G154" s="26"/>
      <c r="H154" s="2"/>
      <c r="I154" s="2"/>
      <c r="J154" s="16"/>
      <c r="K154" s="16"/>
      <c r="L154" s="2"/>
      <c r="M154" s="16">
        <v>9.14</v>
      </c>
      <c r="N154" s="16" t="s">
        <v>1663</v>
      </c>
      <c r="O154" s="2"/>
      <c r="P154" s="2"/>
      <c r="Q154" s="16"/>
      <c r="R154" s="49"/>
      <c r="S154" s="93">
        <f t="shared" si="2"/>
        <v>9.14</v>
      </c>
    </row>
    <row r="155" spans="1:19" x14ac:dyDescent="0.3">
      <c r="A155" s="5">
        <v>154</v>
      </c>
      <c r="B155" s="2">
        <v>1323154</v>
      </c>
      <c r="C155" s="2" t="s">
        <v>163</v>
      </c>
      <c r="D155" s="15" t="s">
        <v>692</v>
      </c>
      <c r="E155" s="2" t="s">
        <v>1211</v>
      </c>
      <c r="F155" s="26">
        <v>8570914248</v>
      </c>
      <c r="G155" s="26" t="s">
        <v>1825</v>
      </c>
      <c r="H155" s="2" t="s">
        <v>1139</v>
      </c>
      <c r="I155" s="2"/>
      <c r="J155" s="16" t="s">
        <v>1146</v>
      </c>
      <c r="K155" s="16"/>
      <c r="L155" s="2" t="s">
        <v>8</v>
      </c>
      <c r="M155" s="16">
        <v>6.41</v>
      </c>
      <c r="N155" s="16">
        <v>6.82</v>
      </c>
      <c r="O155" s="2">
        <v>7.09</v>
      </c>
      <c r="P155" s="2">
        <v>6.23</v>
      </c>
      <c r="Q155" s="16"/>
      <c r="R155" s="49"/>
      <c r="S155" s="93">
        <f t="shared" si="2"/>
        <v>6.6375000000000002</v>
      </c>
    </row>
    <row r="156" spans="1:19" x14ac:dyDescent="0.3">
      <c r="A156" s="5">
        <v>155</v>
      </c>
      <c r="B156" s="2">
        <v>1323155</v>
      </c>
      <c r="C156" s="2" t="s">
        <v>164</v>
      </c>
      <c r="D156" s="15" t="s">
        <v>1475</v>
      </c>
      <c r="E156" s="2" t="s">
        <v>1212</v>
      </c>
      <c r="F156" s="26">
        <v>9050633210</v>
      </c>
      <c r="G156" s="26" t="s">
        <v>1826</v>
      </c>
      <c r="H156" s="2" t="s">
        <v>1139</v>
      </c>
      <c r="I156" s="2"/>
      <c r="J156" s="16" t="s">
        <v>1146</v>
      </c>
      <c r="K156" s="16"/>
      <c r="L156" s="2" t="s">
        <v>8</v>
      </c>
      <c r="M156" s="16">
        <v>6.7</v>
      </c>
      <c r="N156" s="16">
        <v>7.45</v>
      </c>
      <c r="O156" s="2" t="s">
        <v>2208</v>
      </c>
      <c r="P156" s="2" t="s">
        <v>2250</v>
      </c>
      <c r="Q156" s="16"/>
      <c r="R156" s="49"/>
      <c r="S156" s="93">
        <f t="shared" si="2"/>
        <v>7.0750000000000002</v>
      </c>
    </row>
    <row r="157" spans="1:19" x14ac:dyDescent="0.3">
      <c r="A157" s="5">
        <v>156</v>
      </c>
      <c r="B157" s="2">
        <v>1323156</v>
      </c>
      <c r="C157" s="2" t="s">
        <v>165</v>
      </c>
      <c r="D157" s="15" t="s">
        <v>641</v>
      </c>
      <c r="E157" s="2" t="s">
        <v>1213</v>
      </c>
      <c r="F157" s="26">
        <v>9306125455</v>
      </c>
      <c r="G157" s="26" t="s">
        <v>1827</v>
      </c>
      <c r="H157" s="2" t="s">
        <v>1139</v>
      </c>
      <c r="I157" s="2"/>
      <c r="J157" s="16" t="s">
        <v>8</v>
      </c>
      <c r="K157" s="16"/>
      <c r="L157" s="2" t="s">
        <v>8</v>
      </c>
      <c r="M157" s="16">
        <v>6.16</v>
      </c>
      <c r="N157" s="16">
        <v>6.5</v>
      </c>
      <c r="O157" s="2" t="s">
        <v>953</v>
      </c>
      <c r="P157" s="2" t="s">
        <v>2264</v>
      </c>
      <c r="Q157" s="16"/>
      <c r="R157" s="49"/>
      <c r="S157" s="93">
        <f t="shared" si="2"/>
        <v>6.33</v>
      </c>
    </row>
    <row r="158" spans="1:19" x14ac:dyDescent="0.3">
      <c r="A158" s="5">
        <v>157</v>
      </c>
      <c r="B158" s="2">
        <v>1323157</v>
      </c>
      <c r="C158" s="2" t="s">
        <v>166</v>
      </c>
      <c r="D158" s="15" t="s">
        <v>1476</v>
      </c>
      <c r="E158" s="2" t="s">
        <v>1214</v>
      </c>
      <c r="F158" s="26">
        <v>9992851877</v>
      </c>
      <c r="G158" s="26" t="s">
        <v>1828</v>
      </c>
      <c r="H158" s="2" t="s">
        <v>1139</v>
      </c>
      <c r="I158" s="2"/>
      <c r="J158" s="16" t="s">
        <v>8</v>
      </c>
      <c r="K158" s="16"/>
      <c r="L158" s="2" t="s">
        <v>8</v>
      </c>
      <c r="M158" s="16">
        <v>8.5500000000000007</v>
      </c>
      <c r="N158" s="16">
        <v>9.27</v>
      </c>
      <c r="O158" s="2">
        <v>8.86</v>
      </c>
      <c r="P158" s="2">
        <v>8.68</v>
      </c>
      <c r="Q158" s="16"/>
      <c r="R158" s="49"/>
      <c r="S158" s="93">
        <f t="shared" si="2"/>
        <v>8.84</v>
      </c>
    </row>
    <row r="159" spans="1:19" x14ac:dyDescent="0.3">
      <c r="A159" s="5">
        <v>158</v>
      </c>
      <c r="B159" s="2">
        <v>1323158</v>
      </c>
      <c r="C159" s="2" t="s">
        <v>167</v>
      </c>
      <c r="D159" s="15" t="s">
        <v>1477</v>
      </c>
      <c r="E159" s="2" t="s">
        <v>1215</v>
      </c>
      <c r="F159" s="26">
        <v>7082562639</v>
      </c>
      <c r="G159" s="26" t="s">
        <v>1829</v>
      </c>
      <c r="H159" s="2" t="s">
        <v>1139</v>
      </c>
      <c r="I159" s="2"/>
      <c r="J159" s="16" t="s">
        <v>1145</v>
      </c>
      <c r="K159" s="16"/>
      <c r="L159" s="2" t="s">
        <v>8</v>
      </c>
      <c r="M159" s="16">
        <v>7.77</v>
      </c>
      <c r="N159" s="16">
        <v>7.68</v>
      </c>
      <c r="O159" s="2">
        <v>8.14</v>
      </c>
      <c r="P159" s="2">
        <v>8.5</v>
      </c>
      <c r="Q159" s="16"/>
      <c r="R159" s="49"/>
      <c r="S159" s="93">
        <f t="shared" si="2"/>
        <v>8.0225000000000009</v>
      </c>
    </row>
    <row r="160" spans="1:19" x14ac:dyDescent="0.3">
      <c r="A160" s="5">
        <v>159</v>
      </c>
      <c r="B160" s="2">
        <v>1323159</v>
      </c>
      <c r="C160" s="2" t="s">
        <v>168</v>
      </c>
      <c r="D160" s="15" t="s">
        <v>693</v>
      </c>
      <c r="E160" s="2" t="s">
        <v>1216</v>
      </c>
      <c r="F160" s="26">
        <v>8222829961</v>
      </c>
      <c r="G160" s="26" t="s">
        <v>1830</v>
      </c>
      <c r="H160" s="2" t="s">
        <v>1139</v>
      </c>
      <c r="I160" s="2"/>
      <c r="J160" s="16" t="s">
        <v>8</v>
      </c>
      <c r="K160" s="16"/>
      <c r="L160" s="2" t="s">
        <v>8</v>
      </c>
      <c r="M160" s="16">
        <v>5.98</v>
      </c>
      <c r="N160" s="16">
        <v>6.39</v>
      </c>
      <c r="O160" s="2" t="s">
        <v>953</v>
      </c>
      <c r="P160" s="2" t="s">
        <v>2265</v>
      </c>
      <c r="Q160" s="16"/>
      <c r="R160" s="49"/>
      <c r="S160" s="93">
        <f t="shared" si="2"/>
        <v>6.1850000000000005</v>
      </c>
    </row>
    <row r="161" spans="1:19" x14ac:dyDescent="0.3">
      <c r="A161" s="5">
        <v>160</v>
      </c>
      <c r="B161" s="2">
        <v>1323160</v>
      </c>
      <c r="C161" s="2" t="s">
        <v>169</v>
      </c>
      <c r="D161" s="15" t="s">
        <v>694</v>
      </c>
      <c r="E161" s="2" t="s">
        <v>1217</v>
      </c>
      <c r="F161" s="26">
        <v>7404808033</v>
      </c>
      <c r="G161" s="26" t="s">
        <v>1831</v>
      </c>
      <c r="H161" s="2" t="s">
        <v>1139</v>
      </c>
      <c r="I161" s="2"/>
      <c r="J161" s="16" t="s">
        <v>1145</v>
      </c>
      <c r="K161" s="16"/>
      <c r="L161" s="2" t="s">
        <v>8</v>
      </c>
      <c r="M161" s="16">
        <v>6.41</v>
      </c>
      <c r="N161" s="16">
        <v>6.73</v>
      </c>
      <c r="O161" s="2">
        <v>7.14</v>
      </c>
      <c r="P161" s="2">
        <v>6.91</v>
      </c>
      <c r="Q161" s="16"/>
      <c r="R161" s="49"/>
      <c r="S161" s="93">
        <f t="shared" si="2"/>
        <v>6.7975000000000003</v>
      </c>
    </row>
    <row r="162" spans="1:19" x14ac:dyDescent="0.3">
      <c r="A162" s="5">
        <v>161</v>
      </c>
      <c r="B162" s="2">
        <v>1323161</v>
      </c>
      <c r="C162" s="2" t="s">
        <v>170</v>
      </c>
      <c r="D162" s="15" t="s">
        <v>695</v>
      </c>
      <c r="E162" s="2" t="s">
        <v>1218</v>
      </c>
      <c r="F162" s="26">
        <v>6204996033</v>
      </c>
      <c r="G162" s="26" t="s">
        <v>1832</v>
      </c>
      <c r="H162" s="2" t="s">
        <v>1140</v>
      </c>
      <c r="I162" s="2"/>
      <c r="J162" s="16" t="s">
        <v>1146</v>
      </c>
      <c r="K162" s="16"/>
      <c r="L162" s="2" t="s">
        <v>926</v>
      </c>
      <c r="M162" s="16">
        <v>6.89</v>
      </c>
      <c r="N162" s="16">
        <v>7.5</v>
      </c>
      <c r="O162" s="2">
        <v>8.32</v>
      </c>
      <c r="P162" s="2">
        <v>8.36</v>
      </c>
      <c r="Q162" s="16"/>
      <c r="R162" s="49"/>
      <c r="S162" s="93">
        <f t="shared" si="2"/>
        <v>7.7675000000000001</v>
      </c>
    </row>
    <row r="163" spans="1:19" x14ac:dyDescent="0.3">
      <c r="A163" s="5">
        <v>162</v>
      </c>
      <c r="B163" s="2">
        <v>1323162</v>
      </c>
      <c r="C163" s="2" t="s">
        <v>171</v>
      </c>
      <c r="D163" s="15" t="s">
        <v>696</v>
      </c>
      <c r="E163" s="2" t="s">
        <v>1128</v>
      </c>
      <c r="F163" s="26">
        <v>7015421545</v>
      </c>
      <c r="G163" s="26" t="s">
        <v>1833</v>
      </c>
      <c r="H163" s="2" t="s">
        <v>1140</v>
      </c>
      <c r="I163" s="2"/>
      <c r="J163" s="16"/>
      <c r="K163" s="16"/>
      <c r="L163" s="2" t="s">
        <v>926</v>
      </c>
      <c r="M163" s="16">
        <v>5.98</v>
      </c>
      <c r="N163" s="16" t="s">
        <v>1670</v>
      </c>
      <c r="O163" s="2" t="s">
        <v>953</v>
      </c>
      <c r="P163" s="2">
        <v>6.41</v>
      </c>
      <c r="Q163" s="16"/>
      <c r="R163" s="49"/>
      <c r="S163" s="93">
        <f t="shared" si="2"/>
        <v>6.1950000000000003</v>
      </c>
    </row>
    <row r="164" spans="1:19" x14ac:dyDescent="0.3">
      <c r="A164" s="5">
        <v>163</v>
      </c>
      <c r="B164" s="2">
        <v>1323163</v>
      </c>
      <c r="C164" s="2" t="s">
        <v>172</v>
      </c>
      <c r="D164" s="15" t="s">
        <v>697</v>
      </c>
      <c r="E164" s="2" t="s">
        <v>1219</v>
      </c>
      <c r="F164" s="26">
        <v>7015743950</v>
      </c>
      <c r="G164" s="26" t="s">
        <v>1834</v>
      </c>
      <c r="H164" s="2" t="s">
        <v>1140</v>
      </c>
      <c r="I164" s="2"/>
      <c r="J164" s="16" t="s">
        <v>1146</v>
      </c>
      <c r="K164" s="16"/>
      <c r="L164" s="2" t="s">
        <v>926</v>
      </c>
      <c r="M164" s="16">
        <v>7.91</v>
      </c>
      <c r="N164" s="16" t="s">
        <v>1667</v>
      </c>
      <c r="O164" s="2">
        <v>8.4499999999999993</v>
      </c>
      <c r="P164" s="2">
        <v>9</v>
      </c>
      <c r="Q164" s="16"/>
      <c r="R164" s="49"/>
      <c r="S164" s="93">
        <f t="shared" si="2"/>
        <v>8.4533333333333331</v>
      </c>
    </row>
    <row r="165" spans="1:19" x14ac:dyDescent="0.3">
      <c r="A165" s="5">
        <v>164</v>
      </c>
      <c r="B165" s="2">
        <v>1323164</v>
      </c>
      <c r="C165" s="2" t="s">
        <v>173</v>
      </c>
      <c r="D165" s="15" t="s">
        <v>1478</v>
      </c>
      <c r="E165" s="2" t="s">
        <v>1220</v>
      </c>
      <c r="F165" s="26">
        <v>7037249070</v>
      </c>
      <c r="G165" s="26" t="s">
        <v>1835</v>
      </c>
      <c r="H165" s="2" t="s">
        <v>1140</v>
      </c>
      <c r="I165" s="2"/>
      <c r="J165" s="16" t="s">
        <v>1146</v>
      </c>
      <c r="K165" s="16"/>
      <c r="L165" s="2" t="s">
        <v>926</v>
      </c>
      <c r="M165" s="16">
        <v>7.32</v>
      </c>
      <c r="N165" s="16">
        <v>7.82</v>
      </c>
      <c r="O165" s="2">
        <v>7.91</v>
      </c>
      <c r="P165" s="2">
        <v>7.86</v>
      </c>
      <c r="Q165" s="16"/>
      <c r="R165" s="49"/>
      <c r="S165" s="93">
        <f t="shared" si="2"/>
        <v>7.7275</v>
      </c>
    </row>
    <row r="166" spans="1:19" x14ac:dyDescent="0.3">
      <c r="A166" s="5">
        <v>165</v>
      </c>
      <c r="B166" s="2">
        <v>1323165</v>
      </c>
      <c r="C166" s="2" t="s">
        <v>174</v>
      </c>
      <c r="D166" s="15" t="s">
        <v>727</v>
      </c>
      <c r="E166" s="2" t="s">
        <v>1090</v>
      </c>
      <c r="F166" s="26">
        <v>7027961344</v>
      </c>
      <c r="G166" s="26" t="s">
        <v>1836</v>
      </c>
      <c r="H166" s="2" t="s">
        <v>1140</v>
      </c>
      <c r="I166" s="2"/>
      <c r="J166" s="16" t="s">
        <v>1146</v>
      </c>
      <c r="K166" s="16"/>
      <c r="L166" s="2" t="s">
        <v>926</v>
      </c>
      <c r="M166" s="16">
        <v>6.91</v>
      </c>
      <c r="N166" s="16">
        <v>6.84</v>
      </c>
      <c r="O166" s="2">
        <v>7.09</v>
      </c>
      <c r="P166" s="2">
        <v>7.45</v>
      </c>
      <c r="Q166" s="16"/>
      <c r="R166" s="49"/>
      <c r="S166" s="93">
        <f t="shared" si="2"/>
        <v>7.0724999999999998</v>
      </c>
    </row>
    <row r="167" spans="1:19" x14ac:dyDescent="0.3">
      <c r="A167" s="5">
        <v>166</v>
      </c>
      <c r="B167" s="2">
        <v>1323166</v>
      </c>
      <c r="C167" s="2" t="s">
        <v>175</v>
      </c>
      <c r="D167" s="15" t="s">
        <v>1479</v>
      </c>
      <c r="E167" s="2" t="s">
        <v>1090</v>
      </c>
      <c r="F167" s="26">
        <v>9588101275</v>
      </c>
      <c r="G167" s="26" t="s">
        <v>1837</v>
      </c>
      <c r="H167" s="2" t="s">
        <v>1140</v>
      </c>
      <c r="I167" s="2"/>
      <c r="J167" s="16" t="s">
        <v>1146</v>
      </c>
      <c r="K167" s="16"/>
      <c r="L167" s="2" t="s">
        <v>926</v>
      </c>
      <c r="M167" s="16">
        <v>7.73</v>
      </c>
      <c r="N167" s="16">
        <v>8.5</v>
      </c>
      <c r="O167" s="2">
        <v>8.82</v>
      </c>
      <c r="P167" s="2">
        <v>8.77</v>
      </c>
      <c r="Q167" s="16"/>
      <c r="R167" s="49"/>
      <c r="S167" s="93">
        <f t="shared" si="2"/>
        <v>8.4550000000000001</v>
      </c>
    </row>
    <row r="168" spans="1:19" x14ac:dyDescent="0.3">
      <c r="A168" s="5">
        <v>167</v>
      </c>
      <c r="B168" s="2">
        <v>1323167</v>
      </c>
      <c r="C168" s="2" t="s">
        <v>176</v>
      </c>
      <c r="D168" s="18" t="s">
        <v>1480</v>
      </c>
      <c r="E168" s="2" t="s">
        <v>1221</v>
      </c>
      <c r="F168" s="26">
        <v>7206968574</v>
      </c>
      <c r="G168" s="26" t="s">
        <v>1838</v>
      </c>
      <c r="H168" s="2" t="s">
        <v>1140</v>
      </c>
      <c r="I168" s="2"/>
      <c r="J168" s="16" t="s">
        <v>1146</v>
      </c>
      <c r="K168" s="16"/>
      <c r="L168" s="2" t="s">
        <v>926</v>
      </c>
      <c r="M168" s="16">
        <v>5.89</v>
      </c>
      <c r="N168" s="16">
        <v>5.64</v>
      </c>
      <c r="O168" s="2">
        <v>7.68</v>
      </c>
      <c r="P168" s="2">
        <v>6.32</v>
      </c>
      <c r="Q168" s="16"/>
      <c r="R168" s="49"/>
      <c r="S168" s="93">
        <f t="shared" si="2"/>
        <v>6.3825000000000003</v>
      </c>
    </row>
    <row r="169" spans="1:19" x14ac:dyDescent="0.3">
      <c r="A169" s="5">
        <v>168</v>
      </c>
      <c r="B169" s="2">
        <v>1323168</v>
      </c>
      <c r="C169" s="2" t="s">
        <v>177</v>
      </c>
      <c r="D169" s="15" t="s">
        <v>1481</v>
      </c>
      <c r="E169" s="2" t="s">
        <v>1222</v>
      </c>
      <c r="F169" s="26"/>
      <c r="G169" s="26"/>
      <c r="H169" s="2"/>
      <c r="I169" s="2"/>
      <c r="J169" s="16"/>
      <c r="K169" s="16"/>
      <c r="L169" s="2"/>
      <c r="M169" s="16" t="s">
        <v>954</v>
      </c>
      <c r="N169" s="16"/>
      <c r="O169" s="2"/>
      <c r="P169" s="2"/>
      <c r="Q169" s="16"/>
      <c r="R169" s="49"/>
      <c r="S169" s="93" t="e">
        <f t="shared" si="2"/>
        <v>#DIV/0!</v>
      </c>
    </row>
    <row r="170" spans="1:19" x14ac:dyDescent="0.3">
      <c r="A170" s="5">
        <v>169</v>
      </c>
      <c r="B170" s="2">
        <v>1323169</v>
      </c>
      <c r="C170" s="2" t="s">
        <v>178</v>
      </c>
      <c r="D170" s="2" t="s">
        <v>1482</v>
      </c>
      <c r="E170" s="2" t="s">
        <v>1128</v>
      </c>
      <c r="F170" s="26"/>
      <c r="G170" s="26"/>
      <c r="H170" s="2"/>
      <c r="I170" s="2"/>
      <c r="J170" s="16"/>
      <c r="K170" s="16"/>
      <c r="L170" s="2"/>
      <c r="M170" s="16" t="s">
        <v>958</v>
      </c>
      <c r="N170" s="16"/>
      <c r="O170" s="2"/>
      <c r="P170" s="2"/>
      <c r="Q170" s="16"/>
      <c r="R170" s="49"/>
      <c r="S170" s="93" t="e">
        <f t="shared" si="2"/>
        <v>#DIV/0!</v>
      </c>
    </row>
    <row r="171" spans="1:19" x14ac:dyDescent="0.3">
      <c r="A171" s="5">
        <v>170</v>
      </c>
      <c r="B171" s="2">
        <v>1323170</v>
      </c>
      <c r="C171" s="2" t="s">
        <v>179</v>
      </c>
      <c r="D171" s="15" t="s">
        <v>698</v>
      </c>
      <c r="E171" s="2" t="s">
        <v>1223</v>
      </c>
      <c r="F171" s="26">
        <v>7455932719</v>
      </c>
      <c r="G171" s="26" t="s">
        <v>1839</v>
      </c>
      <c r="H171" s="2" t="s">
        <v>1140</v>
      </c>
      <c r="I171" s="2"/>
      <c r="J171" s="16" t="s">
        <v>1146</v>
      </c>
      <c r="K171" s="16"/>
      <c r="L171" s="2" t="s">
        <v>926</v>
      </c>
      <c r="M171" s="16">
        <v>7.36</v>
      </c>
      <c r="N171" s="16">
        <v>7.23</v>
      </c>
      <c r="O171" s="2">
        <v>7.95</v>
      </c>
      <c r="P171" s="2">
        <v>7.77</v>
      </c>
      <c r="Q171" s="16"/>
      <c r="R171" s="49"/>
      <c r="S171" s="93">
        <f t="shared" si="2"/>
        <v>7.5774999999999997</v>
      </c>
    </row>
    <row r="172" spans="1:19" x14ac:dyDescent="0.3">
      <c r="A172" s="5">
        <v>171</v>
      </c>
      <c r="B172" s="2">
        <v>1323171</v>
      </c>
      <c r="C172" s="2" t="s">
        <v>941</v>
      </c>
      <c r="D172" s="15"/>
      <c r="E172" s="2"/>
      <c r="F172" s="26"/>
      <c r="G172" s="26"/>
      <c r="H172" s="2"/>
      <c r="I172" s="2"/>
      <c r="J172" s="16"/>
      <c r="K172" s="16"/>
      <c r="L172" s="2"/>
      <c r="M172" s="16"/>
      <c r="N172" s="16"/>
      <c r="O172" s="2"/>
      <c r="P172" s="2"/>
      <c r="Q172" s="16"/>
      <c r="R172" s="49"/>
      <c r="S172" s="93" t="e">
        <f t="shared" si="2"/>
        <v>#DIV/0!</v>
      </c>
    </row>
    <row r="173" spans="1:19" x14ac:dyDescent="0.3">
      <c r="A173" s="5">
        <v>172</v>
      </c>
      <c r="B173" s="2">
        <v>1323172</v>
      </c>
      <c r="C173" s="2" t="s">
        <v>180</v>
      </c>
      <c r="D173" s="15" t="s">
        <v>699</v>
      </c>
      <c r="E173" s="2" t="s">
        <v>963</v>
      </c>
      <c r="F173" s="26">
        <v>7496851238</v>
      </c>
      <c r="G173" s="26" t="s">
        <v>1840</v>
      </c>
      <c r="H173" s="2" t="s">
        <v>1140</v>
      </c>
      <c r="I173" s="2"/>
      <c r="J173" s="16" t="s">
        <v>1146</v>
      </c>
      <c r="K173" s="16"/>
      <c r="L173" s="2" t="s">
        <v>926</v>
      </c>
      <c r="M173" s="16">
        <v>8.82</v>
      </c>
      <c r="N173" s="16">
        <v>9.5</v>
      </c>
      <c r="O173" s="2">
        <v>9.41</v>
      </c>
      <c r="P173" s="2">
        <v>8.59</v>
      </c>
      <c r="Q173" s="16"/>
      <c r="R173" s="49"/>
      <c r="S173" s="93">
        <f t="shared" si="2"/>
        <v>9.08</v>
      </c>
    </row>
    <row r="174" spans="1:19" x14ac:dyDescent="0.3">
      <c r="A174" s="5">
        <v>173</v>
      </c>
      <c r="B174" s="2">
        <v>1323173</v>
      </c>
      <c r="C174" s="2" t="s">
        <v>941</v>
      </c>
      <c r="D174" s="2" t="s">
        <v>1483</v>
      </c>
      <c r="E174" s="2" t="s">
        <v>1224</v>
      </c>
      <c r="F174" s="26"/>
      <c r="G174" s="26"/>
      <c r="H174" s="2" t="s">
        <v>1140</v>
      </c>
      <c r="I174" s="2"/>
      <c r="J174" s="16" t="s">
        <v>1146</v>
      </c>
      <c r="K174" s="16"/>
      <c r="L174" s="2"/>
      <c r="M174" s="16" t="s">
        <v>958</v>
      </c>
      <c r="N174" s="16"/>
      <c r="O174" s="2"/>
      <c r="P174" s="2"/>
      <c r="Q174" s="16"/>
      <c r="R174" s="49"/>
      <c r="S174" s="93" t="e">
        <f t="shared" si="2"/>
        <v>#DIV/0!</v>
      </c>
    </row>
    <row r="175" spans="1:19" x14ac:dyDescent="0.3">
      <c r="A175" s="5">
        <v>174</v>
      </c>
      <c r="B175" s="2">
        <v>1323174</v>
      </c>
      <c r="C175" s="2" t="s">
        <v>181</v>
      </c>
      <c r="D175" s="15" t="s">
        <v>700</v>
      </c>
      <c r="E175" s="2" t="s">
        <v>1225</v>
      </c>
      <c r="F175" s="26">
        <v>7858802599</v>
      </c>
      <c r="G175" s="26" t="s">
        <v>1841</v>
      </c>
      <c r="H175" s="2"/>
      <c r="I175" s="2"/>
      <c r="J175" s="16"/>
      <c r="K175" s="16"/>
      <c r="L175" s="2" t="s">
        <v>926</v>
      </c>
      <c r="M175" s="16">
        <v>6.61</v>
      </c>
      <c r="N175" s="16">
        <v>7.36</v>
      </c>
      <c r="O175" s="2">
        <v>7.48</v>
      </c>
      <c r="P175" s="2" t="s">
        <v>2249</v>
      </c>
      <c r="Q175" s="16"/>
      <c r="R175" s="49"/>
      <c r="S175" s="93">
        <f t="shared" si="2"/>
        <v>7.1500000000000012</v>
      </c>
    </row>
    <row r="176" spans="1:19" x14ac:dyDescent="0.3">
      <c r="A176" s="5">
        <v>175</v>
      </c>
      <c r="B176" s="2">
        <v>1323175</v>
      </c>
      <c r="C176" s="2" t="s">
        <v>182</v>
      </c>
      <c r="D176" s="15" t="s">
        <v>701</v>
      </c>
      <c r="E176" s="2" t="s">
        <v>668</v>
      </c>
      <c r="F176" s="26">
        <v>7988036345</v>
      </c>
      <c r="G176" s="26" t="s">
        <v>1842</v>
      </c>
      <c r="H176" s="2" t="s">
        <v>1140</v>
      </c>
      <c r="I176" s="2"/>
      <c r="J176" s="16" t="s">
        <v>1146</v>
      </c>
      <c r="K176" s="16"/>
      <c r="L176" s="2" t="s">
        <v>926</v>
      </c>
      <c r="M176" s="16" t="s">
        <v>1629</v>
      </c>
      <c r="N176" s="16">
        <v>6.27</v>
      </c>
      <c r="O176" s="2" t="s">
        <v>2225</v>
      </c>
      <c r="P176" s="2" t="s">
        <v>2266</v>
      </c>
      <c r="Q176" s="16"/>
      <c r="R176" s="49"/>
      <c r="S176" s="93">
        <f t="shared" si="2"/>
        <v>6.27</v>
      </c>
    </row>
    <row r="177" spans="1:19" x14ac:dyDescent="0.3">
      <c r="A177" s="5">
        <v>176</v>
      </c>
      <c r="B177" s="2">
        <v>1323176</v>
      </c>
      <c r="C177" s="2" t="s">
        <v>183</v>
      </c>
      <c r="D177" s="15" t="s">
        <v>702</v>
      </c>
      <c r="E177" s="2" t="s">
        <v>1091</v>
      </c>
      <c r="F177" s="26">
        <v>7988259156</v>
      </c>
      <c r="G177" s="26" t="s">
        <v>1843</v>
      </c>
      <c r="H177" s="2" t="s">
        <v>1140</v>
      </c>
      <c r="I177" s="2"/>
      <c r="J177" s="16" t="s">
        <v>1146</v>
      </c>
      <c r="K177" s="16"/>
      <c r="L177" s="2" t="s">
        <v>926</v>
      </c>
      <c r="M177" s="16">
        <v>7.02</v>
      </c>
      <c r="N177" s="16">
        <v>6.82</v>
      </c>
      <c r="O177" s="2">
        <v>6.98</v>
      </c>
      <c r="P177" s="2" t="s">
        <v>2249</v>
      </c>
      <c r="Q177" s="16"/>
      <c r="R177" s="49"/>
      <c r="S177" s="93">
        <f t="shared" si="2"/>
        <v>6.94</v>
      </c>
    </row>
    <row r="178" spans="1:19" x14ac:dyDescent="0.3">
      <c r="A178" s="5">
        <v>177</v>
      </c>
      <c r="B178" s="2">
        <v>1323177</v>
      </c>
      <c r="C178" s="2" t="s">
        <v>184</v>
      </c>
      <c r="D178" s="15" t="s">
        <v>703</v>
      </c>
      <c r="E178" s="2" t="s">
        <v>1226</v>
      </c>
      <c r="F178" s="26">
        <v>7988423406</v>
      </c>
      <c r="G178" s="26" t="s">
        <v>1844</v>
      </c>
      <c r="H178" s="2" t="s">
        <v>1140</v>
      </c>
      <c r="I178" s="2"/>
      <c r="J178" s="16" t="s">
        <v>1146</v>
      </c>
      <c r="K178" s="16"/>
      <c r="L178" s="2" t="s">
        <v>926</v>
      </c>
      <c r="M178" s="16">
        <v>7.14</v>
      </c>
      <c r="N178" s="16">
        <v>7.14</v>
      </c>
      <c r="O178" s="2">
        <v>7</v>
      </c>
      <c r="P178" s="2">
        <v>7.52</v>
      </c>
      <c r="Q178" s="16"/>
      <c r="R178" s="49"/>
      <c r="S178" s="93">
        <f t="shared" si="2"/>
        <v>7.2</v>
      </c>
    </row>
    <row r="179" spans="1:19" x14ac:dyDescent="0.3">
      <c r="A179" s="5">
        <v>178</v>
      </c>
      <c r="B179" s="2">
        <v>1323178</v>
      </c>
      <c r="C179" s="2" t="s">
        <v>185</v>
      </c>
      <c r="D179" s="15" t="s">
        <v>704</v>
      </c>
      <c r="E179" s="2" t="s">
        <v>1227</v>
      </c>
      <c r="F179" s="26">
        <v>8053438680</v>
      </c>
      <c r="G179" s="26" t="s">
        <v>1845</v>
      </c>
      <c r="H179" s="2" t="s">
        <v>1140</v>
      </c>
      <c r="I179" s="2"/>
      <c r="J179" s="16" t="s">
        <v>1146</v>
      </c>
      <c r="K179" s="16"/>
      <c r="L179" s="2" t="s">
        <v>926</v>
      </c>
      <c r="M179" s="16">
        <v>9.0500000000000007</v>
      </c>
      <c r="N179" s="16">
        <v>8.9499999999999993</v>
      </c>
      <c r="O179" s="2">
        <v>8.59</v>
      </c>
      <c r="P179" s="2">
        <v>8.82</v>
      </c>
      <c r="Q179" s="16"/>
      <c r="R179" s="49"/>
      <c r="S179" s="93">
        <f t="shared" si="2"/>
        <v>8.8524999999999991</v>
      </c>
    </row>
    <row r="180" spans="1:19" x14ac:dyDescent="0.3">
      <c r="A180" s="5">
        <v>179</v>
      </c>
      <c r="B180" s="2">
        <v>1323179</v>
      </c>
      <c r="C180" s="2" t="s">
        <v>186</v>
      </c>
      <c r="D180" s="15" t="s">
        <v>867</v>
      </c>
      <c r="E180" s="2" t="s">
        <v>1038</v>
      </c>
      <c r="F180" s="26">
        <v>8126045558</v>
      </c>
      <c r="G180" s="26" t="s">
        <v>1846</v>
      </c>
      <c r="H180" s="2" t="s">
        <v>1140</v>
      </c>
      <c r="I180" s="2"/>
      <c r="J180" s="16" t="s">
        <v>1146</v>
      </c>
      <c r="K180" s="16"/>
      <c r="L180" s="2" t="s">
        <v>926</v>
      </c>
      <c r="M180" s="16">
        <v>6.64</v>
      </c>
      <c r="N180" s="16" t="s">
        <v>953</v>
      </c>
      <c r="O180" s="2" t="s">
        <v>2226</v>
      </c>
      <c r="P180" s="2" t="s">
        <v>2267</v>
      </c>
      <c r="Q180" s="16"/>
      <c r="R180" s="49"/>
      <c r="S180" s="93">
        <f t="shared" si="2"/>
        <v>6.64</v>
      </c>
    </row>
    <row r="181" spans="1:19" x14ac:dyDescent="0.3">
      <c r="A181" s="5">
        <v>180</v>
      </c>
      <c r="B181" s="2">
        <v>1323180</v>
      </c>
      <c r="C181" s="2" t="s">
        <v>187</v>
      </c>
      <c r="D181" s="15" t="s">
        <v>705</v>
      </c>
      <c r="E181" s="2" t="s">
        <v>1228</v>
      </c>
      <c r="F181" s="26">
        <v>8168264430</v>
      </c>
      <c r="G181" s="26" t="s">
        <v>1847</v>
      </c>
      <c r="H181" s="2" t="s">
        <v>1140</v>
      </c>
      <c r="I181" s="2"/>
      <c r="J181" s="16" t="s">
        <v>1146</v>
      </c>
      <c r="K181" s="16"/>
      <c r="L181" s="2" t="s">
        <v>926</v>
      </c>
      <c r="M181" s="16">
        <v>8.41</v>
      </c>
      <c r="N181" s="16">
        <v>7.86</v>
      </c>
      <c r="O181" s="2">
        <v>7.64</v>
      </c>
      <c r="P181" s="2">
        <v>7.68</v>
      </c>
      <c r="Q181" s="16"/>
      <c r="R181" s="49"/>
      <c r="S181" s="93">
        <f t="shared" si="2"/>
        <v>7.8975</v>
      </c>
    </row>
    <row r="182" spans="1:19" x14ac:dyDescent="0.3">
      <c r="A182" s="5">
        <v>181</v>
      </c>
      <c r="B182" s="2">
        <v>1323181</v>
      </c>
      <c r="C182" s="2" t="s">
        <v>188</v>
      </c>
      <c r="D182" s="15" t="s">
        <v>1484</v>
      </c>
      <c r="E182" s="2" t="s">
        <v>972</v>
      </c>
      <c r="F182" s="26"/>
      <c r="G182" s="26"/>
      <c r="H182" s="2"/>
      <c r="I182" s="2"/>
      <c r="J182" s="16"/>
      <c r="K182" s="16"/>
      <c r="L182" s="2"/>
      <c r="M182" s="16">
        <v>6.75</v>
      </c>
      <c r="N182" s="16">
        <v>6.41</v>
      </c>
      <c r="O182" s="2"/>
      <c r="P182" s="2"/>
      <c r="Q182" s="16"/>
      <c r="R182" s="49"/>
      <c r="S182" s="93">
        <f t="shared" si="2"/>
        <v>6.58</v>
      </c>
    </row>
    <row r="183" spans="1:19" x14ac:dyDescent="0.3">
      <c r="A183" s="5">
        <v>182</v>
      </c>
      <c r="B183" s="2">
        <v>1323182</v>
      </c>
      <c r="C183" s="2" t="s">
        <v>189</v>
      </c>
      <c r="D183" s="15" t="s">
        <v>706</v>
      </c>
      <c r="E183" s="2" t="s">
        <v>1229</v>
      </c>
      <c r="F183" s="26">
        <v>8168673148</v>
      </c>
      <c r="G183" s="26" t="s">
        <v>1848</v>
      </c>
      <c r="H183" s="2" t="s">
        <v>1140</v>
      </c>
      <c r="I183" s="2"/>
      <c r="J183" s="16" t="s">
        <v>1146</v>
      </c>
      <c r="K183" s="16"/>
      <c r="L183" s="2" t="s">
        <v>926</v>
      </c>
      <c r="M183" s="16">
        <v>8.41</v>
      </c>
      <c r="N183" s="16">
        <v>8.14</v>
      </c>
      <c r="O183" s="2" t="s">
        <v>2227</v>
      </c>
      <c r="P183" s="2">
        <v>9.36</v>
      </c>
      <c r="Q183" s="16"/>
      <c r="R183" s="49"/>
      <c r="S183" s="93">
        <f t="shared" si="2"/>
        <v>8.6366666666666667</v>
      </c>
    </row>
    <row r="184" spans="1:19" x14ac:dyDescent="0.3">
      <c r="A184" s="5">
        <v>183</v>
      </c>
      <c r="B184" s="2">
        <v>1323183</v>
      </c>
      <c r="C184" s="2" t="s">
        <v>190</v>
      </c>
      <c r="D184" s="15" t="s">
        <v>1485</v>
      </c>
      <c r="E184" s="2" t="s">
        <v>1210</v>
      </c>
      <c r="F184" s="26">
        <v>8295056852</v>
      </c>
      <c r="G184" s="26" t="s">
        <v>1849</v>
      </c>
      <c r="H184" s="2" t="s">
        <v>1140</v>
      </c>
      <c r="I184" s="2"/>
      <c r="J184" s="16" t="s">
        <v>1146</v>
      </c>
      <c r="K184" s="16"/>
      <c r="L184" s="2" t="s">
        <v>926</v>
      </c>
      <c r="M184" s="16">
        <v>8.41</v>
      </c>
      <c r="N184" s="16">
        <v>8.41</v>
      </c>
      <c r="O184" s="2">
        <v>8.86</v>
      </c>
      <c r="P184" s="2">
        <v>9.27</v>
      </c>
      <c r="Q184" s="16"/>
      <c r="R184" s="49"/>
      <c r="S184" s="93">
        <f t="shared" si="2"/>
        <v>8.7375000000000007</v>
      </c>
    </row>
    <row r="185" spans="1:19" x14ac:dyDescent="0.3">
      <c r="A185" s="5">
        <v>184</v>
      </c>
      <c r="B185" s="2">
        <v>1323184</v>
      </c>
      <c r="C185" s="2" t="s">
        <v>191</v>
      </c>
      <c r="D185" s="15" t="s">
        <v>1486</v>
      </c>
      <c r="E185" s="2" t="s">
        <v>1230</v>
      </c>
      <c r="F185" s="26"/>
      <c r="G185" s="26"/>
      <c r="H185" s="2"/>
      <c r="I185" s="2"/>
      <c r="J185" s="16"/>
      <c r="K185" s="16"/>
      <c r="L185" s="2"/>
      <c r="M185" s="16" t="s">
        <v>954</v>
      </c>
      <c r="N185" s="16"/>
      <c r="O185" s="2"/>
      <c r="P185" s="2"/>
      <c r="Q185" s="16"/>
      <c r="R185" s="49"/>
      <c r="S185" s="93" t="e">
        <f t="shared" si="2"/>
        <v>#DIV/0!</v>
      </c>
    </row>
    <row r="186" spans="1:19" x14ac:dyDescent="0.3">
      <c r="A186" s="5">
        <v>185</v>
      </c>
      <c r="B186" s="2">
        <v>1323185</v>
      </c>
      <c r="C186" s="2" t="s">
        <v>192</v>
      </c>
      <c r="D186" s="15" t="s">
        <v>1487</v>
      </c>
      <c r="E186" s="2" t="s">
        <v>1231</v>
      </c>
      <c r="F186" s="26">
        <v>8295537457</v>
      </c>
      <c r="G186" s="26" t="s">
        <v>1850</v>
      </c>
      <c r="H186" s="2" t="s">
        <v>1140</v>
      </c>
      <c r="I186" s="2"/>
      <c r="J186" s="16" t="s">
        <v>1146</v>
      </c>
      <c r="K186" s="16"/>
      <c r="L186" s="2" t="s">
        <v>926</v>
      </c>
      <c r="M186" s="16">
        <v>9.41</v>
      </c>
      <c r="N186" s="16">
        <v>9.41</v>
      </c>
      <c r="O186" s="2">
        <v>9.4499999999999993</v>
      </c>
      <c r="P186" s="2">
        <v>9.5500000000000007</v>
      </c>
      <c r="Q186" s="16"/>
      <c r="R186" s="49"/>
      <c r="S186" s="93">
        <f t="shared" si="2"/>
        <v>9.4550000000000001</v>
      </c>
    </row>
    <row r="187" spans="1:19" x14ac:dyDescent="0.3">
      <c r="A187" s="5">
        <v>186</v>
      </c>
      <c r="B187" s="2">
        <v>1323186</v>
      </c>
      <c r="C187" s="2" t="s">
        <v>193</v>
      </c>
      <c r="D187" s="15" t="s">
        <v>1488</v>
      </c>
      <c r="E187" s="2" t="s">
        <v>1232</v>
      </c>
      <c r="F187" s="26">
        <v>8295891467</v>
      </c>
      <c r="G187" s="26" t="s">
        <v>1851</v>
      </c>
      <c r="H187" s="2" t="s">
        <v>1140</v>
      </c>
      <c r="I187" s="2"/>
      <c r="J187" s="16" t="s">
        <v>1146</v>
      </c>
      <c r="K187" s="16"/>
      <c r="L187" s="2" t="s">
        <v>926</v>
      </c>
      <c r="M187" s="16">
        <v>6.2</v>
      </c>
      <c r="N187" s="16">
        <v>6.18</v>
      </c>
      <c r="O187" s="2" t="s">
        <v>2208</v>
      </c>
      <c r="P187" s="2">
        <v>7.02</v>
      </c>
      <c r="Q187" s="16"/>
      <c r="R187" s="49"/>
      <c r="S187" s="93">
        <f t="shared" si="2"/>
        <v>6.4666666666666659</v>
      </c>
    </row>
    <row r="188" spans="1:19" x14ac:dyDescent="0.3">
      <c r="A188" s="5">
        <v>187</v>
      </c>
      <c r="B188" s="2">
        <v>1323187</v>
      </c>
      <c r="C188" s="2" t="s">
        <v>194</v>
      </c>
      <c r="D188" s="15" t="s">
        <v>707</v>
      </c>
      <c r="E188" s="2" t="s">
        <v>1220</v>
      </c>
      <c r="F188" s="26">
        <v>8307685269</v>
      </c>
      <c r="G188" s="26" t="s">
        <v>1852</v>
      </c>
      <c r="H188" s="2" t="s">
        <v>1140</v>
      </c>
      <c r="I188" s="2"/>
      <c r="J188" s="16" t="s">
        <v>1146</v>
      </c>
      <c r="K188" s="16"/>
      <c r="L188" s="2" t="s">
        <v>926</v>
      </c>
      <c r="M188" s="16">
        <v>8.73</v>
      </c>
      <c r="N188" s="16">
        <v>8.09</v>
      </c>
      <c r="O188" s="2">
        <v>8.64</v>
      </c>
      <c r="P188" s="2">
        <v>8.86</v>
      </c>
      <c r="Q188" s="16"/>
      <c r="R188" s="49"/>
      <c r="S188" s="93">
        <f t="shared" si="2"/>
        <v>8.58</v>
      </c>
    </row>
    <row r="189" spans="1:19" x14ac:dyDescent="0.3">
      <c r="A189" s="5">
        <v>188</v>
      </c>
      <c r="B189" s="2">
        <v>1323188</v>
      </c>
      <c r="C189" s="2" t="s">
        <v>195</v>
      </c>
      <c r="D189" s="15" t="s">
        <v>1489</v>
      </c>
      <c r="E189" s="2" t="s">
        <v>1233</v>
      </c>
      <c r="F189" s="26">
        <v>8307935954</v>
      </c>
      <c r="G189" s="26" t="s">
        <v>1853</v>
      </c>
      <c r="H189" s="2" t="s">
        <v>1140</v>
      </c>
      <c r="I189" s="2"/>
      <c r="J189" s="16" t="s">
        <v>1146</v>
      </c>
      <c r="K189" s="16"/>
      <c r="L189" s="2" t="s">
        <v>926</v>
      </c>
      <c r="M189" s="16">
        <v>8.09</v>
      </c>
      <c r="N189" s="16">
        <v>8.82</v>
      </c>
      <c r="O189" s="2">
        <v>8.9499999999999993</v>
      </c>
      <c r="P189" s="2">
        <v>8.9499999999999993</v>
      </c>
      <c r="Q189" s="16"/>
      <c r="R189" s="49"/>
      <c r="S189" s="93">
        <f t="shared" si="2"/>
        <v>8.7025000000000006</v>
      </c>
    </row>
    <row r="190" spans="1:19" x14ac:dyDescent="0.3">
      <c r="A190" s="5">
        <v>189</v>
      </c>
      <c r="B190" s="2">
        <v>1323189</v>
      </c>
      <c r="C190" s="2" t="s">
        <v>196</v>
      </c>
      <c r="D190" s="15" t="s">
        <v>1490</v>
      </c>
      <c r="E190" s="2" t="s">
        <v>1234</v>
      </c>
      <c r="F190" s="26">
        <v>8360753974</v>
      </c>
      <c r="G190" s="26" t="s">
        <v>1854</v>
      </c>
      <c r="H190" s="2" t="s">
        <v>1140</v>
      </c>
      <c r="I190" s="2"/>
      <c r="J190" s="16" t="s">
        <v>1146</v>
      </c>
      <c r="K190" s="16"/>
      <c r="L190" s="2" t="s">
        <v>926</v>
      </c>
      <c r="M190" s="16">
        <v>7.5</v>
      </c>
      <c r="N190" s="16">
        <v>7.86</v>
      </c>
      <c r="O190" s="2">
        <v>8.82</v>
      </c>
      <c r="P190" s="2">
        <v>8.23</v>
      </c>
      <c r="Q190" s="16"/>
      <c r="R190" s="49"/>
      <c r="S190" s="93">
        <f t="shared" si="2"/>
        <v>8.1024999999999991</v>
      </c>
    </row>
    <row r="191" spans="1:19" x14ac:dyDescent="0.3">
      <c r="A191" s="5">
        <v>190</v>
      </c>
      <c r="B191" s="2">
        <v>1323190</v>
      </c>
      <c r="C191" s="2" t="s">
        <v>197</v>
      </c>
      <c r="D191" s="15" t="s">
        <v>1491</v>
      </c>
      <c r="E191" s="2" t="s">
        <v>1235</v>
      </c>
      <c r="F191" s="26">
        <v>8534916375</v>
      </c>
      <c r="G191" s="26" t="s">
        <v>1855</v>
      </c>
      <c r="H191" s="2" t="s">
        <v>1140</v>
      </c>
      <c r="I191" s="2"/>
      <c r="J191" s="16" t="s">
        <v>1146</v>
      </c>
      <c r="K191" s="16"/>
      <c r="L191" s="2" t="s">
        <v>926</v>
      </c>
      <c r="M191" s="16">
        <v>5.82</v>
      </c>
      <c r="N191" s="16" t="s">
        <v>953</v>
      </c>
      <c r="O191" s="2" t="s">
        <v>953</v>
      </c>
      <c r="P191" s="2" t="s">
        <v>2268</v>
      </c>
      <c r="Q191" s="16"/>
      <c r="R191" s="49"/>
      <c r="S191" s="93">
        <f t="shared" si="2"/>
        <v>5.82</v>
      </c>
    </row>
    <row r="192" spans="1:19" x14ac:dyDescent="0.3">
      <c r="A192" s="5">
        <v>191</v>
      </c>
      <c r="B192" s="2">
        <v>1323191</v>
      </c>
      <c r="C192" s="2" t="s">
        <v>198</v>
      </c>
      <c r="D192" s="15" t="s">
        <v>1438</v>
      </c>
      <c r="E192" s="2" t="s">
        <v>1236</v>
      </c>
      <c r="F192" s="26">
        <v>6239759944</v>
      </c>
      <c r="G192" s="26" t="s">
        <v>1856</v>
      </c>
      <c r="H192" s="2" t="s">
        <v>1140</v>
      </c>
      <c r="I192" s="2"/>
      <c r="J192" s="16" t="s">
        <v>1146</v>
      </c>
      <c r="K192" s="16"/>
      <c r="L192" s="2" t="s">
        <v>926</v>
      </c>
      <c r="M192" s="16">
        <v>6.91</v>
      </c>
      <c r="N192" s="16">
        <v>6.8</v>
      </c>
      <c r="O192" s="2">
        <v>7.64</v>
      </c>
      <c r="P192" s="2">
        <v>7.64</v>
      </c>
      <c r="Q192" s="16"/>
      <c r="R192" s="49"/>
      <c r="S192" s="93">
        <f t="shared" si="2"/>
        <v>7.2475000000000005</v>
      </c>
    </row>
    <row r="193" spans="1:19" x14ac:dyDescent="0.3">
      <c r="A193" s="5">
        <v>192</v>
      </c>
      <c r="B193" s="2">
        <v>1323192</v>
      </c>
      <c r="C193" s="2" t="s">
        <v>199</v>
      </c>
      <c r="D193" s="15" t="s">
        <v>708</v>
      </c>
      <c r="E193" s="2" t="s">
        <v>1237</v>
      </c>
      <c r="F193" s="26">
        <v>8607122807</v>
      </c>
      <c r="G193" s="26" t="s">
        <v>1857</v>
      </c>
      <c r="H193" s="2" t="s">
        <v>1140</v>
      </c>
      <c r="I193" s="2"/>
      <c r="J193" s="16" t="s">
        <v>1146</v>
      </c>
      <c r="K193" s="16"/>
      <c r="L193" s="2" t="s">
        <v>926</v>
      </c>
      <c r="M193" s="16">
        <v>9.41</v>
      </c>
      <c r="N193" s="16">
        <v>8.82</v>
      </c>
      <c r="O193" s="2">
        <v>9.18</v>
      </c>
      <c r="P193" s="2">
        <v>8.9499999999999993</v>
      </c>
      <c r="Q193" s="16"/>
      <c r="R193" s="49"/>
      <c r="S193" s="93">
        <f t="shared" si="2"/>
        <v>9.09</v>
      </c>
    </row>
    <row r="194" spans="1:19" x14ac:dyDescent="0.3">
      <c r="A194" s="5">
        <v>193</v>
      </c>
      <c r="B194" s="2">
        <v>1323193</v>
      </c>
      <c r="C194" s="2" t="s">
        <v>200</v>
      </c>
      <c r="D194" s="15" t="s">
        <v>638</v>
      </c>
      <c r="E194" s="2" t="s">
        <v>1184</v>
      </c>
      <c r="F194" s="26">
        <v>8607129425</v>
      </c>
      <c r="G194" s="26" t="s">
        <v>1858</v>
      </c>
      <c r="H194" s="2" t="s">
        <v>1140</v>
      </c>
      <c r="I194" s="2"/>
      <c r="J194" s="16" t="s">
        <v>1146</v>
      </c>
      <c r="K194" s="16"/>
      <c r="L194" s="2" t="s">
        <v>926</v>
      </c>
      <c r="M194" s="16">
        <v>9.41</v>
      </c>
      <c r="N194" s="16">
        <v>9.14</v>
      </c>
      <c r="O194" s="2">
        <v>9.0500000000000007</v>
      </c>
      <c r="P194" s="2">
        <v>8.91</v>
      </c>
      <c r="Q194" s="16"/>
      <c r="R194" s="49"/>
      <c r="S194" s="93">
        <f t="shared" ref="S194:S257" si="3">AVERAGE(M194:P194)</f>
        <v>9.1275000000000013</v>
      </c>
    </row>
    <row r="195" spans="1:19" x14ac:dyDescent="0.3">
      <c r="A195" s="5">
        <v>194</v>
      </c>
      <c r="B195" s="2">
        <v>1323194</v>
      </c>
      <c r="C195" s="2" t="s">
        <v>201</v>
      </c>
      <c r="D195" s="15" t="s">
        <v>1492</v>
      </c>
      <c r="E195" s="2" t="s">
        <v>1238</v>
      </c>
      <c r="F195" s="26">
        <v>8607307282</v>
      </c>
      <c r="G195" s="26" t="s">
        <v>1859</v>
      </c>
      <c r="H195" s="2" t="s">
        <v>1140</v>
      </c>
      <c r="I195" s="2"/>
      <c r="J195" s="16" t="s">
        <v>1146</v>
      </c>
      <c r="K195" s="16"/>
      <c r="L195" s="2" t="s">
        <v>926</v>
      </c>
      <c r="M195" s="16">
        <v>5.95</v>
      </c>
      <c r="N195" s="16">
        <v>6.32</v>
      </c>
      <c r="O195" s="2">
        <v>7.09</v>
      </c>
      <c r="P195" s="2" t="s">
        <v>2250</v>
      </c>
      <c r="Q195" s="16"/>
      <c r="R195" s="49"/>
      <c r="S195" s="93">
        <f t="shared" si="3"/>
        <v>6.4533333333333331</v>
      </c>
    </row>
    <row r="196" spans="1:19" x14ac:dyDescent="0.3">
      <c r="A196" s="5">
        <v>195</v>
      </c>
      <c r="B196" s="2">
        <v>1323195</v>
      </c>
      <c r="C196" s="2" t="s">
        <v>202</v>
      </c>
      <c r="D196" s="15" t="s">
        <v>654</v>
      </c>
      <c r="E196" s="2" t="s">
        <v>1128</v>
      </c>
      <c r="F196" s="26">
        <v>8684075586</v>
      </c>
      <c r="G196" s="26" t="s">
        <v>1860</v>
      </c>
      <c r="H196" s="2" t="s">
        <v>1140</v>
      </c>
      <c r="I196" s="2"/>
      <c r="J196" s="16" t="s">
        <v>1146</v>
      </c>
      <c r="K196" s="16"/>
      <c r="L196" s="2" t="s">
        <v>926</v>
      </c>
      <c r="M196" s="16">
        <v>9.0500000000000007</v>
      </c>
      <c r="N196" s="16">
        <v>8.59</v>
      </c>
      <c r="O196" s="2">
        <v>8.73</v>
      </c>
      <c r="P196" s="2">
        <v>8.59</v>
      </c>
      <c r="Q196" s="16"/>
      <c r="R196" s="49"/>
      <c r="S196" s="93">
        <f t="shared" si="3"/>
        <v>8.74</v>
      </c>
    </row>
    <row r="197" spans="1:19" x14ac:dyDescent="0.3">
      <c r="A197" s="5">
        <v>196</v>
      </c>
      <c r="B197" s="2">
        <v>1323196</v>
      </c>
      <c r="C197" s="2" t="s">
        <v>203</v>
      </c>
      <c r="D197" s="15" t="s">
        <v>639</v>
      </c>
      <c r="E197" s="2" t="s">
        <v>1239</v>
      </c>
      <c r="F197" s="26">
        <v>8684829110</v>
      </c>
      <c r="G197" s="26" t="s">
        <v>1861</v>
      </c>
      <c r="H197" s="2" t="s">
        <v>1140</v>
      </c>
      <c r="I197" s="2"/>
      <c r="J197" s="16" t="s">
        <v>1146</v>
      </c>
      <c r="K197" s="16"/>
      <c r="L197" s="2" t="s">
        <v>926</v>
      </c>
      <c r="M197" s="16">
        <v>6.66</v>
      </c>
      <c r="N197" s="16" t="s">
        <v>953</v>
      </c>
      <c r="O197" s="2">
        <v>7.05</v>
      </c>
      <c r="P197" s="2">
        <v>7.18</v>
      </c>
      <c r="Q197" s="16"/>
      <c r="R197" s="49"/>
      <c r="S197" s="93">
        <f t="shared" si="3"/>
        <v>6.9633333333333338</v>
      </c>
    </row>
    <row r="198" spans="1:19" x14ac:dyDescent="0.3">
      <c r="A198" s="5">
        <v>197</v>
      </c>
      <c r="B198" s="2">
        <v>1323197</v>
      </c>
      <c r="C198" s="2" t="s">
        <v>204</v>
      </c>
      <c r="D198" s="15" t="s">
        <v>709</v>
      </c>
      <c r="E198" s="2" t="s">
        <v>1240</v>
      </c>
      <c r="F198" s="26">
        <v>8708062651</v>
      </c>
      <c r="G198" s="26" t="s">
        <v>1862</v>
      </c>
      <c r="H198" s="2" t="s">
        <v>1140</v>
      </c>
      <c r="I198" s="2"/>
      <c r="J198" s="16" t="s">
        <v>1146</v>
      </c>
      <c r="K198" s="16"/>
      <c r="L198" s="2" t="s">
        <v>926</v>
      </c>
      <c r="M198" s="16" t="s">
        <v>1630</v>
      </c>
      <c r="N198" s="16">
        <v>6.2</v>
      </c>
      <c r="O198" s="2" t="s">
        <v>2210</v>
      </c>
      <c r="P198" s="2">
        <v>5.61</v>
      </c>
      <c r="Q198" s="16"/>
      <c r="R198" s="49"/>
      <c r="S198" s="93">
        <f t="shared" si="3"/>
        <v>5.9050000000000002</v>
      </c>
    </row>
    <row r="199" spans="1:19" x14ac:dyDescent="0.3">
      <c r="A199" s="5">
        <v>198</v>
      </c>
      <c r="B199" s="2">
        <v>1323198</v>
      </c>
      <c r="C199" s="2" t="s">
        <v>205</v>
      </c>
      <c r="D199" s="15" t="s">
        <v>710</v>
      </c>
      <c r="E199" s="2" t="s">
        <v>1241</v>
      </c>
      <c r="F199" s="26">
        <v>8708255324</v>
      </c>
      <c r="G199" s="26" t="s">
        <v>1863</v>
      </c>
      <c r="H199" s="2" t="s">
        <v>1140</v>
      </c>
      <c r="I199" s="2"/>
      <c r="J199" s="16" t="s">
        <v>1146</v>
      </c>
      <c r="K199" s="16"/>
      <c r="L199" s="2" t="s">
        <v>926</v>
      </c>
      <c r="M199" s="16" t="s">
        <v>1631</v>
      </c>
      <c r="N199" s="16" t="s">
        <v>1681</v>
      </c>
      <c r="O199" s="2" t="s">
        <v>2221</v>
      </c>
      <c r="P199" s="2" t="s">
        <v>2249</v>
      </c>
      <c r="Q199" s="16"/>
      <c r="R199" s="49"/>
      <c r="S199" s="93" t="e">
        <f t="shared" si="3"/>
        <v>#DIV/0!</v>
      </c>
    </row>
    <row r="200" spans="1:19" x14ac:dyDescent="0.3">
      <c r="A200" s="5">
        <v>199</v>
      </c>
      <c r="B200" s="2">
        <v>1323199</v>
      </c>
      <c r="C200" s="2" t="s">
        <v>206</v>
      </c>
      <c r="D200" s="15" t="s">
        <v>711</v>
      </c>
      <c r="E200" s="2" t="s">
        <v>1242</v>
      </c>
      <c r="F200" s="26">
        <v>8709859500</v>
      </c>
      <c r="G200" s="26" t="s">
        <v>1864</v>
      </c>
      <c r="H200" s="2" t="s">
        <v>1140</v>
      </c>
      <c r="I200" s="2"/>
      <c r="J200" s="16" t="s">
        <v>1146</v>
      </c>
      <c r="K200" s="16"/>
      <c r="L200" s="2" t="s">
        <v>926</v>
      </c>
      <c r="M200" s="16" t="s">
        <v>958</v>
      </c>
      <c r="N200" s="16">
        <v>5.91</v>
      </c>
      <c r="O200" s="2">
        <v>7.23</v>
      </c>
      <c r="P200" s="2">
        <v>7.73</v>
      </c>
      <c r="Q200" s="16"/>
      <c r="R200" s="49"/>
      <c r="S200" s="93">
        <f t="shared" si="3"/>
        <v>6.956666666666667</v>
      </c>
    </row>
    <row r="201" spans="1:19" x14ac:dyDescent="0.3">
      <c r="A201" s="5">
        <v>200</v>
      </c>
      <c r="B201" s="2">
        <v>1323200</v>
      </c>
      <c r="C201" s="2" t="s">
        <v>207</v>
      </c>
      <c r="D201" s="15" t="s">
        <v>1493</v>
      </c>
      <c r="E201" s="2" t="s">
        <v>1228</v>
      </c>
      <c r="F201" s="26">
        <v>8814015869</v>
      </c>
      <c r="G201" s="26" t="s">
        <v>1865</v>
      </c>
      <c r="H201" s="2" t="s">
        <v>1140</v>
      </c>
      <c r="I201" s="2"/>
      <c r="J201" s="16" t="s">
        <v>1146</v>
      </c>
      <c r="K201" s="16"/>
      <c r="L201" s="2" t="s">
        <v>926</v>
      </c>
      <c r="M201" s="16">
        <v>7.39</v>
      </c>
      <c r="N201" s="16">
        <v>6.91</v>
      </c>
      <c r="O201" s="2">
        <v>7.05</v>
      </c>
      <c r="P201" s="2">
        <v>7.86</v>
      </c>
      <c r="Q201" s="16"/>
      <c r="R201" s="49"/>
      <c r="S201" s="93">
        <f t="shared" si="3"/>
        <v>7.3025000000000002</v>
      </c>
    </row>
    <row r="202" spans="1:19" x14ac:dyDescent="0.3">
      <c r="A202" s="5">
        <v>201</v>
      </c>
      <c r="B202" s="2">
        <v>1323201</v>
      </c>
      <c r="C202" s="2" t="s">
        <v>208</v>
      </c>
      <c r="D202" s="15" t="s">
        <v>1494</v>
      </c>
      <c r="E202" s="2" t="s">
        <v>1243</v>
      </c>
      <c r="F202" s="26">
        <v>8930040994</v>
      </c>
      <c r="G202" s="26" t="s">
        <v>1866</v>
      </c>
      <c r="H202" s="2" t="s">
        <v>1140</v>
      </c>
      <c r="I202" s="2"/>
      <c r="J202" s="16" t="s">
        <v>1146</v>
      </c>
      <c r="K202" s="16"/>
      <c r="L202" s="2" t="s">
        <v>926</v>
      </c>
      <c r="M202" s="16">
        <v>8.23</v>
      </c>
      <c r="N202" s="16">
        <v>8.14</v>
      </c>
      <c r="O202" s="2">
        <v>8.41</v>
      </c>
      <c r="P202" s="2">
        <v>8.41</v>
      </c>
      <c r="Q202" s="16"/>
      <c r="R202" s="49"/>
      <c r="S202" s="93">
        <f t="shared" si="3"/>
        <v>8.2974999999999994</v>
      </c>
    </row>
    <row r="203" spans="1:19" x14ac:dyDescent="0.3">
      <c r="A203" s="5">
        <v>202</v>
      </c>
      <c r="B203" s="2">
        <v>1323202</v>
      </c>
      <c r="C203" s="2" t="s">
        <v>209</v>
      </c>
      <c r="D203" s="15" t="s">
        <v>1495</v>
      </c>
      <c r="E203" s="2" t="s">
        <v>1166</v>
      </c>
      <c r="F203" s="26">
        <v>8930914967</v>
      </c>
      <c r="G203" s="26" t="s">
        <v>1867</v>
      </c>
      <c r="H203" s="2" t="s">
        <v>1140</v>
      </c>
      <c r="I203" s="2"/>
      <c r="J203" s="16"/>
      <c r="K203" s="16"/>
      <c r="L203" s="2" t="s">
        <v>926</v>
      </c>
      <c r="M203" s="16">
        <v>6.91</v>
      </c>
      <c r="N203" s="16">
        <v>6.91</v>
      </c>
      <c r="O203" s="2">
        <v>7.59</v>
      </c>
      <c r="P203" s="2">
        <v>7.3</v>
      </c>
      <c r="Q203" s="16"/>
      <c r="R203" s="49"/>
      <c r="S203" s="93">
        <f t="shared" si="3"/>
        <v>7.1775000000000002</v>
      </c>
    </row>
    <row r="204" spans="1:19" x14ac:dyDescent="0.3">
      <c r="A204" s="5">
        <v>203</v>
      </c>
      <c r="B204" s="2">
        <v>1323203</v>
      </c>
      <c r="C204" s="2" t="s">
        <v>210</v>
      </c>
      <c r="D204" s="15" t="s">
        <v>712</v>
      </c>
      <c r="E204" s="2" t="s">
        <v>1244</v>
      </c>
      <c r="F204" s="26">
        <v>8950499446</v>
      </c>
      <c r="G204" s="26" t="s">
        <v>1868</v>
      </c>
      <c r="H204" s="2" t="s">
        <v>1140</v>
      </c>
      <c r="I204" s="2"/>
      <c r="J204" s="16" t="s">
        <v>1146</v>
      </c>
      <c r="K204" s="16"/>
      <c r="L204" s="2" t="s">
        <v>926</v>
      </c>
      <c r="M204" s="16">
        <v>7.64</v>
      </c>
      <c r="N204" s="16" t="s">
        <v>953</v>
      </c>
      <c r="O204" s="2">
        <v>7.32</v>
      </c>
      <c r="P204" s="2">
        <v>7.68</v>
      </c>
      <c r="Q204" s="16"/>
      <c r="R204" s="49"/>
      <c r="S204" s="93">
        <f t="shared" si="3"/>
        <v>7.5466666666666669</v>
      </c>
    </row>
    <row r="205" spans="1:19" x14ac:dyDescent="0.3">
      <c r="A205" s="5">
        <v>204</v>
      </c>
      <c r="B205" s="2">
        <v>1323204</v>
      </c>
      <c r="C205" s="2" t="s">
        <v>211</v>
      </c>
      <c r="D205" s="15" t="s">
        <v>727</v>
      </c>
      <c r="E205" s="2" t="s">
        <v>1245</v>
      </c>
      <c r="F205" s="26">
        <v>9050848975</v>
      </c>
      <c r="G205" s="26" t="s">
        <v>1869</v>
      </c>
      <c r="H205" s="2" t="s">
        <v>1140</v>
      </c>
      <c r="I205" s="2"/>
      <c r="J205" s="16" t="s">
        <v>1146</v>
      </c>
      <c r="K205" s="16"/>
      <c r="L205" s="2" t="s">
        <v>926</v>
      </c>
      <c r="M205" s="16">
        <v>7.68</v>
      </c>
      <c r="N205" s="16">
        <v>7.91</v>
      </c>
      <c r="O205" s="2">
        <v>7.36</v>
      </c>
      <c r="P205" s="2">
        <v>7.55</v>
      </c>
      <c r="Q205" s="16"/>
      <c r="R205" s="49"/>
      <c r="S205" s="93">
        <f t="shared" si="3"/>
        <v>7.625</v>
      </c>
    </row>
    <row r="206" spans="1:19" x14ac:dyDescent="0.3">
      <c r="A206" s="5">
        <v>205</v>
      </c>
      <c r="B206" s="2">
        <v>1323205</v>
      </c>
      <c r="C206" s="2" t="s">
        <v>212</v>
      </c>
      <c r="D206" s="15" t="s">
        <v>656</v>
      </c>
      <c r="E206" s="2" t="s">
        <v>1246</v>
      </c>
      <c r="F206" s="26">
        <v>9053069564</v>
      </c>
      <c r="G206" s="26" t="s">
        <v>1870</v>
      </c>
      <c r="H206" s="2" t="s">
        <v>1140</v>
      </c>
      <c r="I206" s="2"/>
      <c r="J206" s="16" t="s">
        <v>1146</v>
      </c>
      <c r="K206" s="16"/>
      <c r="L206" s="2" t="s">
        <v>926</v>
      </c>
      <c r="M206" s="16">
        <v>8.09</v>
      </c>
      <c r="N206" s="16">
        <v>8.5500000000000007</v>
      </c>
      <c r="O206" s="2">
        <v>7.86</v>
      </c>
      <c r="P206" s="2">
        <v>8.18</v>
      </c>
      <c r="Q206" s="16"/>
      <c r="R206" s="49"/>
      <c r="S206" s="93">
        <f t="shared" si="3"/>
        <v>8.17</v>
      </c>
    </row>
    <row r="207" spans="1:19" x14ac:dyDescent="0.3">
      <c r="A207" s="5">
        <v>206</v>
      </c>
      <c r="B207" s="2">
        <v>1323206</v>
      </c>
      <c r="C207" s="2" t="s">
        <v>213</v>
      </c>
      <c r="D207" s="18" t="s">
        <v>643</v>
      </c>
      <c r="E207" s="2" t="s">
        <v>1187</v>
      </c>
      <c r="F207" s="26">
        <v>9053502469</v>
      </c>
      <c r="G207" s="26" t="s">
        <v>1871</v>
      </c>
      <c r="H207" s="2" t="s">
        <v>1140</v>
      </c>
      <c r="I207" s="2"/>
      <c r="J207" s="16" t="s">
        <v>1146</v>
      </c>
      <c r="K207" s="16"/>
      <c r="L207" s="2" t="s">
        <v>926</v>
      </c>
      <c r="M207" s="16">
        <v>8.36</v>
      </c>
      <c r="N207" s="16" t="s">
        <v>953</v>
      </c>
      <c r="O207" s="2">
        <v>8.68</v>
      </c>
      <c r="P207" s="2">
        <v>8.82</v>
      </c>
      <c r="Q207" s="16"/>
      <c r="R207" s="49"/>
      <c r="S207" s="93">
        <f t="shared" si="3"/>
        <v>8.6199999999999992</v>
      </c>
    </row>
    <row r="208" spans="1:19" x14ac:dyDescent="0.3">
      <c r="A208" s="5">
        <v>207</v>
      </c>
      <c r="B208" s="2">
        <v>1323207</v>
      </c>
      <c r="C208" s="2" t="s">
        <v>214</v>
      </c>
      <c r="D208" s="15" t="s">
        <v>1496</v>
      </c>
      <c r="E208" s="2" t="s">
        <v>1247</v>
      </c>
      <c r="F208" s="26">
        <v>9255163819</v>
      </c>
      <c r="G208" s="26" t="s">
        <v>1872</v>
      </c>
      <c r="H208" s="2" t="s">
        <v>1140</v>
      </c>
      <c r="I208" s="2"/>
      <c r="J208" s="16" t="s">
        <v>1146</v>
      </c>
      <c r="K208" s="16"/>
      <c r="L208" s="2" t="s">
        <v>926</v>
      </c>
      <c r="M208" s="16" t="s">
        <v>1632</v>
      </c>
      <c r="N208" s="16">
        <v>6.25</v>
      </c>
      <c r="O208" s="2" t="s">
        <v>2210</v>
      </c>
      <c r="P208" s="2" t="s">
        <v>2269</v>
      </c>
      <c r="Q208" s="16"/>
      <c r="R208" s="49"/>
      <c r="S208" s="93">
        <f t="shared" si="3"/>
        <v>6.25</v>
      </c>
    </row>
    <row r="209" spans="1:19" x14ac:dyDescent="0.3">
      <c r="A209" s="5">
        <v>208</v>
      </c>
      <c r="B209" s="2">
        <v>1323208</v>
      </c>
      <c r="C209" s="2" t="s">
        <v>215</v>
      </c>
      <c r="D209" s="18" t="s">
        <v>713</v>
      </c>
      <c r="E209" s="2" t="s">
        <v>1248</v>
      </c>
      <c r="F209" s="26">
        <v>6396481967</v>
      </c>
      <c r="G209" s="26" t="s">
        <v>1873</v>
      </c>
      <c r="H209" s="2" t="s">
        <v>1140</v>
      </c>
      <c r="I209" s="2"/>
      <c r="J209" s="16" t="s">
        <v>1146</v>
      </c>
      <c r="K209" s="16"/>
      <c r="L209" s="2" t="s">
        <v>926</v>
      </c>
      <c r="M209" s="16">
        <v>6.09</v>
      </c>
      <c r="N209" s="16" t="s">
        <v>1662</v>
      </c>
      <c r="O209" s="2" t="s">
        <v>2208</v>
      </c>
      <c r="P209" s="2" t="s">
        <v>2270</v>
      </c>
      <c r="Q209" s="16"/>
      <c r="R209" s="49"/>
      <c r="S209" s="93">
        <f t="shared" si="3"/>
        <v>6.09</v>
      </c>
    </row>
    <row r="210" spans="1:19" x14ac:dyDescent="0.3">
      <c r="A210" s="5">
        <v>209</v>
      </c>
      <c r="B210" s="2">
        <v>1323209</v>
      </c>
      <c r="C210" s="2" t="s">
        <v>216</v>
      </c>
      <c r="D210" s="15" t="s">
        <v>1497</v>
      </c>
      <c r="E210" s="2" t="s">
        <v>1249</v>
      </c>
      <c r="F210" s="26">
        <v>9306479615</v>
      </c>
      <c r="G210" s="26" t="s">
        <v>1874</v>
      </c>
      <c r="H210" s="2" t="s">
        <v>1140</v>
      </c>
      <c r="I210" s="2"/>
      <c r="J210" s="16" t="s">
        <v>1146</v>
      </c>
      <c r="K210" s="16"/>
      <c r="L210" s="2" t="s">
        <v>926</v>
      </c>
      <c r="M210" s="16">
        <v>7.5</v>
      </c>
      <c r="N210" s="16">
        <v>8.23</v>
      </c>
      <c r="O210" s="2">
        <v>8.82</v>
      </c>
      <c r="P210" s="2">
        <v>8.23</v>
      </c>
      <c r="Q210" s="16"/>
      <c r="R210" s="49"/>
      <c r="S210" s="93">
        <f t="shared" si="3"/>
        <v>8.1950000000000003</v>
      </c>
    </row>
    <row r="211" spans="1:19" x14ac:dyDescent="0.3">
      <c r="A211" s="5">
        <v>210</v>
      </c>
      <c r="B211" s="2">
        <v>1323210</v>
      </c>
      <c r="C211" s="2" t="s">
        <v>217</v>
      </c>
      <c r="D211" s="15" t="s">
        <v>714</v>
      </c>
      <c r="E211" s="2" t="s">
        <v>1250</v>
      </c>
      <c r="F211" s="26">
        <v>9306745757</v>
      </c>
      <c r="G211" s="26" t="s">
        <v>1875</v>
      </c>
      <c r="H211" s="2" t="s">
        <v>1140</v>
      </c>
      <c r="I211" s="2"/>
      <c r="J211" s="16" t="s">
        <v>1146</v>
      </c>
      <c r="K211" s="16"/>
      <c r="L211" s="2" t="s">
        <v>926</v>
      </c>
      <c r="M211" s="16">
        <v>7.82</v>
      </c>
      <c r="N211" s="16">
        <v>8</v>
      </c>
      <c r="O211" s="2">
        <v>8.64</v>
      </c>
      <c r="P211" s="2">
        <v>8.14</v>
      </c>
      <c r="Q211" s="16"/>
      <c r="R211" s="49"/>
      <c r="S211" s="93">
        <f t="shared" si="3"/>
        <v>8.15</v>
      </c>
    </row>
    <row r="212" spans="1:19" x14ac:dyDescent="0.3">
      <c r="A212" s="5">
        <v>211</v>
      </c>
      <c r="B212" s="2">
        <v>1323211</v>
      </c>
      <c r="C212" s="2" t="s">
        <v>218</v>
      </c>
      <c r="D212" s="15" t="s">
        <v>1498</v>
      </c>
      <c r="E212" s="2" t="s">
        <v>1251</v>
      </c>
      <c r="F212" s="26">
        <v>9350135986</v>
      </c>
      <c r="G212" s="26" t="s">
        <v>1876</v>
      </c>
      <c r="H212" s="2" t="s">
        <v>1140</v>
      </c>
      <c r="I212" s="2"/>
      <c r="J212" s="16" t="s">
        <v>1146</v>
      </c>
      <c r="K212" s="16"/>
      <c r="L212" s="2" t="s">
        <v>926</v>
      </c>
      <c r="M212" s="16">
        <v>5.86</v>
      </c>
      <c r="N212" s="16">
        <v>5.82</v>
      </c>
      <c r="O212" s="2">
        <v>6.23</v>
      </c>
      <c r="P212" s="2" t="s">
        <v>2250</v>
      </c>
      <c r="Q212" s="16"/>
      <c r="R212" s="49"/>
      <c r="S212" s="93">
        <f t="shared" si="3"/>
        <v>5.97</v>
      </c>
    </row>
    <row r="213" spans="1:19" x14ac:dyDescent="0.3">
      <c r="A213" s="5">
        <v>212</v>
      </c>
      <c r="B213" s="2">
        <v>1323212</v>
      </c>
      <c r="C213" s="2" t="s">
        <v>219</v>
      </c>
      <c r="D213" s="15" t="s">
        <v>1499</v>
      </c>
      <c r="E213" s="2" t="s">
        <v>1252</v>
      </c>
      <c r="F213" s="26"/>
      <c r="G213" s="26"/>
      <c r="H213" s="2"/>
      <c r="I213" s="2"/>
      <c r="J213" s="16"/>
      <c r="K213" s="16"/>
      <c r="L213" s="2"/>
      <c r="M213" s="16">
        <v>6.23</v>
      </c>
      <c r="N213" s="16" t="s">
        <v>953</v>
      </c>
      <c r="O213" s="2"/>
      <c r="P213" s="2"/>
      <c r="Q213" s="16"/>
      <c r="R213" s="49"/>
      <c r="S213" s="93">
        <f t="shared" si="3"/>
        <v>6.23</v>
      </c>
    </row>
    <row r="214" spans="1:19" x14ac:dyDescent="0.3">
      <c r="A214" s="5">
        <v>213</v>
      </c>
      <c r="B214" s="2">
        <v>1323213</v>
      </c>
      <c r="C214" s="2" t="s">
        <v>220</v>
      </c>
      <c r="D214" s="15" t="s">
        <v>715</v>
      </c>
      <c r="E214" s="2" t="s">
        <v>1253</v>
      </c>
      <c r="F214" s="26">
        <v>9350243679</v>
      </c>
      <c r="G214" s="26" t="s">
        <v>1877</v>
      </c>
      <c r="H214" s="2" t="s">
        <v>1140</v>
      </c>
      <c r="I214" s="2"/>
      <c r="J214" s="16" t="s">
        <v>1146</v>
      </c>
      <c r="K214" s="16"/>
      <c r="L214" s="2" t="s">
        <v>926</v>
      </c>
      <c r="M214" s="16">
        <v>9.18</v>
      </c>
      <c r="N214" s="16">
        <v>9.0500000000000007</v>
      </c>
      <c r="O214" s="2">
        <v>9.09</v>
      </c>
      <c r="P214" s="2">
        <v>9.14</v>
      </c>
      <c r="Q214" s="16"/>
      <c r="R214" s="49"/>
      <c r="S214" s="93">
        <f t="shared" si="3"/>
        <v>9.1150000000000002</v>
      </c>
    </row>
    <row r="215" spans="1:19" x14ac:dyDescent="0.3">
      <c r="A215" s="5">
        <v>214</v>
      </c>
      <c r="B215" s="2">
        <v>1323214</v>
      </c>
      <c r="C215" s="2" t="s">
        <v>221</v>
      </c>
      <c r="D215" s="15" t="s">
        <v>655</v>
      </c>
      <c r="E215" s="2" t="s">
        <v>1173</v>
      </c>
      <c r="F215" s="26">
        <v>9355723476</v>
      </c>
      <c r="G215" s="26" t="s">
        <v>1878</v>
      </c>
      <c r="H215" s="2" t="s">
        <v>1140</v>
      </c>
      <c r="I215" s="2"/>
      <c r="J215" s="16" t="s">
        <v>1146</v>
      </c>
      <c r="K215" s="16"/>
      <c r="L215" s="2" t="s">
        <v>926</v>
      </c>
      <c r="M215" s="16">
        <v>7.05</v>
      </c>
      <c r="N215" s="16" t="s">
        <v>953</v>
      </c>
      <c r="O215" s="2">
        <v>7.64</v>
      </c>
      <c r="P215" s="2">
        <v>6.34</v>
      </c>
      <c r="Q215" s="16"/>
      <c r="R215" s="49"/>
      <c r="S215" s="93">
        <f t="shared" si="3"/>
        <v>7.0100000000000007</v>
      </c>
    </row>
    <row r="216" spans="1:19" x14ac:dyDescent="0.3">
      <c r="A216" s="5">
        <v>215</v>
      </c>
      <c r="B216" s="2">
        <v>1323215</v>
      </c>
      <c r="C216" s="2" t="s">
        <v>222</v>
      </c>
      <c r="D216" s="15" t="s">
        <v>1201</v>
      </c>
      <c r="E216" s="2" t="s">
        <v>613</v>
      </c>
      <c r="F216" s="26">
        <v>9416311257</v>
      </c>
      <c r="G216" s="26" t="s">
        <v>1879</v>
      </c>
      <c r="H216" s="2" t="s">
        <v>1140</v>
      </c>
      <c r="I216" s="2"/>
      <c r="J216" s="16" t="s">
        <v>1146</v>
      </c>
      <c r="K216" s="16"/>
      <c r="L216" s="2" t="s">
        <v>926</v>
      </c>
      <c r="M216" s="16">
        <v>6.91</v>
      </c>
      <c r="N216" s="16">
        <v>7.27</v>
      </c>
      <c r="O216" s="2">
        <v>7.23</v>
      </c>
      <c r="P216" s="2">
        <v>6.57</v>
      </c>
      <c r="Q216" s="16"/>
      <c r="R216" s="49"/>
      <c r="S216" s="93">
        <f t="shared" si="3"/>
        <v>6.9950000000000001</v>
      </c>
    </row>
    <row r="217" spans="1:19" x14ac:dyDescent="0.3">
      <c r="A217" s="5">
        <v>216</v>
      </c>
      <c r="B217" s="2">
        <v>1323216</v>
      </c>
      <c r="C217" s="2" t="s">
        <v>223</v>
      </c>
      <c r="D217" s="15" t="s">
        <v>716</v>
      </c>
      <c r="E217" s="2" t="s">
        <v>1254</v>
      </c>
      <c r="F217" s="26">
        <v>9457154876</v>
      </c>
      <c r="G217" s="26" t="s">
        <v>1880</v>
      </c>
      <c r="H217" s="2" t="s">
        <v>1140</v>
      </c>
      <c r="I217" s="2"/>
      <c r="J217" s="16"/>
      <c r="K217" s="16"/>
      <c r="L217" s="2" t="s">
        <v>926</v>
      </c>
      <c r="M217" s="16" t="s">
        <v>1633</v>
      </c>
      <c r="N217" s="16" t="s">
        <v>954</v>
      </c>
      <c r="O217" s="2" t="s">
        <v>954</v>
      </c>
      <c r="P217" s="2" t="s">
        <v>954</v>
      </c>
      <c r="Q217" s="16"/>
      <c r="R217" s="49"/>
      <c r="S217" s="93" t="e">
        <f t="shared" si="3"/>
        <v>#DIV/0!</v>
      </c>
    </row>
    <row r="218" spans="1:19" x14ac:dyDescent="0.3">
      <c r="A218" s="5">
        <v>217</v>
      </c>
      <c r="B218" s="2">
        <v>1323217</v>
      </c>
      <c r="C218" s="2" t="s">
        <v>224</v>
      </c>
      <c r="D218" s="15" t="s">
        <v>1500</v>
      </c>
      <c r="E218" s="2" t="s">
        <v>1255</v>
      </c>
      <c r="F218" s="26"/>
      <c r="G218" s="26"/>
      <c r="H218" s="2"/>
      <c r="I218" s="2"/>
      <c r="J218" s="16"/>
      <c r="K218" s="16"/>
      <c r="L218" s="2"/>
      <c r="M218" s="16" t="s">
        <v>1630</v>
      </c>
      <c r="N218" s="16"/>
      <c r="O218" s="2"/>
      <c r="P218" s="2"/>
      <c r="Q218" s="16"/>
      <c r="R218" s="49"/>
      <c r="S218" s="93" t="e">
        <f t="shared" si="3"/>
        <v>#DIV/0!</v>
      </c>
    </row>
    <row r="219" spans="1:19" x14ac:dyDescent="0.3">
      <c r="A219" s="5">
        <v>218</v>
      </c>
      <c r="B219" s="2">
        <v>1323218</v>
      </c>
      <c r="C219" s="2" t="s">
        <v>225</v>
      </c>
      <c r="D219" s="15" t="s">
        <v>717</v>
      </c>
      <c r="E219" s="2" t="s">
        <v>1256</v>
      </c>
      <c r="F219" s="26">
        <v>9729367917</v>
      </c>
      <c r="G219" s="26" t="s">
        <v>1881</v>
      </c>
      <c r="H219" s="2" t="s">
        <v>1140</v>
      </c>
      <c r="I219" s="2"/>
      <c r="J219" s="16" t="s">
        <v>1146</v>
      </c>
      <c r="K219" s="16"/>
      <c r="L219" s="2" t="s">
        <v>926</v>
      </c>
      <c r="M219" s="16">
        <v>5.95</v>
      </c>
      <c r="N219" s="16">
        <v>6.48</v>
      </c>
      <c r="O219" s="2">
        <v>6.02</v>
      </c>
      <c r="P219" s="2" t="s">
        <v>2249</v>
      </c>
      <c r="Q219" s="16"/>
      <c r="R219" s="49"/>
      <c r="S219" s="93">
        <f t="shared" si="3"/>
        <v>6.1499999999999995</v>
      </c>
    </row>
    <row r="220" spans="1:19" x14ac:dyDescent="0.3">
      <c r="A220" s="5">
        <v>219</v>
      </c>
      <c r="B220" s="2">
        <v>1323219</v>
      </c>
      <c r="C220" s="2" t="s">
        <v>226</v>
      </c>
      <c r="D220" s="15" t="s">
        <v>671</v>
      </c>
      <c r="E220" s="2" t="s">
        <v>1173</v>
      </c>
      <c r="F220" s="26">
        <v>9812732732</v>
      </c>
      <c r="G220" s="26" t="s">
        <v>1882</v>
      </c>
      <c r="H220" s="2" t="s">
        <v>1140</v>
      </c>
      <c r="I220" s="2"/>
      <c r="J220" s="16" t="s">
        <v>1146</v>
      </c>
      <c r="K220" s="16"/>
      <c r="L220" s="2" t="s">
        <v>926</v>
      </c>
      <c r="M220" s="16" t="s">
        <v>1625</v>
      </c>
      <c r="N220" s="16">
        <v>6.39</v>
      </c>
      <c r="O220" s="2">
        <v>6.23</v>
      </c>
      <c r="P220" s="2">
        <v>5.91</v>
      </c>
      <c r="Q220" s="16"/>
      <c r="R220" s="49"/>
      <c r="S220" s="93">
        <f t="shared" si="3"/>
        <v>6.1766666666666667</v>
      </c>
    </row>
    <row r="221" spans="1:19" x14ac:dyDescent="0.3">
      <c r="A221" s="5">
        <v>220</v>
      </c>
      <c r="B221" s="2">
        <v>1323220</v>
      </c>
      <c r="C221" s="2" t="s">
        <v>227</v>
      </c>
      <c r="D221" s="15" t="s">
        <v>718</v>
      </c>
      <c r="E221" s="2" t="s">
        <v>1257</v>
      </c>
      <c r="F221" s="26">
        <v>9729859333</v>
      </c>
      <c r="G221" s="26" t="s">
        <v>1883</v>
      </c>
      <c r="H221" s="2" t="s">
        <v>1140</v>
      </c>
      <c r="I221" s="2"/>
      <c r="J221" s="16" t="s">
        <v>1146</v>
      </c>
      <c r="K221" s="16"/>
      <c r="L221" s="2" t="s">
        <v>926</v>
      </c>
      <c r="M221" s="16">
        <v>7.27</v>
      </c>
      <c r="N221" s="16">
        <v>7.61</v>
      </c>
      <c r="O221" s="2">
        <v>7.59</v>
      </c>
      <c r="P221" s="2" t="s">
        <v>2249</v>
      </c>
      <c r="Q221" s="16"/>
      <c r="R221" s="49"/>
      <c r="S221" s="93">
        <f t="shared" si="3"/>
        <v>7.4899999999999993</v>
      </c>
    </row>
    <row r="222" spans="1:19" x14ac:dyDescent="0.3">
      <c r="A222" s="5">
        <v>221</v>
      </c>
      <c r="B222" s="2">
        <v>1323221</v>
      </c>
      <c r="C222" s="2" t="s">
        <v>228</v>
      </c>
      <c r="D222" s="15" t="s">
        <v>719</v>
      </c>
      <c r="E222" s="2" t="s">
        <v>1125</v>
      </c>
      <c r="F222" s="26">
        <v>9896274308</v>
      </c>
      <c r="G222" s="26" t="s">
        <v>1884</v>
      </c>
      <c r="H222" s="2" t="s">
        <v>1140</v>
      </c>
      <c r="I222" s="2"/>
      <c r="J222" s="16" t="s">
        <v>1146</v>
      </c>
      <c r="K222" s="16"/>
      <c r="L222" s="2" t="s">
        <v>926</v>
      </c>
      <c r="M222" s="16">
        <v>8.27</v>
      </c>
      <c r="N222" s="16">
        <v>8.59</v>
      </c>
      <c r="O222" s="2">
        <v>8.18</v>
      </c>
      <c r="P222" s="2">
        <v>7.68</v>
      </c>
      <c r="Q222" s="16"/>
      <c r="R222" s="49"/>
      <c r="S222" s="93">
        <f t="shared" si="3"/>
        <v>8.18</v>
      </c>
    </row>
    <row r="223" spans="1:19" x14ac:dyDescent="0.3">
      <c r="A223" s="5">
        <v>222</v>
      </c>
      <c r="B223" s="2">
        <v>1323222</v>
      </c>
      <c r="C223" s="2" t="s">
        <v>229</v>
      </c>
      <c r="D223" s="15" t="s">
        <v>720</v>
      </c>
      <c r="E223" s="2" t="s">
        <v>891</v>
      </c>
      <c r="F223" s="26">
        <v>9896492818</v>
      </c>
      <c r="G223" s="26" t="s">
        <v>1885</v>
      </c>
      <c r="H223" s="2" t="s">
        <v>1140</v>
      </c>
      <c r="I223" s="2"/>
      <c r="J223" s="16" t="s">
        <v>1146</v>
      </c>
      <c r="K223" s="16"/>
      <c r="L223" s="2" t="s">
        <v>926</v>
      </c>
      <c r="M223" s="16">
        <v>7</v>
      </c>
      <c r="N223" s="16">
        <v>8.41</v>
      </c>
      <c r="O223" s="2">
        <v>8.09</v>
      </c>
      <c r="P223" s="2">
        <v>7.91</v>
      </c>
      <c r="Q223" s="16"/>
      <c r="R223" s="49"/>
      <c r="S223" s="93">
        <f t="shared" si="3"/>
        <v>7.8525</v>
      </c>
    </row>
    <row r="224" spans="1:19" x14ac:dyDescent="0.3">
      <c r="A224" s="5">
        <v>223</v>
      </c>
      <c r="B224" s="2">
        <v>1323223</v>
      </c>
      <c r="C224" s="2" t="s">
        <v>230</v>
      </c>
      <c r="D224" s="15" t="s">
        <v>721</v>
      </c>
      <c r="E224" s="2" t="s">
        <v>1258</v>
      </c>
      <c r="F224" s="26">
        <v>9905251524</v>
      </c>
      <c r="G224" s="26" t="s">
        <v>1886</v>
      </c>
      <c r="H224" s="2" t="s">
        <v>1140</v>
      </c>
      <c r="I224" s="2"/>
      <c r="J224" s="16" t="s">
        <v>1146</v>
      </c>
      <c r="K224" s="16"/>
      <c r="L224" s="2" t="s">
        <v>926</v>
      </c>
      <c r="M224" s="16">
        <v>6.27</v>
      </c>
      <c r="N224" s="16">
        <v>7.64</v>
      </c>
      <c r="O224" s="2">
        <v>7.91</v>
      </c>
      <c r="P224" s="2">
        <v>7.86</v>
      </c>
      <c r="Q224" s="16"/>
      <c r="R224" s="49"/>
      <c r="S224" s="93">
        <f t="shared" si="3"/>
        <v>7.42</v>
      </c>
    </row>
    <row r="225" spans="1:19" x14ac:dyDescent="0.3">
      <c r="A225" s="5">
        <v>224</v>
      </c>
      <c r="B225" s="2">
        <v>1323224</v>
      </c>
      <c r="C225" s="2" t="s">
        <v>231</v>
      </c>
      <c r="D225" s="15" t="s">
        <v>722</v>
      </c>
      <c r="E225" s="2" t="s">
        <v>1259</v>
      </c>
      <c r="F225" s="26">
        <v>9931441375</v>
      </c>
      <c r="G225" s="26" t="s">
        <v>1887</v>
      </c>
      <c r="H225" s="2" t="s">
        <v>1140</v>
      </c>
      <c r="I225" s="2"/>
      <c r="J225" s="16" t="s">
        <v>1146</v>
      </c>
      <c r="K225" s="16"/>
      <c r="L225" s="2" t="s">
        <v>926</v>
      </c>
      <c r="M225" s="16">
        <v>6.7</v>
      </c>
      <c r="N225" s="16">
        <v>7.14</v>
      </c>
      <c r="O225" s="2">
        <v>7.23</v>
      </c>
      <c r="P225" s="2">
        <v>6.52</v>
      </c>
      <c r="Q225" s="16"/>
      <c r="R225" s="49"/>
      <c r="S225" s="93">
        <f t="shared" si="3"/>
        <v>6.8975</v>
      </c>
    </row>
    <row r="226" spans="1:19" x14ac:dyDescent="0.3">
      <c r="A226" s="5">
        <v>225</v>
      </c>
      <c r="B226" s="2">
        <v>1323225</v>
      </c>
      <c r="C226" s="2" t="s">
        <v>232</v>
      </c>
      <c r="D226" s="15" t="s">
        <v>1501</v>
      </c>
      <c r="E226" s="2" t="s">
        <v>1169</v>
      </c>
      <c r="F226" s="26">
        <v>9991021218</v>
      </c>
      <c r="G226" s="26" t="s">
        <v>1888</v>
      </c>
      <c r="H226" s="2" t="s">
        <v>1140</v>
      </c>
      <c r="I226" s="2"/>
      <c r="J226" s="16" t="s">
        <v>1146</v>
      </c>
      <c r="K226" s="16"/>
      <c r="L226" s="2" t="s">
        <v>926</v>
      </c>
      <c r="M226" s="16" t="s">
        <v>1621</v>
      </c>
      <c r="N226" s="16">
        <v>6.59</v>
      </c>
      <c r="O226" s="2">
        <v>6.86</v>
      </c>
      <c r="P226" s="2">
        <v>6.82</v>
      </c>
      <c r="Q226" s="16"/>
      <c r="R226" s="49"/>
      <c r="S226" s="93">
        <f t="shared" si="3"/>
        <v>6.7566666666666668</v>
      </c>
    </row>
    <row r="227" spans="1:19" x14ac:dyDescent="0.3">
      <c r="A227" s="5">
        <v>226</v>
      </c>
      <c r="B227" s="2">
        <v>1323226</v>
      </c>
      <c r="C227" s="2" t="s">
        <v>233</v>
      </c>
      <c r="D227" s="15" t="s">
        <v>1502</v>
      </c>
      <c r="E227" s="2" t="s">
        <v>1172</v>
      </c>
      <c r="F227" s="26">
        <v>7082374257</v>
      </c>
      <c r="G227" s="26" t="s">
        <v>1889</v>
      </c>
      <c r="H227" s="2" t="s">
        <v>1140</v>
      </c>
      <c r="I227" s="2"/>
      <c r="J227" s="16" t="s">
        <v>1146</v>
      </c>
      <c r="K227" s="16"/>
      <c r="L227" s="2" t="s">
        <v>926</v>
      </c>
      <c r="M227" s="16">
        <v>7.59</v>
      </c>
      <c r="N227" s="16">
        <v>7.64</v>
      </c>
      <c r="O227" s="2">
        <v>7.91</v>
      </c>
      <c r="P227" s="2">
        <v>7.5</v>
      </c>
      <c r="Q227" s="16"/>
      <c r="R227" s="49"/>
      <c r="S227" s="93">
        <f t="shared" si="3"/>
        <v>7.66</v>
      </c>
    </row>
    <row r="228" spans="1:19" x14ac:dyDescent="0.3">
      <c r="A228" s="5">
        <v>227</v>
      </c>
      <c r="B228" s="2">
        <v>1323227</v>
      </c>
      <c r="C228" s="2" t="s">
        <v>234</v>
      </c>
      <c r="D228" s="15" t="s">
        <v>723</v>
      </c>
      <c r="E228" s="2" t="s">
        <v>1260</v>
      </c>
      <c r="F228" s="26">
        <v>9306798882</v>
      </c>
      <c r="G228" s="26" t="s">
        <v>1890</v>
      </c>
      <c r="H228" s="2" t="s">
        <v>1140</v>
      </c>
      <c r="I228" s="2"/>
      <c r="J228" s="16" t="s">
        <v>1146</v>
      </c>
      <c r="K228" s="16"/>
      <c r="L228" s="2" t="s">
        <v>926</v>
      </c>
      <c r="M228" s="16">
        <v>7.41</v>
      </c>
      <c r="N228" s="16">
        <v>7.77</v>
      </c>
      <c r="O228" s="2">
        <v>8.18</v>
      </c>
      <c r="P228" s="2">
        <v>7.95</v>
      </c>
      <c r="Q228" s="16"/>
      <c r="R228" s="49"/>
      <c r="S228" s="93">
        <f t="shared" si="3"/>
        <v>7.8274999999999997</v>
      </c>
    </row>
    <row r="229" spans="1:19" x14ac:dyDescent="0.3">
      <c r="A229" s="5">
        <v>228</v>
      </c>
      <c r="B229" s="2">
        <v>1323228</v>
      </c>
      <c r="C229" s="2" t="s">
        <v>235</v>
      </c>
      <c r="D229" s="15" t="s">
        <v>724</v>
      </c>
      <c r="E229" s="2" t="s">
        <v>1261</v>
      </c>
      <c r="F229" s="26">
        <v>7206210245</v>
      </c>
      <c r="G229" s="26" t="s">
        <v>1891</v>
      </c>
      <c r="H229" s="2" t="s">
        <v>1140</v>
      </c>
      <c r="I229" s="2"/>
      <c r="J229" s="16" t="s">
        <v>1146</v>
      </c>
      <c r="K229" s="16"/>
      <c r="L229" s="2" t="s">
        <v>926</v>
      </c>
      <c r="M229" s="16">
        <v>6</v>
      </c>
      <c r="N229" s="16" t="s">
        <v>953</v>
      </c>
      <c r="O229" s="2" t="s">
        <v>2224</v>
      </c>
      <c r="P229" s="2" t="s">
        <v>2271</v>
      </c>
      <c r="Q229" s="16"/>
      <c r="R229" s="49"/>
      <c r="S229" s="93">
        <f t="shared" si="3"/>
        <v>6</v>
      </c>
    </row>
    <row r="230" spans="1:19" x14ac:dyDescent="0.3">
      <c r="A230" s="5">
        <v>229</v>
      </c>
      <c r="B230" s="2">
        <v>1323229</v>
      </c>
      <c r="C230" s="2" t="s">
        <v>236</v>
      </c>
      <c r="D230" s="15" t="s">
        <v>641</v>
      </c>
      <c r="E230" s="2" t="s">
        <v>963</v>
      </c>
      <c r="F230" s="26">
        <v>8307064883</v>
      </c>
      <c r="G230" s="26" t="s">
        <v>1892</v>
      </c>
      <c r="H230" s="2" t="s">
        <v>1140</v>
      </c>
      <c r="I230" s="2"/>
      <c r="J230" s="16" t="s">
        <v>1146</v>
      </c>
      <c r="K230" s="16"/>
      <c r="L230" s="2" t="s">
        <v>926</v>
      </c>
      <c r="M230" s="16" t="s">
        <v>953</v>
      </c>
      <c r="N230" s="16" t="s">
        <v>953</v>
      </c>
      <c r="O230" s="2" t="s">
        <v>2224</v>
      </c>
      <c r="P230" s="2" t="s">
        <v>2272</v>
      </c>
      <c r="Q230" s="16"/>
      <c r="R230" s="49"/>
      <c r="S230" s="93" t="e">
        <f t="shared" si="3"/>
        <v>#DIV/0!</v>
      </c>
    </row>
    <row r="231" spans="1:19" x14ac:dyDescent="0.3">
      <c r="A231" s="5">
        <v>230</v>
      </c>
      <c r="B231" s="2">
        <v>1323230</v>
      </c>
      <c r="C231" s="2" t="s">
        <v>237</v>
      </c>
      <c r="D231" s="15" t="s">
        <v>1503</v>
      </c>
      <c r="E231" s="2" t="s">
        <v>1130</v>
      </c>
      <c r="F231" s="26"/>
      <c r="G231" s="26"/>
      <c r="H231" s="2"/>
      <c r="I231" s="2"/>
      <c r="J231" s="16"/>
      <c r="K231" s="16"/>
      <c r="L231" s="2"/>
      <c r="M231" s="16" t="s">
        <v>1626</v>
      </c>
      <c r="N231" s="16" t="s">
        <v>1663</v>
      </c>
      <c r="O231" s="2"/>
      <c r="P231" s="2"/>
      <c r="Q231" s="16"/>
      <c r="R231" s="49"/>
      <c r="S231" s="93" t="e">
        <f t="shared" si="3"/>
        <v>#DIV/0!</v>
      </c>
    </row>
    <row r="232" spans="1:19" x14ac:dyDescent="0.3">
      <c r="A232" s="5">
        <v>231</v>
      </c>
      <c r="B232" s="2">
        <v>1323231</v>
      </c>
      <c r="C232" s="2" t="s">
        <v>238</v>
      </c>
      <c r="D232" s="15" t="s">
        <v>1504</v>
      </c>
      <c r="E232" s="2" t="s">
        <v>1260</v>
      </c>
      <c r="F232" s="26"/>
      <c r="G232" s="26"/>
      <c r="H232" s="2"/>
      <c r="I232" s="2"/>
      <c r="J232" s="16"/>
      <c r="K232" s="16"/>
      <c r="L232" s="2"/>
      <c r="M232" s="16" t="s">
        <v>958</v>
      </c>
      <c r="N232" s="16"/>
      <c r="O232" s="2"/>
      <c r="P232" s="2"/>
      <c r="Q232" s="16"/>
      <c r="R232" s="49"/>
      <c r="S232" s="93" t="e">
        <f t="shared" si="3"/>
        <v>#DIV/0!</v>
      </c>
    </row>
    <row r="233" spans="1:19" x14ac:dyDescent="0.3">
      <c r="A233" s="5">
        <v>232</v>
      </c>
      <c r="B233" s="2">
        <v>1323232</v>
      </c>
      <c r="C233" s="2" t="s">
        <v>239</v>
      </c>
      <c r="D233" s="15" t="s">
        <v>1505</v>
      </c>
      <c r="E233" s="2" t="s">
        <v>1158</v>
      </c>
      <c r="F233" s="26">
        <v>9350421711</v>
      </c>
      <c r="G233" s="26" t="s">
        <v>1893</v>
      </c>
      <c r="H233" s="2" t="s">
        <v>1140</v>
      </c>
      <c r="I233" s="2"/>
      <c r="J233" s="16" t="s">
        <v>1146</v>
      </c>
      <c r="K233" s="16"/>
      <c r="L233" s="2" t="s">
        <v>926</v>
      </c>
      <c r="M233" s="16">
        <v>7.86</v>
      </c>
      <c r="N233" s="16">
        <v>8.41</v>
      </c>
      <c r="O233" s="2">
        <v>7.73</v>
      </c>
      <c r="P233" s="2">
        <v>7.32</v>
      </c>
      <c r="Q233" s="16"/>
      <c r="R233" s="49"/>
      <c r="S233" s="93">
        <f t="shared" si="3"/>
        <v>7.83</v>
      </c>
    </row>
    <row r="234" spans="1:19" x14ac:dyDescent="0.3">
      <c r="A234" s="5">
        <v>233</v>
      </c>
      <c r="B234" s="2">
        <v>1323233</v>
      </c>
      <c r="C234" s="2" t="s">
        <v>240</v>
      </c>
      <c r="D234" s="15" t="s">
        <v>725</v>
      </c>
      <c r="E234" s="2" t="s">
        <v>1262</v>
      </c>
      <c r="F234" s="26">
        <v>9896129815</v>
      </c>
      <c r="G234" s="26" t="s">
        <v>1894</v>
      </c>
      <c r="H234" s="2" t="s">
        <v>1140</v>
      </c>
      <c r="I234" s="2"/>
      <c r="J234" s="16" t="s">
        <v>1146</v>
      </c>
      <c r="K234" s="16"/>
      <c r="L234" s="2" t="s">
        <v>926</v>
      </c>
      <c r="M234" s="16">
        <v>7.45</v>
      </c>
      <c r="N234" s="16" t="s">
        <v>1682</v>
      </c>
      <c r="O234" s="2">
        <v>7.14</v>
      </c>
      <c r="P234" s="2">
        <v>7.14</v>
      </c>
      <c r="Q234" s="16"/>
      <c r="R234" s="49"/>
      <c r="S234" s="93">
        <f t="shared" si="3"/>
        <v>7.2433333333333332</v>
      </c>
    </row>
    <row r="235" spans="1:19" x14ac:dyDescent="0.3">
      <c r="A235" s="5">
        <v>234</v>
      </c>
      <c r="B235" s="2">
        <v>1323234</v>
      </c>
      <c r="C235" s="2" t="s">
        <v>241</v>
      </c>
      <c r="D235" s="15" t="s">
        <v>726</v>
      </c>
      <c r="E235" s="2" t="s">
        <v>1263</v>
      </c>
      <c r="F235" s="26">
        <v>8816800791</v>
      </c>
      <c r="G235" s="26" t="s">
        <v>1895</v>
      </c>
      <c r="H235" s="2" t="s">
        <v>1140</v>
      </c>
      <c r="I235" s="2"/>
      <c r="J235" s="16" t="s">
        <v>1146</v>
      </c>
      <c r="K235" s="16"/>
      <c r="L235" s="2" t="s">
        <v>926</v>
      </c>
      <c r="M235" s="16">
        <v>7.41</v>
      </c>
      <c r="N235" s="16" t="s">
        <v>953</v>
      </c>
      <c r="O235" s="2">
        <v>7.23</v>
      </c>
      <c r="P235" s="2">
        <v>6.86</v>
      </c>
      <c r="Q235" s="16"/>
      <c r="R235" s="49"/>
      <c r="S235" s="93">
        <f t="shared" si="3"/>
        <v>7.166666666666667</v>
      </c>
    </row>
    <row r="236" spans="1:19" x14ac:dyDescent="0.3">
      <c r="A236" s="5">
        <v>235</v>
      </c>
      <c r="B236" s="2">
        <v>1323235</v>
      </c>
      <c r="C236" s="2" t="s">
        <v>242</v>
      </c>
      <c r="D236" s="15" t="s">
        <v>686</v>
      </c>
      <c r="E236" s="2" t="s">
        <v>1097</v>
      </c>
      <c r="F236" s="26"/>
      <c r="G236" s="26"/>
      <c r="H236" s="2"/>
      <c r="I236" s="2"/>
      <c r="J236" s="16"/>
      <c r="K236" s="16"/>
      <c r="L236" s="2"/>
      <c r="M236" s="16">
        <v>7.18</v>
      </c>
      <c r="N236" s="16" t="s">
        <v>953</v>
      </c>
      <c r="O236" s="2"/>
      <c r="P236" s="2"/>
      <c r="Q236" s="16"/>
      <c r="R236" s="49"/>
      <c r="S236" s="93">
        <f t="shared" si="3"/>
        <v>7.18</v>
      </c>
    </row>
    <row r="237" spans="1:19" x14ac:dyDescent="0.3">
      <c r="A237" s="5">
        <v>236</v>
      </c>
      <c r="B237" s="2">
        <v>1323236</v>
      </c>
      <c r="C237" s="2" t="s">
        <v>243</v>
      </c>
      <c r="D237" s="15" t="s">
        <v>727</v>
      </c>
      <c r="E237" s="2" t="s">
        <v>1264</v>
      </c>
      <c r="F237" s="26">
        <v>8059615547</v>
      </c>
      <c r="G237" s="26" t="s">
        <v>1896</v>
      </c>
      <c r="H237" s="2" t="s">
        <v>1140</v>
      </c>
      <c r="I237" s="2"/>
      <c r="J237" s="16" t="s">
        <v>1146</v>
      </c>
      <c r="K237" s="16"/>
      <c r="L237" s="2" t="s">
        <v>926</v>
      </c>
      <c r="M237" s="16">
        <v>6.73</v>
      </c>
      <c r="N237" s="16">
        <v>7.68</v>
      </c>
      <c r="O237" s="2">
        <v>7.64</v>
      </c>
      <c r="P237" s="2">
        <v>7.32</v>
      </c>
      <c r="Q237" s="16"/>
      <c r="R237" s="49"/>
      <c r="S237" s="93">
        <f t="shared" si="3"/>
        <v>7.3425000000000002</v>
      </c>
    </row>
    <row r="238" spans="1:19" x14ac:dyDescent="0.3">
      <c r="A238" s="5">
        <v>237</v>
      </c>
      <c r="B238" s="2">
        <v>1323237</v>
      </c>
      <c r="C238" s="2" t="s">
        <v>244</v>
      </c>
      <c r="D238" s="18" t="s">
        <v>1506</v>
      </c>
      <c r="E238" s="2" t="s">
        <v>1265</v>
      </c>
      <c r="F238" s="26">
        <v>9877779350</v>
      </c>
      <c r="G238" s="26" t="s">
        <v>1897</v>
      </c>
      <c r="H238" s="2" t="s">
        <v>1140</v>
      </c>
      <c r="I238" s="2"/>
      <c r="J238" s="16" t="s">
        <v>1146</v>
      </c>
      <c r="K238" s="16"/>
      <c r="L238" s="2" t="s">
        <v>926</v>
      </c>
      <c r="M238" s="16">
        <v>7.36</v>
      </c>
      <c r="N238" s="16">
        <v>7.86</v>
      </c>
      <c r="O238" s="2">
        <v>8.18</v>
      </c>
      <c r="P238" s="2">
        <v>7.77</v>
      </c>
      <c r="Q238" s="16"/>
      <c r="R238" s="49"/>
      <c r="S238" s="93">
        <f t="shared" si="3"/>
        <v>7.7924999999999995</v>
      </c>
    </row>
    <row r="239" spans="1:19" x14ac:dyDescent="0.3">
      <c r="A239" s="5">
        <v>238</v>
      </c>
      <c r="B239" s="2">
        <v>1323238</v>
      </c>
      <c r="C239" s="2" t="s">
        <v>245</v>
      </c>
      <c r="D239" s="15" t="s">
        <v>1507</v>
      </c>
      <c r="E239" s="2" t="s">
        <v>1266</v>
      </c>
      <c r="F239" s="26">
        <v>7206095694</v>
      </c>
      <c r="G239" s="26" t="s">
        <v>1898</v>
      </c>
      <c r="H239" s="2" t="s">
        <v>1140</v>
      </c>
      <c r="I239" s="2"/>
      <c r="J239" s="16" t="s">
        <v>1146</v>
      </c>
      <c r="K239" s="16"/>
      <c r="L239" s="2" t="s">
        <v>926</v>
      </c>
      <c r="M239" s="16">
        <v>6.98</v>
      </c>
      <c r="N239" s="16">
        <v>6.73</v>
      </c>
      <c r="O239" s="2">
        <v>6.64</v>
      </c>
      <c r="P239" s="2">
        <v>6.86</v>
      </c>
      <c r="Q239" s="16"/>
      <c r="R239" s="49"/>
      <c r="S239" s="93">
        <f t="shared" si="3"/>
        <v>6.8025000000000002</v>
      </c>
    </row>
    <row r="240" spans="1:19" x14ac:dyDescent="0.3">
      <c r="A240" s="5">
        <v>239</v>
      </c>
      <c r="B240" s="2">
        <v>1323239</v>
      </c>
      <c r="C240" s="2" t="s">
        <v>246</v>
      </c>
      <c r="D240" s="15" t="s">
        <v>1508</v>
      </c>
      <c r="E240" s="2" t="s">
        <v>1038</v>
      </c>
      <c r="F240" s="26"/>
      <c r="G240" s="26"/>
      <c r="H240" s="2"/>
      <c r="I240" s="2"/>
      <c r="J240" s="16"/>
      <c r="K240" s="16"/>
      <c r="L240" s="2"/>
      <c r="M240" s="16">
        <v>6.95</v>
      </c>
      <c r="N240" s="16" t="s">
        <v>1683</v>
      </c>
      <c r="O240" s="2"/>
      <c r="P240" s="2"/>
      <c r="Q240" s="16"/>
      <c r="R240" s="49"/>
      <c r="S240" s="93">
        <f t="shared" si="3"/>
        <v>6.95</v>
      </c>
    </row>
    <row r="241" spans="1:19" x14ac:dyDescent="0.3">
      <c r="A241" s="5">
        <v>240</v>
      </c>
      <c r="B241" s="2">
        <v>1323240</v>
      </c>
      <c r="C241" s="2" t="s">
        <v>247</v>
      </c>
      <c r="D241" s="15" t="s">
        <v>728</v>
      </c>
      <c r="E241" s="2" t="s">
        <v>1267</v>
      </c>
      <c r="F241" s="26">
        <v>8168324464</v>
      </c>
      <c r="G241" s="26" t="s">
        <v>1899</v>
      </c>
      <c r="H241" s="2" t="s">
        <v>1140</v>
      </c>
      <c r="I241" s="2"/>
      <c r="J241" s="16" t="s">
        <v>1146</v>
      </c>
      <c r="K241" s="16"/>
      <c r="L241" s="2" t="s">
        <v>926</v>
      </c>
      <c r="M241" s="16" t="s">
        <v>953</v>
      </c>
      <c r="N241" s="16">
        <v>6.02</v>
      </c>
      <c r="O241" s="2">
        <v>6.18</v>
      </c>
      <c r="P241" s="2">
        <v>6.2</v>
      </c>
      <c r="Q241" s="16"/>
      <c r="R241" s="49"/>
      <c r="S241" s="93">
        <f t="shared" si="3"/>
        <v>6.1333333333333329</v>
      </c>
    </row>
    <row r="242" spans="1:19" x14ac:dyDescent="0.3">
      <c r="A242" s="5">
        <v>241</v>
      </c>
      <c r="B242" s="2">
        <v>1323241</v>
      </c>
      <c r="C242" s="2" t="s">
        <v>248</v>
      </c>
      <c r="D242" s="15" t="s">
        <v>729</v>
      </c>
      <c r="E242" s="2" t="s">
        <v>1268</v>
      </c>
      <c r="F242" s="26">
        <v>6006538002</v>
      </c>
      <c r="G242" s="26" t="s">
        <v>1900</v>
      </c>
      <c r="H242" s="2" t="s">
        <v>1141</v>
      </c>
      <c r="I242" s="2"/>
      <c r="J242" s="16" t="s">
        <v>1145</v>
      </c>
      <c r="K242" s="16"/>
      <c r="L242" s="2" t="s">
        <v>927</v>
      </c>
      <c r="M242" s="16">
        <v>6.73</v>
      </c>
      <c r="N242" s="16">
        <v>7.14</v>
      </c>
      <c r="O242" s="2">
        <v>6.27</v>
      </c>
      <c r="P242" s="2">
        <v>7.41</v>
      </c>
      <c r="Q242" s="16"/>
      <c r="R242" s="49"/>
      <c r="S242" s="93">
        <f t="shared" si="3"/>
        <v>6.8875000000000002</v>
      </c>
    </row>
    <row r="243" spans="1:19" x14ac:dyDescent="0.3">
      <c r="A243" s="5">
        <v>242</v>
      </c>
      <c r="B243" s="2">
        <v>1323242</v>
      </c>
      <c r="C243" s="2" t="s">
        <v>249</v>
      </c>
      <c r="D243" s="15" t="s">
        <v>730</v>
      </c>
      <c r="E243" s="2" t="s">
        <v>1269</v>
      </c>
      <c r="F243" s="26">
        <v>7015453774</v>
      </c>
      <c r="G243" s="26" t="s">
        <v>1901</v>
      </c>
      <c r="H243" s="2" t="s">
        <v>1141</v>
      </c>
      <c r="I243" s="2"/>
      <c r="J243" s="16" t="s">
        <v>1145</v>
      </c>
      <c r="K243" s="16"/>
      <c r="L243" s="2" t="s">
        <v>927</v>
      </c>
      <c r="M243" s="16">
        <v>8</v>
      </c>
      <c r="N243" s="16">
        <v>8.23</v>
      </c>
      <c r="O243" s="2">
        <v>7.77</v>
      </c>
      <c r="P243" s="2">
        <v>8.91</v>
      </c>
      <c r="Q243" s="16"/>
      <c r="R243" s="49"/>
      <c r="S243" s="93">
        <f t="shared" si="3"/>
        <v>8.2274999999999991</v>
      </c>
    </row>
    <row r="244" spans="1:19" x14ac:dyDescent="0.3">
      <c r="A244" s="5">
        <v>243</v>
      </c>
      <c r="B244" s="2">
        <v>1323243</v>
      </c>
      <c r="C244" s="2" t="s">
        <v>250</v>
      </c>
      <c r="D244" s="15" t="s">
        <v>625</v>
      </c>
      <c r="E244" s="2" t="s">
        <v>1270</v>
      </c>
      <c r="F244" s="26">
        <v>7105550469</v>
      </c>
      <c r="G244" s="26" t="s">
        <v>1902</v>
      </c>
      <c r="H244" s="2" t="s">
        <v>1141</v>
      </c>
      <c r="I244" s="2"/>
      <c r="J244" s="16" t="s">
        <v>1145</v>
      </c>
      <c r="K244" s="16"/>
      <c r="L244" s="2" t="s">
        <v>927</v>
      </c>
      <c r="M244" s="16" t="s">
        <v>1634</v>
      </c>
      <c r="N244" s="16">
        <v>8.77</v>
      </c>
      <c r="O244" s="2">
        <v>7.14</v>
      </c>
      <c r="P244" s="2">
        <v>8.14</v>
      </c>
      <c r="Q244" s="16"/>
      <c r="R244" s="49"/>
      <c r="S244" s="93">
        <f t="shared" si="3"/>
        <v>8.0166666666666675</v>
      </c>
    </row>
    <row r="245" spans="1:19" x14ac:dyDescent="0.3">
      <c r="A245" s="5">
        <v>244</v>
      </c>
      <c r="B245" s="2">
        <v>1323244</v>
      </c>
      <c r="C245" s="2" t="s">
        <v>251</v>
      </c>
      <c r="D245" s="15" t="s">
        <v>1509</v>
      </c>
      <c r="E245" s="2" t="s">
        <v>1172</v>
      </c>
      <c r="F245" s="26">
        <v>7027010080</v>
      </c>
      <c r="G245" s="26" t="s">
        <v>1903</v>
      </c>
      <c r="H245" s="2" t="s">
        <v>1141</v>
      </c>
      <c r="I245" s="2"/>
      <c r="J245" s="16" t="s">
        <v>1145</v>
      </c>
      <c r="K245" s="16"/>
      <c r="L245" s="2" t="s">
        <v>927</v>
      </c>
      <c r="M245" s="16">
        <v>7.91</v>
      </c>
      <c r="N245" s="16">
        <v>7.41</v>
      </c>
      <c r="O245" s="2" t="s">
        <v>2228</v>
      </c>
      <c r="P245" s="2" t="s">
        <v>2273</v>
      </c>
      <c r="Q245" s="16"/>
      <c r="R245" s="49"/>
      <c r="S245" s="93">
        <f t="shared" si="3"/>
        <v>7.66</v>
      </c>
    </row>
    <row r="246" spans="1:19" x14ac:dyDescent="0.3">
      <c r="A246" s="5">
        <v>245</v>
      </c>
      <c r="B246" s="2">
        <v>1323245</v>
      </c>
      <c r="C246" s="2" t="s">
        <v>252</v>
      </c>
      <c r="D246" s="15" t="s">
        <v>1510</v>
      </c>
      <c r="E246" s="2" t="s">
        <v>1150</v>
      </c>
      <c r="F246" s="26">
        <v>9653577216</v>
      </c>
      <c r="G246" s="26" t="s">
        <v>1904</v>
      </c>
      <c r="H246" s="2" t="s">
        <v>1141</v>
      </c>
      <c r="I246" s="2"/>
      <c r="J246" s="16" t="s">
        <v>1145</v>
      </c>
      <c r="K246" s="16"/>
      <c r="L246" s="2" t="s">
        <v>927</v>
      </c>
      <c r="M246" s="16">
        <v>6.73</v>
      </c>
      <c r="N246" s="16">
        <v>7.27</v>
      </c>
      <c r="O246" s="2">
        <v>6.73</v>
      </c>
      <c r="P246" s="2">
        <v>6.48</v>
      </c>
      <c r="Q246" s="16"/>
      <c r="R246" s="49"/>
      <c r="S246" s="93">
        <f t="shared" si="3"/>
        <v>6.8025000000000002</v>
      </c>
    </row>
    <row r="247" spans="1:19" x14ac:dyDescent="0.3">
      <c r="A247" s="5">
        <v>246</v>
      </c>
      <c r="B247" s="2">
        <v>1323246</v>
      </c>
      <c r="C247" s="2" t="s">
        <v>253</v>
      </c>
      <c r="D247" s="15" t="s">
        <v>731</v>
      </c>
      <c r="E247" s="2" t="s">
        <v>1271</v>
      </c>
      <c r="F247" s="26">
        <v>7082245886</v>
      </c>
      <c r="G247" s="26" t="s">
        <v>1905</v>
      </c>
      <c r="H247" s="2" t="s">
        <v>1141</v>
      </c>
      <c r="I247" s="2"/>
      <c r="J247" s="16" t="s">
        <v>1145</v>
      </c>
      <c r="K247" s="16"/>
      <c r="L247" s="2" t="s">
        <v>927</v>
      </c>
      <c r="M247" s="16">
        <v>7.91</v>
      </c>
      <c r="N247" s="16">
        <v>7.5</v>
      </c>
      <c r="O247" s="2">
        <v>7.27</v>
      </c>
      <c r="P247" s="2">
        <v>8.14</v>
      </c>
      <c r="Q247" s="16"/>
      <c r="R247" s="49"/>
      <c r="S247" s="93">
        <f t="shared" si="3"/>
        <v>7.7050000000000001</v>
      </c>
    </row>
    <row r="248" spans="1:19" x14ac:dyDescent="0.3">
      <c r="A248" s="5">
        <v>247</v>
      </c>
      <c r="B248" s="2">
        <v>1323247</v>
      </c>
      <c r="C248" s="2" t="s">
        <v>254</v>
      </c>
      <c r="D248" s="18" t="s">
        <v>732</v>
      </c>
      <c r="E248" s="2" t="s">
        <v>1272</v>
      </c>
      <c r="F248" s="26">
        <v>7206394707</v>
      </c>
      <c r="G248" s="26" t="s">
        <v>1906</v>
      </c>
      <c r="H248" s="2" t="s">
        <v>1141</v>
      </c>
      <c r="I248" s="2"/>
      <c r="J248" s="16" t="s">
        <v>1145</v>
      </c>
      <c r="K248" s="16"/>
      <c r="L248" s="2" t="s">
        <v>927</v>
      </c>
      <c r="M248" s="16">
        <v>7.18</v>
      </c>
      <c r="N248" s="16">
        <v>6.75</v>
      </c>
      <c r="O248" s="2" t="s">
        <v>2208</v>
      </c>
      <c r="P248" s="2">
        <v>6.23</v>
      </c>
      <c r="Q248" s="16"/>
      <c r="R248" s="49"/>
      <c r="S248" s="93">
        <f t="shared" si="3"/>
        <v>6.72</v>
      </c>
    </row>
    <row r="249" spans="1:19" x14ac:dyDescent="0.3">
      <c r="A249" s="5">
        <v>248</v>
      </c>
      <c r="B249" s="2">
        <v>1323248</v>
      </c>
      <c r="C249" s="2" t="s">
        <v>255</v>
      </c>
      <c r="D249" s="18" t="s">
        <v>1511</v>
      </c>
      <c r="E249" s="2" t="s">
        <v>1273</v>
      </c>
      <c r="F249" s="26">
        <v>7497082866</v>
      </c>
      <c r="G249" s="26" t="s">
        <v>1907</v>
      </c>
      <c r="H249" s="2" t="s">
        <v>1141</v>
      </c>
      <c r="I249" s="2"/>
      <c r="J249" s="16" t="s">
        <v>1145</v>
      </c>
      <c r="K249" s="16"/>
      <c r="L249" s="2" t="s">
        <v>927</v>
      </c>
      <c r="M249" s="16" t="s">
        <v>1630</v>
      </c>
      <c r="N249" s="16" t="s">
        <v>1664</v>
      </c>
      <c r="O249" s="2" t="s">
        <v>953</v>
      </c>
      <c r="P249" s="2" t="s">
        <v>2274</v>
      </c>
      <c r="Q249" s="16"/>
      <c r="R249" s="49"/>
      <c r="S249" s="93" t="e">
        <f t="shared" si="3"/>
        <v>#DIV/0!</v>
      </c>
    </row>
    <row r="250" spans="1:19" x14ac:dyDescent="0.3">
      <c r="A250" s="5">
        <v>249</v>
      </c>
      <c r="B250" s="2">
        <v>1323249</v>
      </c>
      <c r="C250" s="2" t="s">
        <v>256</v>
      </c>
      <c r="D250" s="15"/>
      <c r="E250" s="2"/>
      <c r="F250" s="26"/>
      <c r="G250" s="26"/>
      <c r="H250" s="2"/>
      <c r="I250" s="2"/>
      <c r="J250" s="16"/>
      <c r="K250" s="16"/>
      <c r="L250" s="2"/>
      <c r="M250" s="16"/>
      <c r="N250" s="16"/>
      <c r="O250" s="2"/>
      <c r="P250" s="2"/>
      <c r="Q250" s="16"/>
      <c r="R250" s="49"/>
      <c r="S250" s="93" t="e">
        <f t="shared" si="3"/>
        <v>#DIV/0!</v>
      </c>
    </row>
    <row r="251" spans="1:19" x14ac:dyDescent="0.3">
      <c r="A251" s="5">
        <v>250</v>
      </c>
      <c r="B251" s="2">
        <v>1323250</v>
      </c>
      <c r="C251" s="2" t="s">
        <v>257</v>
      </c>
      <c r="D251" s="15" t="s">
        <v>1512</v>
      </c>
      <c r="E251" s="2" t="s">
        <v>1274</v>
      </c>
      <c r="F251" s="26"/>
      <c r="G251" s="26"/>
      <c r="H251" s="2"/>
      <c r="I251" s="2"/>
      <c r="J251" s="16"/>
      <c r="K251" s="16"/>
      <c r="L251" s="2"/>
      <c r="M251" s="16" t="s">
        <v>954</v>
      </c>
      <c r="N251" s="16"/>
      <c r="O251" s="2"/>
      <c r="P251" s="2"/>
      <c r="Q251" s="16"/>
      <c r="R251" s="49"/>
      <c r="S251" s="93" t="e">
        <f t="shared" si="3"/>
        <v>#DIV/0!</v>
      </c>
    </row>
    <row r="252" spans="1:19" x14ac:dyDescent="0.3">
      <c r="A252" s="5">
        <v>251</v>
      </c>
      <c r="B252" s="2">
        <v>1323251</v>
      </c>
      <c r="C252" s="2" t="s">
        <v>258</v>
      </c>
      <c r="D252" s="15" t="s">
        <v>1513</v>
      </c>
      <c r="E252" s="2" t="s">
        <v>1275</v>
      </c>
      <c r="F252" s="26">
        <v>8221024406</v>
      </c>
      <c r="G252" s="26" t="s">
        <v>1908</v>
      </c>
      <c r="H252" s="2" t="s">
        <v>1141</v>
      </c>
      <c r="I252" s="2"/>
      <c r="J252" s="16" t="s">
        <v>1145</v>
      </c>
      <c r="K252" s="16"/>
      <c r="L252" s="2" t="s">
        <v>927</v>
      </c>
      <c r="M252" s="16">
        <v>6.77</v>
      </c>
      <c r="N252" s="16">
        <v>8.0500000000000007</v>
      </c>
      <c r="O252" s="2">
        <v>7.39</v>
      </c>
      <c r="P252" s="2">
        <v>7.32</v>
      </c>
      <c r="Q252" s="16"/>
      <c r="R252" s="49"/>
      <c r="S252" s="93">
        <f t="shared" si="3"/>
        <v>7.3825000000000003</v>
      </c>
    </row>
    <row r="253" spans="1:19" x14ac:dyDescent="0.3">
      <c r="A253" s="5">
        <v>252</v>
      </c>
      <c r="B253" s="2">
        <v>1323252</v>
      </c>
      <c r="C253" s="2" t="s">
        <v>259</v>
      </c>
      <c r="D253" s="15" t="s">
        <v>733</v>
      </c>
      <c r="E253" s="2" t="s">
        <v>1038</v>
      </c>
      <c r="F253" s="26">
        <v>8295523361</v>
      </c>
      <c r="G253" s="26" t="s">
        <v>1909</v>
      </c>
      <c r="H253" s="2" t="s">
        <v>1141</v>
      </c>
      <c r="I253" s="2"/>
      <c r="J253" s="16" t="s">
        <v>1145</v>
      </c>
      <c r="K253" s="16"/>
      <c r="L253" s="2" t="s">
        <v>927</v>
      </c>
      <c r="M253" s="16">
        <v>8.9499999999999993</v>
      </c>
      <c r="N253" s="16">
        <v>8.41</v>
      </c>
      <c r="O253" s="2">
        <v>8.5500000000000007</v>
      </c>
      <c r="P253" s="2">
        <v>8.27</v>
      </c>
      <c r="Q253" s="16"/>
      <c r="R253" s="49"/>
      <c r="S253" s="93">
        <f t="shared" si="3"/>
        <v>8.5449999999999999</v>
      </c>
    </row>
    <row r="254" spans="1:19" x14ac:dyDescent="0.3">
      <c r="A254" s="5">
        <v>253</v>
      </c>
      <c r="B254" s="2">
        <v>1323253</v>
      </c>
      <c r="C254" s="2" t="s">
        <v>260</v>
      </c>
      <c r="D254" s="15" t="s">
        <v>621</v>
      </c>
      <c r="E254" s="2" t="s">
        <v>1276</v>
      </c>
      <c r="F254" s="26">
        <v>8295845297</v>
      </c>
      <c r="G254" s="26" t="s">
        <v>1910</v>
      </c>
      <c r="H254" s="2" t="s">
        <v>1141</v>
      </c>
      <c r="I254" s="2"/>
      <c r="J254" s="16" t="s">
        <v>1145</v>
      </c>
      <c r="K254" s="16"/>
      <c r="L254" s="2" t="s">
        <v>927</v>
      </c>
      <c r="M254" s="16" t="s">
        <v>1633</v>
      </c>
      <c r="N254" s="16" t="s">
        <v>1673</v>
      </c>
      <c r="O254" s="2" t="s">
        <v>2229</v>
      </c>
      <c r="P254" s="2" t="s">
        <v>2275</v>
      </c>
      <c r="Q254" s="16"/>
      <c r="R254" s="49"/>
      <c r="S254" s="93" t="e">
        <f t="shared" si="3"/>
        <v>#DIV/0!</v>
      </c>
    </row>
    <row r="255" spans="1:19" x14ac:dyDescent="0.3">
      <c r="A255" s="5">
        <v>254</v>
      </c>
      <c r="B255" s="2">
        <v>1323254</v>
      </c>
      <c r="C255" s="2" t="s">
        <v>261</v>
      </c>
      <c r="D255" s="18" t="s">
        <v>1514</v>
      </c>
      <c r="E255" s="2" t="s">
        <v>1277</v>
      </c>
      <c r="F255" s="26">
        <v>8307550522</v>
      </c>
      <c r="G255" s="26" t="s">
        <v>1911</v>
      </c>
      <c r="H255" s="2" t="s">
        <v>1141</v>
      </c>
      <c r="I255" s="2"/>
      <c r="J255" s="16" t="s">
        <v>1145</v>
      </c>
      <c r="K255" s="16"/>
      <c r="L255" s="2" t="s">
        <v>927</v>
      </c>
      <c r="M255" s="16">
        <v>6.95</v>
      </c>
      <c r="N255" s="16">
        <v>6.8</v>
      </c>
      <c r="O255" s="2">
        <v>7.41</v>
      </c>
      <c r="P255" s="2">
        <v>7.18</v>
      </c>
      <c r="Q255" s="16"/>
      <c r="R255" s="49"/>
      <c r="S255" s="93">
        <f t="shared" si="3"/>
        <v>7.085</v>
      </c>
    </row>
    <row r="256" spans="1:19" x14ac:dyDescent="0.3">
      <c r="A256" s="5">
        <v>255</v>
      </c>
      <c r="B256" s="2">
        <v>1323255</v>
      </c>
      <c r="C256" s="2" t="s">
        <v>262</v>
      </c>
      <c r="D256" s="15" t="s">
        <v>734</v>
      </c>
      <c r="E256" s="2" t="s">
        <v>1278</v>
      </c>
      <c r="F256" s="26">
        <v>8571023804</v>
      </c>
      <c r="G256" s="26" t="s">
        <v>1912</v>
      </c>
      <c r="H256" s="2" t="s">
        <v>1141</v>
      </c>
      <c r="I256" s="2"/>
      <c r="J256" s="16" t="s">
        <v>1145</v>
      </c>
      <c r="K256" s="16"/>
      <c r="L256" s="2" t="s">
        <v>927</v>
      </c>
      <c r="M256" s="16" t="s">
        <v>1635</v>
      </c>
      <c r="N256" s="16" t="s">
        <v>1677</v>
      </c>
      <c r="O256" s="2" t="s">
        <v>954</v>
      </c>
      <c r="P256" s="2" t="s">
        <v>2249</v>
      </c>
      <c r="Q256" s="16"/>
      <c r="R256" s="49"/>
      <c r="S256" s="93" t="e">
        <f t="shared" si="3"/>
        <v>#DIV/0!</v>
      </c>
    </row>
    <row r="257" spans="1:19" x14ac:dyDescent="0.3">
      <c r="A257" s="5">
        <v>256</v>
      </c>
      <c r="B257" s="2">
        <v>1323256</v>
      </c>
      <c r="C257" s="2" t="s">
        <v>263</v>
      </c>
      <c r="D257" s="15" t="s">
        <v>632</v>
      </c>
      <c r="E257" s="2" t="s">
        <v>1279</v>
      </c>
      <c r="F257" s="26">
        <v>8708629427</v>
      </c>
      <c r="G257" s="26" t="s">
        <v>1913</v>
      </c>
      <c r="H257" s="2" t="s">
        <v>1141</v>
      </c>
      <c r="I257" s="2"/>
      <c r="J257" s="16" t="s">
        <v>1145</v>
      </c>
      <c r="K257" s="16"/>
      <c r="L257" s="2" t="s">
        <v>927</v>
      </c>
      <c r="M257" s="16" t="s">
        <v>1634</v>
      </c>
      <c r="N257" s="16">
        <v>8.73</v>
      </c>
      <c r="O257" s="2">
        <v>8.41</v>
      </c>
      <c r="P257" s="2">
        <v>8.36</v>
      </c>
      <c r="Q257" s="16"/>
      <c r="R257" s="49"/>
      <c r="S257" s="93">
        <f t="shared" si="3"/>
        <v>8.5</v>
      </c>
    </row>
    <row r="258" spans="1:19" x14ac:dyDescent="0.3">
      <c r="A258" s="5">
        <v>257</v>
      </c>
      <c r="B258" s="2">
        <v>1323257</v>
      </c>
      <c r="C258" s="2" t="s">
        <v>264</v>
      </c>
      <c r="D258" s="15" t="s">
        <v>1515</v>
      </c>
      <c r="E258" s="2" t="s">
        <v>1079</v>
      </c>
      <c r="F258" s="26">
        <v>8901497421</v>
      </c>
      <c r="G258" s="26" t="s">
        <v>1914</v>
      </c>
      <c r="H258" s="2" t="s">
        <v>1141</v>
      </c>
      <c r="I258" s="2"/>
      <c r="J258" s="16" t="s">
        <v>1145</v>
      </c>
      <c r="K258" s="16"/>
      <c r="L258" s="2" t="s">
        <v>927</v>
      </c>
      <c r="M258" s="16">
        <v>7.55</v>
      </c>
      <c r="N258" s="16">
        <v>8.23</v>
      </c>
      <c r="O258" s="2" t="s">
        <v>2209</v>
      </c>
      <c r="P258" s="2">
        <v>8.5</v>
      </c>
      <c r="Q258" s="16"/>
      <c r="R258" s="49"/>
      <c r="S258" s="93">
        <f t="shared" ref="S258:S321" si="4">AVERAGE(M258:P258)</f>
        <v>8.0933333333333337</v>
      </c>
    </row>
    <row r="259" spans="1:19" x14ac:dyDescent="0.3">
      <c r="A259" s="5">
        <v>258</v>
      </c>
      <c r="B259" s="2">
        <v>1323258</v>
      </c>
      <c r="C259" s="2" t="s">
        <v>265</v>
      </c>
      <c r="D259" s="15" t="s">
        <v>1516</v>
      </c>
      <c r="E259" s="2" t="s">
        <v>1280</v>
      </c>
      <c r="F259" s="26">
        <v>9053721106</v>
      </c>
      <c r="G259" s="26" t="s">
        <v>1915</v>
      </c>
      <c r="H259" s="2" t="s">
        <v>1141</v>
      </c>
      <c r="I259" s="2"/>
      <c r="J259" s="16" t="s">
        <v>1145</v>
      </c>
      <c r="K259" s="16"/>
      <c r="L259" s="2" t="s">
        <v>927</v>
      </c>
      <c r="M259" s="16">
        <v>7.5</v>
      </c>
      <c r="N259" s="16">
        <v>8.23</v>
      </c>
      <c r="O259" s="2">
        <v>7.77</v>
      </c>
      <c r="P259" s="2">
        <v>8.27</v>
      </c>
      <c r="Q259" s="16"/>
      <c r="R259" s="49"/>
      <c r="S259" s="93">
        <f t="shared" si="4"/>
        <v>7.9424999999999999</v>
      </c>
    </row>
    <row r="260" spans="1:19" x14ac:dyDescent="0.3">
      <c r="A260" s="5">
        <v>259</v>
      </c>
      <c r="B260" s="2">
        <v>1323259</v>
      </c>
      <c r="C260" s="2" t="s">
        <v>266</v>
      </c>
      <c r="D260" s="15" t="s">
        <v>735</v>
      </c>
      <c r="E260" s="2" t="s">
        <v>1166</v>
      </c>
      <c r="F260" s="26">
        <v>7988486930</v>
      </c>
      <c r="G260" s="26" t="s">
        <v>1916</v>
      </c>
      <c r="H260" s="2" t="s">
        <v>1141</v>
      </c>
      <c r="I260" s="2"/>
      <c r="J260" s="16" t="s">
        <v>1145</v>
      </c>
      <c r="K260" s="16"/>
      <c r="L260" s="2" t="s">
        <v>927</v>
      </c>
      <c r="M260" s="16">
        <v>8.77</v>
      </c>
      <c r="N260" s="16">
        <v>9.23</v>
      </c>
      <c r="O260" s="2">
        <v>9.09</v>
      </c>
      <c r="P260" s="2">
        <v>8.86</v>
      </c>
      <c r="Q260" s="16"/>
      <c r="R260" s="49"/>
      <c r="S260" s="93">
        <f t="shared" si="4"/>
        <v>8.9875000000000007</v>
      </c>
    </row>
    <row r="261" spans="1:19" x14ac:dyDescent="0.3">
      <c r="A261" s="5">
        <v>260</v>
      </c>
      <c r="B261" s="2">
        <v>1323260</v>
      </c>
      <c r="C261" s="2" t="s">
        <v>267</v>
      </c>
      <c r="D261" s="15" t="s">
        <v>702</v>
      </c>
      <c r="E261" s="2" t="s">
        <v>1281</v>
      </c>
      <c r="F261" s="26">
        <v>9306394795</v>
      </c>
      <c r="G261" s="26" t="s">
        <v>1917</v>
      </c>
      <c r="H261" s="2" t="s">
        <v>1141</v>
      </c>
      <c r="I261" s="2"/>
      <c r="J261" s="16" t="s">
        <v>1145</v>
      </c>
      <c r="K261" s="16"/>
      <c r="L261" s="2" t="s">
        <v>927</v>
      </c>
      <c r="M261" s="16">
        <v>7.45</v>
      </c>
      <c r="N261" s="16">
        <v>8.5</v>
      </c>
      <c r="O261" s="2">
        <v>8.36</v>
      </c>
      <c r="P261" s="2">
        <v>8.18</v>
      </c>
      <c r="Q261" s="16"/>
      <c r="R261" s="49"/>
      <c r="S261" s="93">
        <f t="shared" si="4"/>
        <v>8.1224999999999987</v>
      </c>
    </row>
    <row r="262" spans="1:19" x14ac:dyDescent="0.3">
      <c r="A262" s="5">
        <v>261</v>
      </c>
      <c r="B262" s="2">
        <v>1323261</v>
      </c>
      <c r="C262" s="2" t="s">
        <v>268</v>
      </c>
      <c r="D262" s="15" t="s">
        <v>1517</v>
      </c>
      <c r="E262" s="2" t="s">
        <v>1282</v>
      </c>
      <c r="F262" s="26">
        <v>8708094125</v>
      </c>
      <c r="G262" s="26" t="s">
        <v>1918</v>
      </c>
      <c r="H262" s="2" t="s">
        <v>1141</v>
      </c>
      <c r="I262" s="2"/>
      <c r="J262" s="16" t="s">
        <v>1145</v>
      </c>
      <c r="K262" s="16"/>
      <c r="L262" s="2" t="s">
        <v>927</v>
      </c>
      <c r="M262" s="16">
        <v>8.18</v>
      </c>
      <c r="N262" s="16">
        <v>8.64</v>
      </c>
      <c r="O262" s="2">
        <v>8.09</v>
      </c>
      <c r="P262" s="2">
        <v>8.73</v>
      </c>
      <c r="Q262" s="16"/>
      <c r="R262" s="49"/>
      <c r="S262" s="93">
        <f t="shared" si="4"/>
        <v>8.41</v>
      </c>
    </row>
    <row r="263" spans="1:19" x14ac:dyDescent="0.3">
      <c r="A263" s="5">
        <v>262</v>
      </c>
      <c r="B263" s="2">
        <v>1323262</v>
      </c>
      <c r="C263" s="2" t="s">
        <v>269</v>
      </c>
      <c r="D263" s="15" t="s">
        <v>1518</v>
      </c>
      <c r="E263" s="2" t="s">
        <v>1113</v>
      </c>
      <c r="F263" s="26">
        <v>9350441656</v>
      </c>
      <c r="G263" s="26" t="s">
        <v>1919</v>
      </c>
      <c r="H263" s="2" t="s">
        <v>1141</v>
      </c>
      <c r="I263" s="2"/>
      <c r="J263" s="16" t="s">
        <v>1145</v>
      </c>
      <c r="K263" s="16"/>
      <c r="L263" s="2" t="s">
        <v>927</v>
      </c>
      <c r="M263" s="16">
        <v>9.09</v>
      </c>
      <c r="N263" s="16">
        <v>9.32</v>
      </c>
      <c r="O263" s="2">
        <v>9.09</v>
      </c>
      <c r="P263" s="2">
        <v>9.27</v>
      </c>
      <c r="Q263" s="16"/>
      <c r="R263" s="49"/>
      <c r="S263" s="93">
        <f t="shared" si="4"/>
        <v>9.192499999999999</v>
      </c>
    </row>
    <row r="264" spans="1:19" x14ac:dyDescent="0.3">
      <c r="A264" s="5">
        <v>263</v>
      </c>
      <c r="B264" s="2">
        <v>1323263</v>
      </c>
      <c r="C264" s="2" t="s">
        <v>270</v>
      </c>
      <c r="D264" s="15" t="s">
        <v>1519</v>
      </c>
      <c r="E264" s="2" t="s">
        <v>1201</v>
      </c>
      <c r="F264" s="26">
        <v>9354781741</v>
      </c>
      <c r="G264" s="26" t="s">
        <v>1920</v>
      </c>
      <c r="H264" s="2" t="s">
        <v>1141</v>
      </c>
      <c r="I264" s="2"/>
      <c r="J264" s="16" t="s">
        <v>1145</v>
      </c>
      <c r="K264" s="16"/>
      <c r="L264" s="2" t="s">
        <v>927</v>
      </c>
      <c r="M264" s="16">
        <v>7.36</v>
      </c>
      <c r="N264" s="16">
        <v>7.86</v>
      </c>
      <c r="O264" s="2" t="s">
        <v>2209</v>
      </c>
      <c r="P264" s="2">
        <v>7.95</v>
      </c>
      <c r="Q264" s="16"/>
      <c r="R264" s="49"/>
      <c r="S264" s="93">
        <f t="shared" si="4"/>
        <v>7.7233333333333336</v>
      </c>
    </row>
    <row r="265" spans="1:19" x14ac:dyDescent="0.3">
      <c r="A265" s="5">
        <v>264</v>
      </c>
      <c r="B265" s="2">
        <v>1323264</v>
      </c>
      <c r="C265" s="2" t="s">
        <v>271</v>
      </c>
      <c r="D265" s="15" t="s">
        <v>736</v>
      </c>
      <c r="E265" s="2" t="s">
        <v>1283</v>
      </c>
      <c r="F265" s="26">
        <v>9518852603</v>
      </c>
      <c r="G265" s="26" t="s">
        <v>1921</v>
      </c>
      <c r="H265" s="2" t="s">
        <v>1141</v>
      </c>
      <c r="I265" s="2"/>
      <c r="J265" s="16" t="s">
        <v>1145</v>
      </c>
      <c r="K265" s="16"/>
      <c r="L265" s="2" t="s">
        <v>927</v>
      </c>
      <c r="M265" s="16">
        <v>7.64</v>
      </c>
      <c r="N265" s="16">
        <v>8.5500000000000007</v>
      </c>
      <c r="O265" s="2">
        <v>9</v>
      </c>
      <c r="P265" s="2">
        <v>7.86</v>
      </c>
      <c r="Q265" s="16"/>
      <c r="R265" s="49"/>
      <c r="S265" s="93">
        <f t="shared" si="4"/>
        <v>8.2625000000000011</v>
      </c>
    </row>
    <row r="266" spans="1:19" x14ac:dyDescent="0.3">
      <c r="A266" s="5">
        <v>265</v>
      </c>
      <c r="B266" s="2">
        <v>1323265</v>
      </c>
      <c r="C266" s="2" t="s">
        <v>272</v>
      </c>
      <c r="D266" s="15" t="s">
        <v>1520</v>
      </c>
      <c r="E266" s="2" t="s">
        <v>1284</v>
      </c>
      <c r="F266" s="26">
        <v>9720272185</v>
      </c>
      <c r="G266" s="26" t="s">
        <v>1922</v>
      </c>
      <c r="H266" s="2" t="s">
        <v>1141</v>
      </c>
      <c r="I266" s="2"/>
      <c r="J266" s="16" t="s">
        <v>1145</v>
      </c>
      <c r="K266" s="16"/>
      <c r="L266" s="2" t="s">
        <v>927</v>
      </c>
      <c r="M266" s="16">
        <v>7.91</v>
      </c>
      <c r="N266" s="16">
        <v>7.95</v>
      </c>
      <c r="O266" s="2">
        <v>8.64</v>
      </c>
      <c r="P266" s="2">
        <v>8.5500000000000007</v>
      </c>
      <c r="Q266" s="16"/>
      <c r="R266" s="49"/>
      <c r="S266" s="93">
        <f t="shared" si="4"/>
        <v>8.2624999999999993</v>
      </c>
    </row>
    <row r="267" spans="1:19" x14ac:dyDescent="0.3">
      <c r="A267" s="5">
        <v>266</v>
      </c>
      <c r="B267" s="2">
        <v>1323266</v>
      </c>
      <c r="C267" s="2" t="s">
        <v>273</v>
      </c>
      <c r="D267" s="15" t="s">
        <v>1521</v>
      </c>
      <c r="E267" s="2" t="s">
        <v>1285</v>
      </c>
      <c r="F267" s="26"/>
      <c r="G267" s="26"/>
      <c r="H267" s="2" t="s">
        <v>1141</v>
      </c>
      <c r="I267" s="2"/>
      <c r="J267" s="16"/>
      <c r="K267" s="16"/>
      <c r="L267" s="2" t="s">
        <v>927</v>
      </c>
      <c r="M267" s="16">
        <v>6.95</v>
      </c>
      <c r="N267" s="16" t="s">
        <v>1662</v>
      </c>
      <c r="O267" s="2" t="s">
        <v>954</v>
      </c>
      <c r="P267" s="2"/>
      <c r="Q267" s="16"/>
      <c r="R267" s="49"/>
      <c r="S267" s="93">
        <f t="shared" si="4"/>
        <v>6.95</v>
      </c>
    </row>
    <row r="268" spans="1:19" x14ac:dyDescent="0.3">
      <c r="A268" s="5">
        <v>267</v>
      </c>
      <c r="B268" s="2">
        <v>1323267</v>
      </c>
      <c r="C268" s="2" t="s">
        <v>274</v>
      </c>
      <c r="D268" s="15" t="s">
        <v>672</v>
      </c>
      <c r="E268" s="2" t="s">
        <v>1271</v>
      </c>
      <c r="F268" s="26">
        <v>9992596654</v>
      </c>
      <c r="G268" s="26" t="s">
        <v>1923</v>
      </c>
      <c r="H268" s="2" t="s">
        <v>1141</v>
      </c>
      <c r="I268" s="2"/>
      <c r="J268" s="16" t="s">
        <v>1145</v>
      </c>
      <c r="K268" s="16"/>
      <c r="L268" s="2" t="s">
        <v>927</v>
      </c>
      <c r="M268" s="16">
        <v>8.18</v>
      </c>
      <c r="N268" s="16">
        <v>7.55</v>
      </c>
      <c r="O268" s="2">
        <v>8.27</v>
      </c>
      <c r="P268" s="2">
        <v>8.36</v>
      </c>
      <c r="Q268" s="16"/>
      <c r="R268" s="49"/>
      <c r="S268" s="93">
        <f t="shared" si="4"/>
        <v>8.09</v>
      </c>
    </row>
    <row r="269" spans="1:19" x14ac:dyDescent="0.3">
      <c r="A269" s="5">
        <v>268</v>
      </c>
      <c r="B269" s="2">
        <v>1323268</v>
      </c>
      <c r="C269" s="2" t="s">
        <v>275</v>
      </c>
      <c r="D269" s="15" t="s">
        <v>737</v>
      </c>
      <c r="E269" s="2" t="s">
        <v>938</v>
      </c>
      <c r="F269" s="26">
        <v>9306923376</v>
      </c>
      <c r="G269" s="26" t="s">
        <v>1924</v>
      </c>
      <c r="H269" s="2" t="s">
        <v>1141</v>
      </c>
      <c r="I269" s="2"/>
      <c r="J269" s="16" t="s">
        <v>1145</v>
      </c>
      <c r="K269" s="16"/>
      <c r="L269" s="2" t="s">
        <v>927</v>
      </c>
      <c r="M269" s="16">
        <v>8.59</v>
      </c>
      <c r="N269" s="16">
        <v>8.73</v>
      </c>
      <c r="O269" s="2">
        <v>7.95</v>
      </c>
      <c r="P269" s="2">
        <v>8.32</v>
      </c>
      <c r="Q269" s="16"/>
      <c r="R269" s="49"/>
      <c r="S269" s="93">
        <f t="shared" si="4"/>
        <v>8.3975000000000009</v>
      </c>
    </row>
    <row r="270" spans="1:19" x14ac:dyDescent="0.3">
      <c r="A270" s="5">
        <v>269</v>
      </c>
      <c r="B270" s="2">
        <v>1323269</v>
      </c>
      <c r="C270" s="2" t="s">
        <v>276</v>
      </c>
      <c r="D270" s="15" t="s">
        <v>1522</v>
      </c>
      <c r="E270" s="2" t="s">
        <v>1184</v>
      </c>
      <c r="F270" s="26">
        <v>7579828188</v>
      </c>
      <c r="G270" s="26" t="s">
        <v>1925</v>
      </c>
      <c r="H270" s="2" t="s">
        <v>1141</v>
      </c>
      <c r="I270" s="2"/>
      <c r="J270" s="16" t="s">
        <v>1145</v>
      </c>
      <c r="K270" s="16"/>
      <c r="L270" s="2" t="s">
        <v>927</v>
      </c>
      <c r="M270" s="16">
        <v>6.48</v>
      </c>
      <c r="N270" s="16">
        <v>6.5</v>
      </c>
      <c r="O270" s="2" t="s">
        <v>2230</v>
      </c>
      <c r="P270" s="2">
        <v>6.5</v>
      </c>
      <c r="Q270" s="16"/>
      <c r="R270" s="49"/>
      <c r="S270" s="93">
        <f t="shared" si="4"/>
        <v>6.4933333333333332</v>
      </c>
    </row>
    <row r="271" spans="1:19" x14ac:dyDescent="0.3">
      <c r="A271" s="5">
        <v>270</v>
      </c>
      <c r="B271" s="2">
        <v>1323270</v>
      </c>
      <c r="C271" s="2" t="s">
        <v>277</v>
      </c>
      <c r="D271" s="15" t="s">
        <v>1523</v>
      </c>
      <c r="E271" s="2" t="s">
        <v>613</v>
      </c>
      <c r="F271" s="26">
        <v>8307302996</v>
      </c>
      <c r="G271" s="26" t="s">
        <v>1926</v>
      </c>
      <c r="H271" s="2" t="s">
        <v>1141</v>
      </c>
      <c r="I271" s="2"/>
      <c r="J271" s="16" t="s">
        <v>1145</v>
      </c>
      <c r="K271" s="16"/>
      <c r="L271" s="2" t="s">
        <v>927</v>
      </c>
      <c r="M271" s="16">
        <v>7.77</v>
      </c>
      <c r="N271" s="16">
        <v>8.0500000000000007</v>
      </c>
      <c r="O271" s="2">
        <v>8.23</v>
      </c>
      <c r="P271" s="2">
        <v>7.86</v>
      </c>
      <c r="Q271" s="16"/>
      <c r="R271" s="49"/>
      <c r="S271" s="93">
        <f t="shared" si="4"/>
        <v>7.9775</v>
      </c>
    </row>
    <row r="272" spans="1:19" x14ac:dyDescent="0.3">
      <c r="A272" s="5">
        <v>271</v>
      </c>
      <c r="B272" s="2">
        <v>1323271</v>
      </c>
      <c r="C272" s="2" t="s">
        <v>278</v>
      </c>
      <c r="D272" s="15" t="s">
        <v>738</v>
      </c>
      <c r="E272" s="2" t="s">
        <v>1286</v>
      </c>
      <c r="F272" s="26">
        <v>7015471773</v>
      </c>
      <c r="G272" s="26" t="s">
        <v>1927</v>
      </c>
      <c r="H272" s="2" t="s">
        <v>1141</v>
      </c>
      <c r="I272" s="2"/>
      <c r="J272" s="16" t="s">
        <v>1145</v>
      </c>
      <c r="K272" s="16"/>
      <c r="L272" s="2" t="s">
        <v>927</v>
      </c>
      <c r="M272" s="16">
        <v>6.3</v>
      </c>
      <c r="N272" s="16">
        <v>5.89</v>
      </c>
      <c r="O272" s="2" t="s">
        <v>2231</v>
      </c>
      <c r="P272" s="2" t="s">
        <v>954</v>
      </c>
      <c r="Q272" s="16"/>
      <c r="R272" s="49"/>
      <c r="S272" s="93">
        <f t="shared" si="4"/>
        <v>6.0949999999999998</v>
      </c>
    </row>
    <row r="273" spans="1:19" x14ac:dyDescent="0.3">
      <c r="A273" s="5">
        <v>272</v>
      </c>
      <c r="B273" s="2">
        <v>1323272</v>
      </c>
      <c r="C273" s="2" t="s">
        <v>279</v>
      </c>
      <c r="D273" s="15" t="s">
        <v>739</v>
      </c>
      <c r="E273" s="2" t="s">
        <v>613</v>
      </c>
      <c r="F273" s="26">
        <v>9518694402</v>
      </c>
      <c r="G273" s="26" t="s">
        <v>1928</v>
      </c>
      <c r="H273" s="2" t="s">
        <v>1141</v>
      </c>
      <c r="I273" s="2"/>
      <c r="J273" s="16" t="s">
        <v>1145</v>
      </c>
      <c r="K273" s="16"/>
      <c r="L273" s="2" t="s">
        <v>927</v>
      </c>
      <c r="M273" s="16">
        <v>9.36</v>
      </c>
      <c r="N273" s="16">
        <v>9.23</v>
      </c>
      <c r="O273" s="2">
        <v>9.82</v>
      </c>
      <c r="P273" s="2">
        <v>9.18</v>
      </c>
      <c r="Q273" s="16"/>
      <c r="R273" s="49"/>
      <c r="S273" s="93">
        <f t="shared" si="4"/>
        <v>9.3975000000000009</v>
      </c>
    </row>
    <row r="274" spans="1:19" x14ac:dyDescent="0.3">
      <c r="A274" s="5">
        <v>273</v>
      </c>
      <c r="B274" s="2">
        <v>1323273</v>
      </c>
      <c r="C274" s="2" t="s">
        <v>941</v>
      </c>
      <c r="D274" s="15" t="s">
        <v>1524</v>
      </c>
      <c r="E274" s="2" t="s">
        <v>1287</v>
      </c>
      <c r="F274" s="26"/>
      <c r="G274" s="26"/>
      <c r="H274" s="2"/>
      <c r="I274" s="2"/>
      <c r="J274" s="16"/>
      <c r="K274" s="16"/>
      <c r="L274" s="2"/>
      <c r="M274" s="16">
        <v>7</v>
      </c>
      <c r="N274" s="16"/>
      <c r="O274" s="2"/>
      <c r="P274" s="2"/>
      <c r="Q274" s="16"/>
      <c r="R274" s="49"/>
      <c r="S274" s="93">
        <f t="shared" si="4"/>
        <v>7</v>
      </c>
    </row>
    <row r="275" spans="1:19" x14ac:dyDescent="0.3">
      <c r="A275" s="5">
        <v>274</v>
      </c>
      <c r="B275" s="2">
        <v>1323274</v>
      </c>
      <c r="C275" s="2" t="s">
        <v>280</v>
      </c>
      <c r="D275" s="15"/>
      <c r="E275" s="2"/>
      <c r="F275" s="26">
        <v>7082021078</v>
      </c>
      <c r="G275" s="26" t="s">
        <v>1929</v>
      </c>
      <c r="H275" s="2" t="s">
        <v>1141</v>
      </c>
      <c r="I275" s="2"/>
      <c r="J275" s="16" t="s">
        <v>1145</v>
      </c>
      <c r="K275" s="16"/>
      <c r="L275" s="2" t="s">
        <v>927</v>
      </c>
      <c r="M275" s="16"/>
      <c r="N275" s="16">
        <v>7.36</v>
      </c>
      <c r="O275" s="2" t="s">
        <v>2208</v>
      </c>
      <c r="P275" s="2">
        <v>7.25</v>
      </c>
      <c r="Q275" s="16"/>
      <c r="R275" s="49"/>
      <c r="S275" s="93">
        <f t="shared" si="4"/>
        <v>7.3049999999999997</v>
      </c>
    </row>
    <row r="276" spans="1:19" x14ac:dyDescent="0.3">
      <c r="A276" s="5">
        <v>275</v>
      </c>
      <c r="B276" s="2">
        <v>1323275</v>
      </c>
      <c r="C276" s="2" t="s">
        <v>281</v>
      </c>
      <c r="D276" s="15" t="s">
        <v>740</v>
      </c>
      <c r="E276" s="2" t="s">
        <v>1123</v>
      </c>
      <c r="F276" s="26">
        <v>7027445742</v>
      </c>
      <c r="G276" s="26" t="s">
        <v>1930</v>
      </c>
      <c r="H276" s="2" t="s">
        <v>1141</v>
      </c>
      <c r="I276" s="2"/>
      <c r="J276" s="16" t="s">
        <v>1145</v>
      </c>
      <c r="K276" s="16"/>
      <c r="L276" s="2" t="s">
        <v>927</v>
      </c>
      <c r="M276" s="16">
        <v>7.77</v>
      </c>
      <c r="N276" s="16" t="s">
        <v>1684</v>
      </c>
      <c r="O276" s="2" t="s">
        <v>2210</v>
      </c>
      <c r="P276" s="2" t="s">
        <v>2276</v>
      </c>
      <c r="Q276" s="16"/>
      <c r="R276" s="49"/>
      <c r="S276" s="93">
        <f t="shared" si="4"/>
        <v>7.77</v>
      </c>
    </row>
    <row r="277" spans="1:19" x14ac:dyDescent="0.3">
      <c r="A277" s="5">
        <v>276</v>
      </c>
      <c r="B277" s="2">
        <v>1323276</v>
      </c>
      <c r="C277" s="2" t="s">
        <v>599</v>
      </c>
      <c r="D277" s="15" t="s">
        <v>741</v>
      </c>
      <c r="E277" s="2" t="s">
        <v>1288</v>
      </c>
      <c r="F277" s="26">
        <v>7384772082</v>
      </c>
      <c r="G277" s="26" t="s">
        <v>1931</v>
      </c>
      <c r="H277" s="2" t="s">
        <v>1142</v>
      </c>
      <c r="I277" s="2"/>
      <c r="J277" s="16" t="s">
        <v>1145</v>
      </c>
      <c r="K277" s="16"/>
      <c r="L277" s="2" t="s">
        <v>928</v>
      </c>
      <c r="M277" s="16">
        <v>7</v>
      </c>
      <c r="N277" s="16" t="s">
        <v>1685</v>
      </c>
      <c r="O277" s="2" t="s">
        <v>954</v>
      </c>
      <c r="P277" s="2" t="s">
        <v>954</v>
      </c>
      <c r="Q277" s="16"/>
      <c r="R277" s="49"/>
      <c r="S277" s="93">
        <f t="shared" si="4"/>
        <v>7</v>
      </c>
    </row>
    <row r="278" spans="1:19" x14ac:dyDescent="0.3">
      <c r="A278" s="5">
        <v>277</v>
      </c>
      <c r="B278" s="2">
        <v>1323277</v>
      </c>
      <c r="C278" s="2" t="s">
        <v>282</v>
      </c>
      <c r="D278" s="15" t="s">
        <v>914</v>
      </c>
      <c r="E278" s="2" t="s">
        <v>1289</v>
      </c>
      <c r="F278" s="26">
        <v>8059774594</v>
      </c>
      <c r="G278" s="26" t="s">
        <v>1932</v>
      </c>
      <c r="H278" s="2" t="s">
        <v>1141</v>
      </c>
      <c r="I278" s="2"/>
      <c r="J278" s="16" t="s">
        <v>1145</v>
      </c>
      <c r="K278" s="16"/>
      <c r="L278" s="2" t="s">
        <v>927</v>
      </c>
      <c r="M278" s="16" t="s">
        <v>1636</v>
      </c>
      <c r="N278" s="16" t="s">
        <v>1661</v>
      </c>
      <c r="O278" s="2" t="s">
        <v>2212</v>
      </c>
      <c r="P278" s="2" t="s">
        <v>954</v>
      </c>
      <c r="Q278" s="16"/>
      <c r="R278" s="49"/>
      <c r="S278" s="93" t="e">
        <f t="shared" si="4"/>
        <v>#DIV/0!</v>
      </c>
    </row>
    <row r="279" spans="1:19" x14ac:dyDescent="0.3">
      <c r="A279" s="5">
        <v>278</v>
      </c>
      <c r="B279" s="2">
        <v>1323278</v>
      </c>
      <c r="C279" s="2" t="s">
        <v>283</v>
      </c>
      <c r="D279" s="15" t="s">
        <v>1525</v>
      </c>
      <c r="E279" s="2" t="s">
        <v>963</v>
      </c>
      <c r="F279" s="26">
        <v>8307414867</v>
      </c>
      <c r="G279" s="26" t="s">
        <v>1933</v>
      </c>
      <c r="H279" s="2" t="s">
        <v>1141</v>
      </c>
      <c r="I279" s="2"/>
      <c r="J279" s="16" t="s">
        <v>1145</v>
      </c>
      <c r="K279" s="16"/>
      <c r="L279" s="2" t="s">
        <v>927</v>
      </c>
      <c r="M279" s="16">
        <v>7.91</v>
      </c>
      <c r="N279" s="16">
        <v>7.82</v>
      </c>
      <c r="O279" s="2" t="s">
        <v>2212</v>
      </c>
      <c r="P279" s="2">
        <v>7.23</v>
      </c>
      <c r="Q279" s="16"/>
      <c r="R279" s="49"/>
      <c r="S279" s="93">
        <f t="shared" si="4"/>
        <v>7.6533333333333333</v>
      </c>
    </row>
    <row r="280" spans="1:19" x14ac:dyDescent="0.3">
      <c r="A280" s="5">
        <v>279</v>
      </c>
      <c r="B280" s="2">
        <v>1323279</v>
      </c>
      <c r="C280" s="2" t="s">
        <v>284</v>
      </c>
      <c r="D280" s="15" t="s">
        <v>1526</v>
      </c>
      <c r="E280" s="2" t="s">
        <v>1290</v>
      </c>
      <c r="F280" s="26">
        <v>9720595922</v>
      </c>
      <c r="G280" s="26" t="s">
        <v>1934</v>
      </c>
      <c r="H280" s="2" t="s">
        <v>1141</v>
      </c>
      <c r="I280" s="2"/>
      <c r="J280" s="16" t="s">
        <v>1145</v>
      </c>
      <c r="K280" s="16"/>
      <c r="L280" s="2" t="s">
        <v>927</v>
      </c>
      <c r="M280" s="16">
        <v>7.91</v>
      </c>
      <c r="N280" s="16">
        <v>7.91</v>
      </c>
      <c r="O280" s="2" t="s">
        <v>2232</v>
      </c>
      <c r="P280" s="2">
        <v>7.16</v>
      </c>
      <c r="Q280" s="16"/>
      <c r="R280" s="49"/>
      <c r="S280" s="93">
        <f t="shared" si="4"/>
        <v>7.66</v>
      </c>
    </row>
    <row r="281" spans="1:19" x14ac:dyDescent="0.3">
      <c r="A281" s="5">
        <v>280</v>
      </c>
      <c r="B281" s="2">
        <v>1323280</v>
      </c>
      <c r="C281" s="2" t="s">
        <v>285</v>
      </c>
      <c r="D281" s="15" t="s">
        <v>742</v>
      </c>
      <c r="E281" s="2" t="s">
        <v>1291</v>
      </c>
      <c r="F281" s="26">
        <v>7719709524</v>
      </c>
      <c r="G281" s="26" t="s">
        <v>1935</v>
      </c>
      <c r="H281" s="2" t="s">
        <v>1141</v>
      </c>
      <c r="I281" s="2"/>
      <c r="J281" s="16" t="s">
        <v>1145</v>
      </c>
      <c r="K281" s="16"/>
      <c r="L281" s="2" t="s">
        <v>927</v>
      </c>
      <c r="M281" s="16">
        <v>7.64</v>
      </c>
      <c r="N281" s="16">
        <v>8</v>
      </c>
      <c r="O281" s="2" t="s">
        <v>2221</v>
      </c>
      <c r="P281" s="2" t="s">
        <v>2268</v>
      </c>
      <c r="Q281" s="16"/>
      <c r="R281" s="49"/>
      <c r="S281" s="93">
        <f t="shared" si="4"/>
        <v>7.82</v>
      </c>
    </row>
    <row r="282" spans="1:19" x14ac:dyDescent="0.3">
      <c r="A282" s="5">
        <v>281</v>
      </c>
      <c r="B282" s="2">
        <v>1323281</v>
      </c>
      <c r="C282" s="2" t="s">
        <v>286</v>
      </c>
      <c r="D282" s="15" t="s">
        <v>743</v>
      </c>
      <c r="E282" s="2" t="s">
        <v>1292</v>
      </c>
      <c r="F282" s="26">
        <v>9518680160</v>
      </c>
      <c r="G282" s="26" t="s">
        <v>1936</v>
      </c>
      <c r="H282" s="2" t="s">
        <v>1141</v>
      </c>
      <c r="I282" s="2"/>
      <c r="J282" s="16" t="s">
        <v>1146</v>
      </c>
      <c r="K282" s="16"/>
      <c r="L282" s="2" t="s">
        <v>927</v>
      </c>
      <c r="M282" s="16">
        <v>8.0500000000000007</v>
      </c>
      <c r="N282" s="16">
        <v>9.0500000000000007</v>
      </c>
      <c r="O282" s="2">
        <v>8.9499999999999993</v>
      </c>
      <c r="P282" s="2">
        <v>8.23</v>
      </c>
      <c r="Q282" s="16"/>
      <c r="R282" s="49"/>
      <c r="S282" s="93">
        <f t="shared" si="4"/>
        <v>8.57</v>
      </c>
    </row>
    <row r="283" spans="1:19" x14ac:dyDescent="0.3">
      <c r="A283" s="5">
        <v>282</v>
      </c>
      <c r="B283" s="2">
        <v>1323282</v>
      </c>
      <c r="C283" s="2" t="s">
        <v>287</v>
      </c>
      <c r="D283" s="15" t="s">
        <v>744</v>
      </c>
      <c r="E283" s="2" t="s">
        <v>1293</v>
      </c>
      <c r="F283" s="26">
        <v>9034071715</v>
      </c>
      <c r="G283" s="26" t="s">
        <v>1937</v>
      </c>
      <c r="H283" s="2" t="s">
        <v>1141</v>
      </c>
      <c r="I283" s="2"/>
      <c r="J283" s="16" t="s">
        <v>1145</v>
      </c>
      <c r="K283" s="16"/>
      <c r="L283" s="2" t="s">
        <v>927</v>
      </c>
      <c r="M283" s="16">
        <v>7.18</v>
      </c>
      <c r="N283" s="16" t="s">
        <v>1673</v>
      </c>
      <c r="O283" s="2" t="s">
        <v>2233</v>
      </c>
      <c r="P283" s="2" t="s">
        <v>2277</v>
      </c>
      <c r="Q283" s="16"/>
      <c r="R283" s="49"/>
      <c r="S283" s="93">
        <f t="shared" si="4"/>
        <v>7.18</v>
      </c>
    </row>
    <row r="284" spans="1:19" x14ac:dyDescent="0.3">
      <c r="A284" s="5">
        <v>283</v>
      </c>
      <c r="B284" s="2">
        <v>1323283</v>
      </c>
      <c r="C284" s="2" t="s">
        <v>288</v>
      </c>
      <c r="D284" s="15" t="s">
        <v>625</v>
      </c>
      <c r="E284" s="2" t="s">
        <v>1294</v>
      </c>
      <c r="F284" s="26">
        <v>7056521722</v>
      </c>
      <c r="G284" s="26" t="s">
        <v>1938</v>
      </c>
      <c r="H284" s="2" t="s">
        <v>1141</v>
      </c>
      <c r="I284" s="2"/>
      <c r="J284" s="16" t="s">
        <v>1145</v>
      </c>
      <c r="K284" s="16"/>
      <c r="L284" s="2" t="s">
        <v>927</v>
      </c>
      <c r="M284" s="16" t="s">
        <v>958</v>
      </c>
      <c r="N284" s="16">
        <v>7.14</v>
      </c>
      <c r="O284" s="2" t="s">
        <v>2212</v>
      </c>
      <c r="P284" s="2">
        <v>6.45</v>
      </c>
      <c r="Q284" s="16"/>
      <c r="R284" s="49"/>
      <c r="S284" s="93">
        <f t="shared" si="4"/>
        <v>6.7949999999999999</v>
      </c>
    </row>
    <row r="285" spans="1:19" x14ac:dyDescent="0.3">
      <c r="A285" s="5">
        <v>284</v>
      </c>
      <c r="B285" s="2">
        <v>1323284</v>
      </c>
      <c r="C285" s="2" t="s">
        <v>289</v>
      </c>
      <c r="D285" s="15" t="s">
        <v>745</v>
      </c>
      <c r="E285" s="2" t="s">
        <v>1038</v>
      </c>
      <c r="F285" s="26">
        <v>9697288088</v>
      </c>
      <c r="G285" s="26" t="s">
        <v>1939</v>
      </c>
      <c r="H285" s="2" t="s">
        <v>1141</v>
      </c>
      <c r="I285" s="2"/>
      <c r="J285" s="16" t="s">
        <v>1145</v>
      </c>
      <c r="K285" s="16"/>
      <c r="L285" s="2" t="s">
        <v>927</v>
      </c>
      <c r="M285" s="16">
        <v>7.14</v>
      </c>
      <c r="N285" s="16">
        <v>7.45</v>
      </c>
      <c r="O285" s="2" t="s">
        <v>2208</v>
      </c>
      <c r="P285" s="2">
        <v>7.05</v>
      </c>
      <c r="Q285" s="16"/>
      <c r="R285" s="49"/>
      <c r="S285" s="93">
        <f t="shared" si="4"/>
        <v>7.2133333333333338</v>
      </c>
    </row>
    <row r="286" spans="1:19" x14ac:dyDescent="0.3">
      <c r="A286" s="5">
        <v>285</v>
      </c>
      <c r="B286" s="2">
        <v>1323285</v>
      </c>
      <c r="C286" s="2" t="s">
        <v>290</v>
      </c>
      <c r="D286" s="15" t="s">
        <v>1527</v>
      </c>
      <c r="E286" s="2" t="s">
        <v>1295</v>
      </c>
      <c r="F286" s="26">
        <v>8570023711</v>
      </c>
      <c r="G286" s="26" t="s">
        <v>1940</v>
      </c>
      <c r="H286" s="2" t="s">
        <v>1141</v>
      </c>
      <c r="I286" s="2"/>
      <c r="J286" s="16" t="s">
        <v>1145</v>
      </c>
      <c r="K286" s="16"/>
      <c r="L286" s="2" t="s">
        <v>927</v>
      </c>
      <c r="M286" s="16">
        <v>7.82</v>
      </c>
      <c r="N286" s="16">
        <v>7.64</v>
      </c>
      <c r="O286" s="2">
        <v>6.95</v>
      </c>
      <c r="P286" s="2">
        <v>7.2</v>
      </c>
      <c r="Q286" s="16"/>
      <c r="R286" s="49"/>
      <c r="S286" s="93">
        <f t="shared" si="4"/>
        <v>7.4024999999999999</v>
      </c>
    </row>
    <row r="287" spans="1:19" x14ac:dyDescent="0.3">
      <c r="A287" s="5">
        <v>286</v>
      </c>
      <c r="B287" s="2">
        <v>1323286</v>
      </c>
      <c r="C287" s="2" t="s">
        <v>291</v>
      </c>
      <c r="D287" s="15" t="s">
        <v>746</v>
      </c>
      <c r="E287" s="2" t="s">
        <v>1113</v>
      </c>
      <c r="F287" s="26">
        <v>7027275270</v>
      </c>
      <c r="G287" s="26" t="s">
        <v>1941</v>
      </c>
      <c r="H287" s="2" t="s">
        <v>1141</v>
      </c>
      <c r="I287" s="2"/>
      <c r="J287" s="16" t="s">
        <v>1145</v>
      </c>
      <c r="K287" s="16"/>
      <c r="L287" s="2" t="s">
        <v>927</v>
      </c>
      <c r="M287" s="16">
        <v>6.66</v>
      </c>
      <c r="N287" s="16">
        <v>6.77</v>
      </c>
      <c r="O287" s="2" t="s">
        <v>2209</v>
      </c>
      <c r="P287" s="2">
        <v>6.07</v>
      </c>
      <c r="Q287" s="16"/>
      <c r="R287" s="49"/>
      <c r="S287" s="93">
        <f t="shared" si="4"/>
        <v>6.5</v>
      </c>
    </row>
    <row r="288" spans="1:19" x14ac:dyDescent="0.3">
      <c r="A288" s="5">
        <v>287</v>
      </c>
      <c r="B288" s="2">
        <v>1323287</v>
      </c>
      <c r="C288" s="2" t="s">
        <v>292</v>
      </c>
      <c r="D288" s="15" t="s">
        <v>1528</v>
      </c>
      <c r="E288" s="2" t="s">
        <v>1004</v>
      </c>
      <c r="F288" s="26">
        <v>7419832024</v>
      </c>
      <c r="G288" s="26" t="s">
        <v>1942</v>
      </c>
      <c r="H288" s="2" t="s">
        <v>1141</v>
      </c>
      <c r="I288" s="2"/>
      <c r="J288" s="16" t="s">
        <v>1145</v>
      </c>
      <c r="K288" s="16"/>
      <c r="L288" s="2" t="s">
        <v>927</v>
      </c>
      <c r="M288" s="16">
        <v>5.73</v>
      </c>
      <c r="N288" s="16">
        <v>6.64</v>
      </c>
      <c r="O288" s="2">
        <v>6.32</v>
      </c>
      <c r="P288" s="2">
        <v>6.2</v>
      </c>
      <c r="Q288" s="16"/>
      <c r="R288" s="49"/>
      <c r="S288" s="93">
        <f t="shared" si="4"/>
        <v>6.2225000000000001</v>
      </c>
    </row>
    <row r="289" spans="1:19" x14ac:dyDescent="0.3">
      <c r="A289" s="5">
        <v>288</v>
      </c>
      <c r="B289" s="2">
        <v>1323288</v>
      </c>
      <c r="C289" s="2" t="s">
        <v>293</v>
      </c>
      <c r="D289" s="15" t="s">
        <v>747</v>
      </c>
      <c r="E289" s="2" t="s">
        <v>1296</v>
      </c>
      <c r="F289" s="26">
        <v>9926250011</v>
      </c>
      <c r="G289" s="26" t="s">
        <v>1943</v>
      </c>
      <c r="H289" s="2" t="s">
        <v>1141</v>
      </c>
      <c r="I289" s="2"/>
      <c r="J289" s="16" t="s">
        <v>1145</v>
      </c>
      <c r="K289" s="16"/>
      <c r="L289" s="2" t="s">
        <v>927</v>
      </c>
      <c r="M289" s="16">
        <v>7.18</v>
      </c>
      <c r="N289" s="16">
        <v>7.5</v>
      </c>
      <c r="O289" s="2" t="s">
        <v>2208</v>
      </c>
      <c r="P289" s="2">
        <v>6.75</v>
      </c>
      <c r="Q289" s="16"/>
      <c r="R289" s="49"/>
      <c r="S289" s="93">
        <f t="shared" si="4"/>
        <v>7.1433333333333335</v>
      </c>
    </row>
    <row r="290" spans="1:19" x14ac:dyDescent="0.3">
      <c r="A290" s="5">
        <v>289</v>
      </c>
      <c r="B290" s="2">
        <v>1323289</v>
      </c>
      <c r="C290" s="2" t="s">
        <v>294</v>
      </c>
      <c r="D290" s="15" t="s">
        <v>748</v>
      </c>
      <c r="E290" s="2" t="s">
        <v>1169</v>
      </c>
      <c r="F290" s="26">
        <v>7494954017</v>
      </c>
      <c r="G290" s="26" t="s">
        <v>1944</v>
      </c>
      <c r="H290" s="2" t="s">
        <v>1141</v>
      </c>
      <c r="I290" s="2"/>
      <c r="J290" s="16"/>
      <c r="K290" s="16"/>
      <c r="L290" s="2" t="s">
        <v>927</v>
      </c>
      <c r="M290" s="16">
        <v>7</v>
      </c>
      <c r="N290" s="16">
        <v>7.64</v>
      </c>
      <c r="O290" s="2">
        <v>7.18</v>
      </c>
      <c r="P290" s="2">
        <v>6.84</v>
      </c>
      <c r="Q290" s="16"/>
      <c r="R290" s="49"/>
      <c r="S290" s="93">
        <f t="shared" si="4"/>
        <v>7.165</v>
      </c>
    </row>
    <row r="291" spans="1:19" x14ac:dyDescent="0.3">
      <c r="A291" s="5">
        <v>290</v>
      </c>
      <c r="B291" s="2">
        <v>1323290</v>
      </c>
      <c r="C291" s="2" t="s">
        <v>295</v>
      </c>
      <c r="D291" s="15" t="s">
        <v>749</v>
      </c>
      <c r="E291" s="2" t="s">
        <v>613</v>
      </c>
      <c r="F291" s="26">
        <v>9996358091</v>
      </c>
      <c r="G291" s="26" t="s">
        <v>1945</v>
      </c>
      <c r="H291" s="2" t="s">
        <v>1141</v>
      </c>
      <c r="I291" s="2"/>
      <c r="J291" s="16" t="s">
        <v>1145</v>
      </c>
      <c r="K291" s="16"/>
      <c r="L291" s="2" t="s">
        <v>927</v>
      </c>
      <c r="M291" s="16">
        <v>6.52</v>
      </c>
      <c r="N291" s="16">
        <v>5.89</v>
      </c>
      <c r="O291" s="2" t="s">
        <v>2234</v>
      </c>
      <c r="P291" s="2" t="s">
        <v>2278</v>
      </c>
      <c r="Q291" s="16"/>
      <c r="R291" s="49"/>
      <c r="S291" s="93">
        <f t="shared" si="4"/>
        <v>6.2050000000000001</v>
      </c>
    </row>
    <row r="292" spans="1:19" x14ac:dyDescent="0.3">
      <c r="A292" s="5">
        <v>291</v>
      </c>
      <c r="B292" s="2">
        <v>1323291</v>
      </c>
      <c r="C292" s="2" t="s">
        <v>296</v>
      </c>
      <c r="D292" s="15" t="s">
        <v>750</v>
      </c>
      <c r="E292" s="2" t="s">
        <v>1128</v>
      </c>
      <c r="F292" s="26">
        <v>9896297858</v>
      </c>
      <c r="G292" s="26" t="s">
        <v>1946</v>
      </c>
      <c r="H292" s="2" t="s">
        <v>1141</v>
      </c>
      <c r="I292" s="2"/>
      <c r="J292" s="16" t="s">
        <v>1145</v>
      </c>
      <c r="K292" s="16"/>
      <c r="L292" s="2" t="s">
        <v>9</v>
      </c>
      <c r="M292" s="16" t="s">
        <v>954</v>
      </c>
      <c r="N292" s="16">
        <v>6.82</v>
      </c>
      <c r="O292" s="2" t="s">
        <v>2212</v>
      </c>
      <c r="P292" s="2">
        <v>6.5</v>
      </c>
      <c r="Q292" s="16"/>
      <c r="R292" s="49"/>
      <c r="S292" s="93">
        <f t="shared" si="4"/>
        <v>6.66</v>
      </c>
    </row>
    <row r="293" spans="1:19" x14ac:dyDescent="0.3">
      <c r="A293" s="5">
        <v>292</v>
      </c>
      <c r="B293" s="2">
        <v>1323292</v>
      </c>
      <c r="C293" s="2" t="s">
        <v>297</v>
      </c>
      <c r="D293" s="15" t="s">
        <v>1529</v>
      </c>
      <c r="E293" s="2" t="s">
        <v>1297</v>
      </c>
      <c r="F293" s="26">
        <v>7060687236</v>
      </c>
      <c r="G293" s="26" t="s">
        <v>1947</v>
      </c>
      <c r="H293" s="2" t="s">
        <v>1141</v>
      </c>
      <c r="I293" s="2"/>
      <c r="J293" s="16" t="s">
        <v>1145</v>
      </c>
      <c r="K293" s="16"/>
      <c r="L293" s="2" t="s">
        <v>9</v>
      </c>
      <c r="M293" s="16" t="s">
        <v>1637</v>
      </c>
      <c r="N293" s="16" t="s">
        <v>1686</v>
      </c>
      <c r="O293" s="2" t="s">
        <v>2208</v>
      </c>
      <c r="P293" s="2">
        <v>7.3</v>
      </c>
      <c r="Q293" s="16"/>
      <c r="R293" s="49"/>
      <c r="S293" s="93">
        <f t="shared" si="4"/>
        <v>7.3</v>
      </c>
    </row>
    <row r="294" spans="1:19" x14ac:dyDescent="0.3">
      <c r="A294" s="5">
        <v>293</v>
      </c>
      <c r="B294" s="2">
        <v>1323293</v>
      </c>
      <c r="C294" s="2" t="s">
        <v>298</v>
      </c>
      <c r="D294" s="15" t="s">
        <v>1530</v>
      </c>
      <c r="E294" s="2" t="s">
        <v>1298</v>
      </c>
      <c r="F294" s="26">
        <v>8307117494</v>
      </c>
      <c r="G294" s="26" t="s">
        <v>1948</v>
      </c>
      <c r="H294" s="2" t="s">
        <v>1141</v>
      </c>
      <c r="I294" s="2"/>
      <c r="J294" s="16" t="s">
        <v>1146</v>
      </c>
      <c r="K294" s="16"/>
      <c r="L294" s="2" t="s">
        <v>9</v>
      </c>
      <c r="M294" s="16">
        <v>8.09</v>
      </c>
      <c r="N294" s="16">
        <v>7.59</v>
      </c>
      <c r="O294" s="2" t="s">
        <v>2208</v>
      </c>
      <c r="P294" s="2">
        <v>7.64</v>
      </c>
      <c r="Q294" s="16"/>
      <c r="R294" s="49"/>
      <c r="S294" s="93">
        <f t="shared" si="4"/>
        <v>7.7733333333333334</v>
      </c>
    </row>
    <row r="295" spans="1:19" x14ac:dyDescent="0.3">
      <c r="A295" s="5">
        <v>294</v>
      </c>
      <c r="B295" s="2">
        <v>1323294</v>
      </c>
      <c r="C295" s="2" t="s">
        <v>299</v>
      </c>
      <c r="D295" s="15" t="s">
        <v>751</v>
      </c>
      <c r="E295" s="2" t="s">
        <v>1210</v>
      </c>
      <c r="F295" s="26">
        <v>7496015615</v>
      </c>
      <c r="G295" s="26" t="s">
        <v>1949</v>
      </c>
      <c r="H295" s="2" t="s">
        <v>1141</v>
      </c>
      <c r="I295" s="2"/>
      <c r="J295" s="16" t="s">
        <v>1146</v>
      </c>
      <c r="K295" s="16"/>
      <c r="L295" s="2" t="s">
        <v>9</v>
      </c>
      <c r="M295" s="16">
        <v>7.09</v>
      </c>
      <c r="N295" s="16">
        <v>7.77</v>
      </c>
      <c r="O295" s="2">
        <v>7.59</v>
      </c>
      <c r="P295" s="2">
        <v>7.18</v>
      </c>
      <c r="Q295" s="16"/>
      <c r="R295" s="49"/>
      <c r="S295" s="93">
        <f t="shared" si="4"/>
        <v>7.4074999999999998</v>
      </c>
    </row>
    <row r="296" spans="1:19" x14ac:dyDescent="0.3">
      <c r="A296" s="5">
        <v>295</v>
      </c>
      <c r="B296" s="2">
        <v>1323295</v>
      </c>
      <c r="C296" s="2" t="s">
        <v>300</v>
      </c>
      <c r="D296" s="15" t="s">
        <v>752</v>
      </c>
      <c r="E296" s="2" t="s">
        <v>1299</v>
      </c>
      <c r="F296" s="26"/>
      <c r="G296" s="26"/>
      <c r="H296" s="2"/>
      <c r="I296" s="2"/>
      <c r="J296" s="16"/>
      <c r="K296" s="16"/>
      <c r="L296" s="2" t="s">
        <v>9</v>
      </c>
      <c r="M296" s="16" t="s">
        <v>1638</v>
      </c>
      <c r="N296" s="16"/>
      <c r="O296" s="2"/>
      <c r="P296" s="2"/>
      <c r="Q296" s="16"/>
      <c r="R296" s="49"/>
      <c r="S296" s="93" t="e">
        <f t="shared" si="4"/>
        <v>#DIV/0!</v>
      </c>
    </row>
    <row r="297" spans="1:19" x14ac:dyDescent="0.3">
      <c r="A297" s="5">
        <v>296</v>
      </c>
      <c r="B297" s="2">
        <v>1323296</v>
      </c>
      <c r="C297" s="2" t="s">
        <v>301</v>
      </c>
      <c r="D297" s="15" t="s">
        <v>1531</v>
      </c>
      <c r="E297" s="2" t="s">
        <v>1300</v>
      </c>
      <c r="F297" s="26">
        <v>7310664981</v>
      </c>
      <c r="G297" s="26" t="s">
        <v>1950</v>
      </c>
      <c r="H297" s="2" t="s">
        <v>1141</v>
      </c>
      <c r="I297" s="2"/>
      <c r="J297" s="16" t="s">
        <v>1146</v>
      </c>
      <c r="K297" s="16"/>
      <c r="L297" s="2" t="s">
        <v>9</v>
      </c>
      <c r="M297" s="16">
        <v>7.09</v>
      </c>
      <c r="N297" s="16">
        <v>7.09</v>
      </c>
      <c r="O297" s="2">
        <v>7.14</v>
      </c>
      <c r="P297" s="2">
        <v>6.43</v>
      </c>
      <c r="Q297" s="16"/>
      <c r="R297" s="49"/>
      <c r="S297" s="93">
        <f t="shared" si="4"/>
        <v>6.9375</v>
      </c>
    </row>
    <row r="298" spans="1:19" x14ac:dyDescent="0.3">
      <c r="A298" s="5">
        <v>297</v>
      </c>
      <c r="B298" s="2">
        <v>1323297</v>
      </c>
      <c r="C298" s="2" t="s">
        <v>302</v>
      </c>
      <c r="D298" s="15" t="s">
        <v>1532</v>
      </c>
      <c r="E298" s="2" t="s">
        <v>1301</v>
      </c>
      <c r="F298" s="26"/>
      <c r="G298" s="26"/>
      <c r="H298" s="2"/>
      <c r="I298" s="2"/>
      <c r="J298" s="16"/>
      <c r="K298" s="16"/>
      <c r="L298" s="2"/>
      <c r="M298" s="16">
        <v>6.55</v>
      </c>
      <c r="N298" s="16" t="s">
        <v>1663</v>
      </c>
      <c r="O298" s="2"/>
      <c r="P298" s="2"/>
      <c r="Q298" s="16"/>
      <c r="R298" s="49"/>
      <c r="S298" s="93">
        <f t="shared" si="4"/>
        <v>6.55</v>
      </c>
    </row>
    <row r="299" spans="1:19" x14ac:dyDescent="0.3">
      <c r="A299" s="5">
        <v>298</v>
      </c>
      <c r="B299" s="2">
        <v>1323298</v>
      </c>
      <c r="C299" s="2" t="s">
        <v>303</v>
      </c>
      <c r="D299" s="15"/>
      <c r="E299" s="2"/>
      <c r="F299" s="26"/>
      <c r="G299" s="26"/>
      <c r="H299" s="2"/>
      <c r="I299" s="2"/>
      <c r="J299" s="16"/>
      <c r="K299" s="16"/>
      <c r="L299" s="2" t="s">
        <v>929</v>
      </c>
      <c r="M299" s="16"/>
      <c r="N299" s="16"/>
      <c r="O299" s="2"/>
      <c r="P299" s="2"/>
      <c r="Q299" s="16"/>
      <c r="R299" s="49"/>
      <c r="S299" s="93" t="e">
        <f t="shared" si="4"/>
        <v>#DIV/0!</v>
      </c>
    </row>
    <row r="300" spans="1:19" x14ac:dyDescent="0.3">
      <c r="A300" s="5">
        <v>299</v>
      </c>
      <c r="B300" s="2">
        <v>1323299</v>
      </c>
      <c r="C300" s="2" t="s">
        <v>304</v>
      </c>
      <c r="D300" s="15" t="s">
        <v>703</v>
      </c>
      <c r="E300" s="2" t="s">
        <v>1038</v>
      </c>
      <c r="F300" s="26">
        <v>9416435590</v>
      </c>
      <c r="G300" s="26" t="s">
        <v>1951</v>
      </c>
      <c r="H300" s="2" t="s">
        <v>1141</v>
      </c>
      <c r="I300" s="2"/>
      <c r="J300" s="16"/>
      <c r="K300" s="16"/>
      <c r="L300" s="2" t="s">
        <v>9</v>
      </c>
      <c r="M300" s="16">
        <v>6.68</v>
      </c>
      <c r="N300" s="16" t="s">
        <v>1676</v>
      </c>
      <c r="O300" s="2" t="s">
        <v>2208</v>
      </c>
      <c r="P300" s="2" t="s">
        <v>2256</v>
      </c>
      <c r="Q300" s="16"/>
      <c r="R300" s="49"/>
      <c r="S300" s="93">
        <f t="shared" si="4"/>
        <v>6.68</v>
      </c>
    </row>
    <row r="301" spans="1:19" x14ac:dyDescent="0.3">
      <c r="A301" s="5">
        <v>300</v>
      </c>
      <c r="B301" s="2">
        <v>1323300</v>
      </c>
      <c r="C301" s="2" t="s">
        <v>305</v>
      </c>
      <c r="D301" s="15" t="s">
        <v>753</v>
      </c>
      <c r="E301" s="2" t="s">
        <v>1115</v>
      </c>
      <c r="F301" s="26">
        <v>9103887031</v>
      </c>
      <c r="G301" s="26" t="s">
        <v>1952</v>
      </c>
      <c r="H301" s="2" t="s">
        <v>1141</v>
      </c>
      <c r="I301" s="2"/>
      <c r="J301" s="16" t="s">
        <v>1146</v>
      </c>
      <c r="K301" s="16"/>
      <c r="L301" s="2" t="s">
        <v>9</v>
      </c>
      <c r="M301" s="16">
        <v>6.82</v>
      </c>
      <c r="N301" s="16">
        <v>6.68</v>
      </c>
      <c r="O301" s="2">
        <v>6.77</v>
      </c>
      <c r="P301" s="2">
        <v>7.18</v>
      </c>
      <c r="Q301" s="16"/>
      <c r="R301" s="49"/>
      <c r="S301" s="93">
        <f t="shared" si="4"/>
        <v>6.8624999999999998</v>
      </c>
    </row>
    <row r="302" spans="1:19" x14ac:dyDescent="0.3">
      <c r="A302" s="5">
        <v>301</v>
      </c>
      <c r="B302" s="2">
        <v>1323301</v>
      </c>
      <c r="C302" s="2" t="s">
        <v>306</v>
      </c>
      <c r="D302" s="15" t="s">
        <v>1533</v>
      </c>
      <c r="E302" s="2" t="s">
        <v>1302</v>
      </c>
      <c r="F302" s="26">
        <v>9817250741</v>
      </c>
      <c r="G302" s="26" t="s">
        <v>1953</v>
      </c>
      <c r="H302" s="2" t="s">
        <v>1141</v>
      </c>
      <c r="I302" s="2"/>
      <c r="J302" s="16" t="s">
        <v>1146</v>
      </c>
      <c r="K302" s="16"/>
      <c r="L302" s="2" t="s">
        <v>9</v>
      </c>
      <c r="M302" s="16" t="s">
        <v>1625</v>
      </c>
      <c r="N302" s="16">
        <v>6.14</v>
      </c>
      <c r="O302" s="2" t="s">
        <v>2208</v>
      </c>
      <c r="P302" s="2">
        <v>6.2</v>
      </c>
      <c r="Q302" s="16"/>
      <c r="R302" s="49"/>
      <c r="S302" s="93">
        <f t="shared" si="4"/>
        <v>6.17</v>
      </c>
    </row>
    <row r="303" spans="1:19" x14ac:dyDescent="0.3">
      <c r="A303" s="5">
        <v>302</v>
      </c>
      <c r="B303" s="2">
        <v>1323302</v>
      </c>
      <c r="C303" s="2" t="s">
        <v>307</v>
      </c>
      <c r="D303" s="15" t="s">
        <v>1534</v>
      </c>
      <c r="E303" s="2" t="s">
        <v>1004</v>
      </c>
      <c r="F303" s="26">
        <v>7988979886</v>
      </c>
      <c r="G303" s="26" t="s">
        <v>1954</v>
      </c>
      <c r="H303" s="2" t="s">
        <v>1141</v>
      </c>
      <c r="I303" s="2"/>
      <c r="J303" s="16" t="s">
        <v>1146</v>
      </c>
      <c r="K303" s="16"/>
      <c r="L303" s="2" t="s">
        <v>9</v>
      </c>
      <c r="M303" s="16">
        <v>7.18</v>
      </c>
      <c r="N303" s="16"/>
      <c r="O303" s="2">
        <v>7.34</v>
      </c>
      <c r="P303" s="2">
        <v>7.59</v>
      </c>
      <c r="Q303" s="16"/>
      <c r="R303" s="49"/>
      <c r="S303" s="93">
        <f t="shared" si="4"/>
        <v>7.37</v>
      </c>
    </row>
    <row r="304" spans="1:19" x14ac:dyDescent="0.3">
      <c r="A304" s="5">
        <v>303</v>
      </c>
      <c r="B304" s="2">
        <v>1323303</v>
      </c>
      <c r="C304" s="2" t="s">
        <v>308</v>
      </c>
      <c r="D304" s="15" t="s">
        <v>632</v>
      </c>
      <c r="E304" s="2" t="s">
        <v>1080</v>
      </c>
      <c r="F304" s="26"/>
      <c r="G304" s="26"/>
      <c r="H304" s="2"/>
      <c r="I304" s="2"/>
      <c r="J304" s="16"/>
      <c r="K304" s="16"/>
      <c r="L304" s="2" t="s">
        <v>8</v>
      </c>
      <c r="M304" s="16" t="s">
        <v>954</v>
      </c>
      <c r="N304" s="16">
        <v>8.09</v>
      </c>
      <c r="O304" s="2"/>
      <c r="P304" s="2"/>
      <c r="Q304" s="16"/>
      <c r="R304" s="49"/>
      <c r="S304" s="93">
        <f t="shared" si="4"/>
        <v>8.09</v>
      </c>
    </row>
    <row r="305" spans="1:19" x14ac:dyDescent="0.3">
      <c r="A305" s="5">
        <v>304</v>
      </c>
      <c r="B305" s="2">
        <v>1323304</v>
      </c>
      <c r="C305" s="2" t="s">
        <v>309</v>
      </c>
      <c r="D305" s="15" t="s">
        <v>754</v>
      </c>
      <c r="E305" s="2" t="s">
        <v>1192</v>
      </c>
      <c r="F305" s="26">
        <v>9896011557</v>
      </c>
      <c r="G305" s="26" t="s">
        <v>1955</v>
      </c>
      <c r="H305" s="2" t="s">
        <v>1141</v>
      </c>
      <c r="I305" s="2"/>
      <c r="J305" s="16" t="s">
        <v>1146</v>
      </c>
      <c r="K305" s="16"/>
      <c r="L305" s="2" t="s">
        <v>9</v>
      </c>
      <c r="M305" s="16">
        <v>7.91</v>
      </c>
      <c r="N305" s="16">
        <v>7.59</v>
      </c>
      <c r="O305" s="2">
        <v>7.32</v>
      </c>
      <c r="P305" s="2">
        <v>7.64</v>
      </c>
      <c r="Q305" s="16"/>
      <c r="R305" s="49"/>
      <c r="S305" s="93">
        <f t="shared" si="4"/>
        <v>7.6150000000000002</v>
      </c>
    </row>
    <row r="306" spans="1:19" x14ac:dyDescent="0.3">
      <c r="A306" s="5">
        <v>305</v>
      </c>
      <c r="B306" s="2">
        <v>1323305</v>
      </c>
      <c r="C306" s="2" t="s">
        <v>310</v>
      </c>
      <c r="D306" s="15" t="s">
        <v>755</v>
      </c>
      <c r="E306" s="2" t="s">
        <v>1038</v>
      </c>
      <c r="F306" s="26">
        <v>8950265326</v>
      </c>
      <c r="G306" s="26" t="s">
        <v>1956</v>
      </c>
      <c r="H306" s="2" t="s">
        <v>1141</v>
      </c>
      <c r="I306" s="2"/>
      <c r="J306" s="16" t="s">
        <v>1146</v>
      </c>
      <c r="K306" s="16"/>
      <c r="L306" s="2" t="s">
        <v>9</v>
      </c>
      <c r="M306" s="16">
        <v>6.82</v>
      </c>
      <c r="N306" s="16">
        <v>6.73</v>
      </c>
      <c r="O306" s="2" t="s">
        <v>953</v>
      </c>
      <c r="P306" s="2" t="s">
        <v>2250</v>
      </c>
      <c r="Q306" s="16"/>
      <c r="R306" s="49"/>
      <c r="S306" s="93">
        <f t="shared" si="4"/>
        <v>6.7750000000000004</v>
      </c>
    </row>
    <row r="307" spans="1:19" x14ac:dyDescent="0.3">
      <c r="A307" s="5">
        <v>306</v>
      </c>
      <c r="B307" s="2">
        <v>1323306</v>
      </c>
      <c r="C307" s="2" t="s">
        <v>311</v>
      </c>
      <c r="D307" s="15" t="s">
        <v>1535</v>
      </c>
      <c r="E307" s="2" t="s">
        <v>1125</v>
      </c>
      <c r="F307" s="26">
        <v>9817210400</v>
      </c>
      <c r="G307" s="26" t="s">
        <v>1957</v>
      </c>
      <c r="H307" s="2" t="s">
        <v>1141</v>
      </c>
      <c r="I307" s="2"/>
      <c r="J307" s="16" t="s">
        <v>1145</v>
      </c>
      <c r="K307" s="16"/>
      <c r="L307" s="2" t="s">
        <v>9</v>
      </c>
      <c r="M307" s="16">
        <v>6.32</v>
      </c>
      <c r="N307" s="16">
        <v>7.09</v>
      </c>
      <c r="O307" s="2" t="s">
        <v>953</v>
      </c>
      <c r="P307" s="2">
        <v>7.55</v>
      </c>
      <c r="Q307" s="16"/>
      <c r="R307" s="49"/>
      <c r="S307" s="93">
        <f t="shared" si="4"/>
        <v>6.9866666666666672</v>
      </c>
    </row>
    <row r="308" spans="1:19" x14ac:dyDescent="0.3">
      <c r="A308" s="5">
        <v>307</v>
      </c>
      <c r="B308" s="2">
        <v>1323307</v>
      </c>
      <c r="C308" s="2" t="s">
        <v>312</v>
      </c>
      <c r="D308" s="15" t="s">
        <v>1499</v>
      </c>
      <c r="E308" s="2" t="s">
        <v>1166</v>
      </c>
      <c r="F308" s="26">
        <v>9992838202</v>
      </c>
      <c r="G308" s="26" t="s">
        <v>1958</v>
      </c>
      <c r="H308" s="2" t="s">
        <v>1141</v>
      </c>
      <c r="I308" s="2"/>
      <c r="J308" s="16" t="s">
        <v>8</v>
      </c>
      <c r="K308" s="16"/>
      <c r="L308" s="2" t="s">
        <v>9</v>
      </c>
      <c r="M308" s="16">
        <v>6.73</v>
      </c>
      <c r="N308" s="16">
        <v>6.89</v>
      </c>
      <c r="O308" s="2">
        <v>7.27</v>
      </c>
      <c r="P308" s="2">
        <v>7.91</v>
      </c>
      <c r="Q308" s="16"/>
      <c r="R308" s="49"/>
      <c r="S308" s="93">
        <f t="shared" si="4"/>
        <v>7.2</v>
      </c>
    </row>
    <row r="309" spans="1:19" x14ac:dyDescent="0.3">
      <c r="A309" s="5">
        <v>308</v>
      </c>
      <c r="B309" s="2">
        <v>1323308</v>
      </c>
      <c r="C309" s="2" t="s">
        <v>313</v>
      </c>
      <c r="D309" s="15" t="s">
        <v>1536</v>
      </c>
      <c r="E309" s="2" t="s">
        <v>1097</v>
      </c>
      <c r="F309" s="26">
        <v>9518199384</v>
      </c>
      <c r="G309" s="26" t="s">
        <v>1959</v>
      </c>
      <c r="H309" s="2" t="s">
        <v>1141</v>
      </c>
      <c r="I309" s="2"/>
      <c r="J309" s="16" t="s">
        <v>1146</v>
      </c>
      <c r="K309" s="16"/>
      <c r="L309" s="2" t="s">
        <v>9</v>
      </c>
      <c r="M309" s="16">
        <v>5.93</v>
      </c>
      <c r="N309" s="16">
        <v>6.77</v>
      </c>
      <c r="O309" s="2">
        <v>6.82</v>
      </c>
      <c r="P309" s="2">
        <v>7.68</v>
      </c>
      <c r="Q309" s="16"/>
      <c r="R309" s="49"/>
      <c r="S309" s="93">
        <f t="shared" si="4"/>
        <v>6.8</v>
      </c>
    </row>
    <row r="310" spans="1:19" x14ac:dyDescent="0.3">
      <c r="A310" s="5">
        <v>309</v>
      </c>
      <c r="B310" s="2">
        <v>1323309</v>
      </c>
      <c r="C310" s="2" t="s">
        <v>314</v>
      </c>
      <c r="D310" s="15" t="s">
        <v>756</v>
      </c>
      <c r="E310" s="2" t="s">
        <v>1303</v>
      </c>
      <c r="F310" s="26">
        <v>9812607681</v>
      </c>
      <c r="G310" s="26" t="s">
        <v>1960</v>
      </c>
      <c r="H310" s="2" t="s">
        <v>1141</v>
      </c>
      <c r="I310" s="2"/>
      <c r="J310" s="16" t="s">
        <v>1145</v>
      </c>
      <c r="K310" s="16"/>
      <c r="L310" s="2" t="s">
        <v>9</v>
      </c>
      <c r="M310" s="16" t="s">
        <v>1625</v>
      </c>
      <c r="N310" s="16">
        <v>6.27</v>
      </c>
      <c r="O310" s="2" t="s">
        <v>953</v>
      </c>
      <c r="P310" s="2">
        <v>7.45</v>
      </c>
      <c r="Q310" s="16"/>
      <c r="R310" s="49"/>
      <c r="S310" s="93">
        <f t="shared" si="4"/>
        <v>6.8599999999999994</v>
      </c>
    </row>
    <row r="311" spans="1:19" x14ac:dyDescent="0.3">
      <c r="A311" s="5">
        <v>310</v>
      </c>
      <c r="B311" s="2">
        <v>1323310</v>
      </c>
      <c r="C311" s="2" t="s">
        <v>315</v>
      </c>
      <c r="D311" s="15" t="s">
        <v>1537</v>
      </c>
      <c r="E311" s="2" t="s">
        <v>1304</v>
      </c>
      <c r="F311" s="26">
        <v>8112906729</v>
      </c>
      <c r="G311" s="26" t="s">
        <v>1961</v>
      </c>
      <c r="H311" s="2" t="s">
        <v>1141</v>
      </c>
      <c r="I311" s="2"/>
      <c r="J311" s="16" t="s">
        <v>1146</v>
      </c>
      <c r="K311" s="16"/>
      <c r="L311" s="2" t="s">
        <v>9</v>
      </c>
      <c r="M311" s="16">
        <v>8.0500000000000007</v>
      </c>
      <c r="N311" s="16">
        <v>8.27</v>
      </c>
      <c r="O311" s="2">
        <v>7.64</v>
      </c>
      <c r="P311" s="2">
        <v>7.55</v>
      </c>
      <c r="Q311" s="16"/>
      <c r="R311" s="49"/>
      <c r="S311" s="93">
        <f t="shared" si="4"/>
        <v>7.8775000000000004</v>
      </c>
    </row>
    <row r="312" spans="1:19" x14ac:dyDescent="0.3">
      <c r="A312" s="5">
        <v>311</v>
      </c>
      <c r="B312" s="2">
        <v>1323311</v>
      </c>
      <c r="C312" s="2" t="s">
        <v>316</v>
      </c>
      <c r="D312" s="15" t="s">
        <v>757</v>
      </c>
      <c r="E312" s="2" t="s">
        <v>1305</v>
      </c>
      <c r="F312" s="26">
        <v>7015836668</v>
      </c>
      <c r="G312" s="26" t="s">
        <v>1962</v>
      </c>
      <c r="H312" s="2" t="s">
        <v>1141</v>
      </c>
      <c r="I312" s="2"/>
      <c r="J312" s="16" t="s">
        <v>1146</v>
      </c>
      <c r="K312" s="16"/>
      <c r="L312" s="2" t="s">
        <v>9</v>
      </c>
      <c r="M312" s="16">
        <v>7.68</v>
      </c>
      <c r="N312" s="16">
        <v>7.32</v>
      </c>
      <c r="O312" s="2" t="s">
        <v>2224</v>
      </c>
      <c r="P312" s="2">
        <v>7.59</v>
      </c>
      <c r="Q312" s="16"/>
      <c r="R312" s="49"/>
      <c r="S312" s="93">
        <f t="shared" si="4"/>
        <v>7.53</v>
      </c>
    </row>
    <row r="313" spans="1:19" x14ac:dyDescent="0.3">
      <c r="A313" s="5">
        <v>312</v>
      </c>
      <c r="B313" s="2">
        <v>1323312</v>
      </c>
      <c r="C313" s="2" t="s">
        <v>317</v>
      </c>
      <c r="D313" s="15" t="s">
        <v>1538</v>
      </c>
      <c r="E313" s="2" t="s">
        <v>1082</v>
      </c>
      <c r="F313" s="26">
        <v>8814980343</v>
      </c>
      <c r="G313" s="26" t="s">
        <v>1963</v>
      </c>
      <c r="H313" s="2" t="s">
        <v>1141</v>
      </c>
      <c r="I313" s="2"/>
      <c r="J313" s="16" t="s">
        <v>1145</v>
      </c>
      <c r="K313" s="16"/>
      <c r="L313" s="2" t="s">
        <v>9</v>
      </c>
      <c r="M313" s="16">
        <v>7.86</v>
      </c>
      <c r="N313" s="16">
        <v>7.41</v>
      </c>
      <c r="O313" s="2" t="s">
        <v>2210</v>
      </c>
      <c r="P313" s="2">
        <v>7.91</v>
      </c>
      <c r="Q313" s="16"/>
      <c r="R313" s="49"/>
      <c r="S313" s="93">
        <f t="shared" si="4"/>
        <v>7.7266666666666666</v>
      </c>
    </row>
    <row r="314" spans="1:19" x14ac:dyDescent="0.3">
      <c r="A314" s="5">
        <v>313</v>
      </c>
      <c r="B314" s="2">
        <v>1323313</v>
      </c>
      <c r="C314" s="2" t="s">
        <v>318</v>
      </c>
      <c r="D314" s="15" t="s">
        <v>1539</v>
      </c>
      <c r="E314" s="2" t="s">
        <v>1306</v>
      </c>
      <c r="F314" s="26">
        <v>8816086683</v>
      </c>
      <c r="G314" s="26" t="s">
        <v>1964</v>
      </c>
      <c r="H314" s="2" t="s">
        <v>1141</v>
      </c>
      <c r="I314" s="2"/>
      <c r="J314" s="16" t="s">
        <v>1146</v>
      </c>
      <c r="K314" s="16"/>
      <c r="L314" s="2" t="s">
        <v>9</v>
      </c>
      <c r="M314" s="16">
        <v>7.34</v>
      </c>
      <c r="N314" s="16">
        <v>7.32</v>
      </c>
      <c r="O314" s="2">
        <v>7.39</v>
      </c>
      <c r="P314" s="2">
        <v>6.32</v>
      </c>
      <c r="Q314" s="16"/>
      <c r="R314" s="49"/>
      <c r="S314" s="93">
        <f t="shared" si="4"/>
        <v>7.0925000000000002</v>
      </c>
    </row>
    <row r="315" spans="1:19" x14ac:dyDescent="0.3">
      <c r="A315" s="5">
        <v>314</v>
      </c>
      <c r="B315" s="2">
        <v>1323314</v>
      </c>
      <c r="C315" s="2" t="s">
        <v>319</v>
      </c>
      <c r="D315" s="15" t="s">
        <v>750</v>
      </c>
      <c r="E315" s="2" t="s">
        <v>1307</v>
      </c>
      <c r="F315" s="26">
        <v>9518413019</v>
      </c>
      <c r="G315" s="26" t="s">
        <v>1965</v>
      </c>
      <c r="H315" s="2" t="s">
        <v>1141</v>
      </c>
      <c r="I315" s="2"/>
      <c r="J315" s="16" t="s">
        <v>1145</v>
      </c>
      <c r="K315" s="16"/>
      <c r="L315" s="2" t="s">
        <v>9</v>
      </c>
      <c r="M315" s="16">
        <v>6.23</v>
      </c>
      <c r="N315" s="16">
        <v>6.25</v>
      </c>
      <c r="O315" s="2" t="s">
        <v>2212</v>
      </c>
      <c r="P315" s="2" t="s">
        <v>954</v>
      </c>
      <c r="Q315" s="16"/>
      <c r="R315" s="49"/>
      <c r="S315" s="93">
        <f t="shared" si="4"/>
        <v>6.24</v>
      </c>
    </row>
    <row r="316" spans="1:19" x14ac:dyDescent="0.3">
      <c r="A316" s="5">
        <v>315</v>
      </c>
      <c r="B316" s="2">
        <v>1323315</v>
      </c>
      <c r="C316" s="2" t="s">
        <v>320</v>
      </c>
      <c r="D316" s="15" t="s">
        <v>758</v>
      </c>
      <c r="E316" s="2" t="s">
        <v>1308</v>
      </c>
      <c r="F316" s="26"/>
      <c r="G316" s="26"/>
      <c r="H316" s="2"/>
      <c r="I316" s="2"/>
      <c r="J316" s="16"/>
      <c r="K316" s="16"/>
      <c r="L316" s="2" t="s">
        <v>9</v>
      </c>
      <c r="M316" s="16" t="s">
        <v>1639</v>
      </c>
      <c r="N316" s="16" t="s">
        <v>1663</v>
      </c>
      <c r="O316" s="2"/>
      <c r="P316" s="2"/>
      <c r="Q316" s="16"/>
      <c r="R316" s="49"/>
      <c r="S316" s="93" t="e">
        <f t="shared" si="4"/>
        <v>#DIV/0!</v>
      </c>
    </row>
    <row r="317" spans="1:19" x14ac:dyDescent="0.3">
      <c r="A317" s="5">
        <v>316</v>
      </c>
      <c r="B317" s="2">
        <v>1323316</v>
      </c>
      <c r="C317" s="2" t="s">
        <v>321</v>
      </c>
      <c r="D317" s="15" t="s">
        <v>759</v>
      </c>
      <c r="E317" s="2" t="s">
        <v>1309</v>
      </c>
      <c r="F317" s="26">
        <v>9012645792</v>
      </c>
      <c r="G317" s="26" t="s">
        <v>1966</v>
      </c>
      <c r="H317" s="2" t="s">
        <v>1141</v>
      </c>
      <c r="I317" s="2"/>
      <c r="J317" s="16" t="s">
        <v>1146</v>
      </c>
      <c r="K317" s="16"/>
      <c r="L317" s="2" t="s">
        <v>9</v>
      </c>
      <c r="M317" s="16" t="s">
        <v>1625</v>
      </c>
      <c r="N317" s="16">
        <v>6.2</v>
      </c>
      <c r="O317" s="2">
        <v>6</v>
      </c>
      <c r="P317" s="2" t="s">
        <v>2250</v>
      </c>
      <c r="Q317" s="16"/>
      <c r="R317" s="49"/>
      <c r="S317" s="93">
        <f t="shared" si="4"/>
        <v>6.1</v>
      </c>
    </row>
    <row r="318" spans="1:19" x14ac:dyDescent="0.3">
      <c r="A318" s="5">
        <v>317</v>
      </c>
      <c r="B318" s="2">
        <v>1323317</v>
      </c>
      <c r="C318" s="2" t="s">
        <v>322</v>
      </c>
      <c r="D318" s="15" t="s">
        <v>1540</v>
      </c>
      <c r="E318" s="2" t="s">
        <v>1310</v>
      </c>
      <c r="F318" s="26"/>
      <c r="G318" s="26"/>
      <c r="H318" s="2" t="s">
        <v>1141</v>
      </c>
      <c r="I318" s="2"/>
      <c r="J318" s="16"/>
      <c r="K318" s="16"/>
      <c r="L318" s="2" t="s">
        <v>9</v>
      </c>
      <c r="M318" s="16" t="s">
        <v>1640</v>
      </c>
      <c r="N318" s="16" t="s">
        <v>1662</v>
      </c>
      <c r="O318" s="2"/>
      <c r="P318" s="2"/>
      <c r="Q318" s="16"/>
      <c r="R318" s="49"/>
      <c r="S318" s="93" t="e">
        <f t="shared" si="4"/>
        <v>#DIV/0!</v>
      </c>
    </row>
    <row r="319" spans="1:19" x14ac:dyDescent="0.3">
      <c r="A319" s="5">
        <v>318</v>
      </c>
      <c r="B319" s="2">
        <v>1323318</v>
      </c>
      <c r="C319" s="2" t="s">
        <v>323</v>
      </c>
      <c r="D319" s="15" t="s">
        <v>760</v>
      </c>
      <c r="E319" s="2" t="s">
        <v>1128</v>
      </c>
      <c r="F319" s="26">
        <v>8901872038</v>
      </c>
      <c r="G319" s="26" t="s">
        <v>1967</v>
      </c>
      <c r="H319" s="2" t="s">
        <v>1141</v>
      </c>
      <c r="I319" s="2"/>
      <c r="J319" s="16" t="s">
        <v>1145</v>
      </c>
      <c r="K319" s="16"/>
      <c r="L319" s="2" t="s">
        <v>9</v>
      </c>
      <c r="M319" s="16" t="s">
        <v>1625</v>
      </c>
      <c r="N319" s="16">
        <v>6.64</v>
      </c>
      <c r="O319" s="2" t="s">
        <v>2210</v>
      </c>
      <c r="P319" s="2" t="s">
        <v>2279</v>
      </c>
      <c r="Q319" s="16"/>
      <c r="R319" s="49"/>
      <c r="S319" s="93">
        <f t="shared" si="4"/>
        <v>6.64</v>
      </c>
    </row>
    <row r="320" spans="1:19" x14ac:dyDescent="0.3">
      <c r="A320" s="5">
        <v>319</v>
      </c>
      <c r="B320" s="2">
        <v>1323319</v>
      </c>
      <c r="C320" s="2" t="s">
        <v>324</v>
      </c>
      <c r="D320" s="15" t="s">
        <v>761</v>
      </c>
      <c r="E320" s="2" t="s">
        <v>1311</v>
      </c>
      <c r="F320" s="26">
        <v>9468200074</v>
      </c>
      <c r="G320" s="26" t="s">
        <v>1968</v>
      </c>
      <c r="H320" s="2" t="s">
        <v>1141</v>
      </c>
      <c r="I320" s="2"/>
      <c r="J320" s="16" t="s">
        <v>1146</v>
      </c>
      <c r="K320" s="16"/>
      <c r="L320" s="2" t="s">
        <v>9</v>
      </c>
      <c r="M320" s="16" t="s">
        <v>1641</v>
      </c>
      <c r="N320" s="16" t="s">
        <v>1687</v>
      </c>
      <c r="O320" s="2" t="s">
        <v>2208</v>
      </c>
      <c r="P320" s="2" t="s">
        <v>2280</v>
      </c>
      <c r="Q320" s="16"/>
      <c r="R320" s="49"/>
      <c r="S320" s="93" t="e">
        <f t="shared" si="4"/>
        <v>#DIV/0!</v>
      </c>
    </row>
    <row r="321" spans="1:19" x14ac:dyDescent="0.3">
      <c r="A321" s="5">
        <v>320</v>
      </c>
      <c r="B321" s="2">
        <v>1323320</v>
      </c>
      <c r="C321" s="2" t="s">
        <v>325</v>
      </c>
      <c r="D321" s="15" t="s">
        <v>773</v>
      </c>
      <c r="E321" s="2" t="s">
        <v>1312</v>
      </c>
      <c r="F321" s="26"/>
      <c r="G321" s="26"/>
      <c r="H321" s="2"/>
      <c r="I321" s="2"/>
      <c r="J321" s="16"/>
      <c r="K321" s="16"/>
      <c r="L321" s="2"/>
      <c r="M321" s="16" t="s">
        <v>958</v>
      </c>
      <c r="N321" s="16"/>
      <c r="O321" s="2"/>
      <c r="P321" s="2"/>
      <c r="Q321" s="16"/>
      <c r="R321" s="49"/>
      <c r="S321" s="93" t="e">
        <f t="shared" si="4"/>
        <v>#DIV/0!</v>
      </c>
    </row>
    <row r="322" spans="1:19" x14ac:dyDescent="0.3">
      <c r="A322" s="5">
        <v>321</v>
      </c>
      <c r="B322" s="2">
        <v>1323321</v>
      </c>
      <c r="C322" s="2" t="s">
        <v>326</v>
      </c>
      <c r="D322" s="15" t="s">
        <v>1541</v>
      </c>
      <c r="E322" s="2" t="s">
        <v>1313</v>
      </c>
      <c r="F322" s="26">
        <v>9416740712</v>
      </c>
      <c r="G322" s="26" t="s">
        <v>1969</v>
      </c>
      <c r="H322" s="2" t="s">
        <v>1142</v>
      </c>
      <c r="I322" s="2"/>
      <c r="J322" s="16" t="s">
        <v>1146</v>
      </c>
      <c r="K322" s="16"/>
      <c r="L322" s="2" t="s">
        <v>8</v>
      </c>
      <c r="M322" s="16">
        <v>7.5</v>
      </c>
      <c r="N322" s="16">
        <v>7.23</v>
      </c>
      <c r="O322" s="2" t="s">
        <v>2208</v>
      </c>
      <c r="P322" s="2">
        <v>7.77</v>
      </c>
      <c r="Q322" s="16"/>
      <c r="R322" s="49"/>
      <c r="S322" s="93">
        <f t="shared" ref="S322:S385" si="5">AVERAGE(M322:P322)</f>
        <v>7.5</v>
      </c>
    </row>
    <row r="323" spans="1:19" x14ac:dyDescent="0.3">
      <c r="A323" s="5">
        <v>322</v>
      </c>
      <c r="B323" s="2">
        <v>1323322</v>
      </c>
      <c r="C323" s="2" t="s">
        <v>327</v>
      </c>
      <c r="D323" s="15" t="s">
        <v>1542</v>
      </c>
      <c r="E323" s="2" t="s">
        <v>1314</v>
      </c>
      <c r="F323" s="26">
        <v>7906417399</v>
      </c>
      <c r="G323" s="26" t="s">
        <v>1970</v>
      </c>
      <c r="H323" s="2" t="s">
        <v>1142</v>
      </c>
      <c r="I323" s="2"/>
      <c r="J323" s="16" t="s">
        <v>1146</v>
      </c>
      <c r="K323" s="16"/>
      <c r="L323" s="2" t="s">
        <v>8</v>
      </c>
      <c r="M323" s="16">
        <v>8.36</v>
      </c>
      <c r="N323" s="16" t="s">
        <v>1664</v>
      </c>
      <c r="O323" s="2" t="s">
        <v>954</v>
      </c>
      <c r="P323" s="2">
        <v>7.95</v>
      </c>
      <c r="Q323" s="16"/>
      <c r="R323" s="49"/>
      <c r="S323" s="93">
        <f t="shared" si="5"/>
        <v>8.1549999999999994</v>
      </c>
    </row>
    <row r="324" spans="1:19" x14ac:dyDescent="0.3">
      <c r="A324" s="5">
        <v>323</v>
      </c>
      <c r="B324" s="2">
        <v>1323323</v>
      </c>
      <c r="C324" s="2" t="s">
        <v>328</v>
      </c>
      <c r="D324" s="15" t="s">
        <v>735</v>
      </c>
      <c r="E324" s="2" t="s">
        <v>1315</v>
      </c>
      <c r="F324" s="26">
        <v>9050178487</v>
      </c>
      <c r="G324" s="26" t="s">
        <v>1971</v>
      </c>
      <c r="H324" s="2" t="s">
        <v>1142</v>
      </c>
      <c r="I324" s="2"/>
      <c r="J324" s="16" t="s">
        <v>8</v>
      </c>
      <c r="K324" s="16"/>
      <c r="L324" s="2" t="s">
        <v>8</v>
      </c>
      <c r="M324" s="16">
        <v>7.86</v>
      </c>
      <c r="N324" s="16">
        <v>7.68</v>
      </c>
      <c r="O324" s="2">
        <v>8.14</v>
      </c>
      <c r="P324" s="2">
        <v>7.77</v>
      </c>
      <c r="Q324" s="16"/>
      <c r="R324" s="49"/>
      <c r="S324" s="93">
        <f t="shared" si="5"/>
        <v>7.8624999999999998</v>
      </c>
    </row>
    <row r="325" spans="1:19" x14ac:dyDescent="0.3">
      <c r="A325" s="5">
        <v>324</v>
      </c>
      <c r="B325" s="2">
        <v>1323324</v>
      </c>
      <c r="C325" s="2" t="s">
        <v>329</v>
      </c>
      <c r="D325" s="18" t="s">
        <v>1543</v>
      </c>
      <c r="E325" s="2" t="s">
        <v>1253</v>
      </c>
      <c r="F325" s="26">
        <v>9306309656</v>
      </c>
      <c r="G325" s="26" t="s">
        <v>1972</v>
      </c>
      <c r="H325" s="2" t="s">
        <v>1142</v>
      </c>
      <c r="I325" s="2"/>
      <c r="J325" s="16" t="s">
        <v>8</v>
      </c>
      <c r="K325" s="16"/>
      <c r="L325" s="2" t="s">
        <v>8</v>
      </c>
      <c r="M325" s="16" t="s">
        <v>1625</v>
      </c>
      <c r="N325" s="16">
        <v>5.93</v>
      </c>
      <c r="O325" s="2">
        <v>5.68</v>
      </c>
      <c r="P325" s="2" t="s">
        <v>2249</v>
      </c>
      <c r="Q325" s="16"/>
      <c r="R325" s="49"/>
      <c r="S325" s="93">
        <f t="shared" si="5"/>
        <v>5.8049999999999997</v>
      </c>
    </row>
    <row r="326" spans="1:19" x14ac:dyDescent="0.3">
      <c r="A326" s="5">
        <v>325</v>
      </c>
      <c r="B326" s="2">
        <v>1323325</v>
      </c>
      <c r="C326" s="2" t="s">
        <v>330</v>
      </c>
      <c r="D326" s="15" t="s">
        <v>1544</v>
      </c>
      <c r="E326" s="2" t="s">
        <v>1316</v>
      </c>
      <c r="F326" s="26"/>
      <c r="G326" s="26"/>
      <c r="H326" s="2"/>
      <c r="I326" s="2"/>
      <c r="J326" s="16"/>
      <c r="K326" s="16"/>
      <c r="L326" s="2"/>
      <c r="M326" s="16" t="s">
        <v>954</v>
      </c>
      <c r="N326" s="16" t="s">
        <v>954</v>
      </c>
      <c r="O326" s="2"/>
      <c r="P326" s="2"/>
      <c r="Q326" s="16"/>
      <c r="R326" s="49"/>
      <c r="S326" s="93" t="e">
        <f t="shared" si="5"/>
        <v>#DIV/0!</v>
      </c>
    </row>
    <row r="327" spans="1:19" x14ac:dyDescent="0.3">
      <c r="A327" s="5">
        <v>326</v>
      </c>
      <c r="B327" s="2">
        <v>1323326</v>
      </c>
      <c r="C327" s="2" t="s">
        <v>331</v>
      </c>
      <c r="D327" s="15" t="s">
        <v>1545</v>
      </c>
      <c r="E327" s="2" t="s">
        <v>1317</v>
      </c>
      <c r="F327" s="26"/>
      <c r="G327" s="26"/>
      <c r="H327" s="2"/>
      <c r="I327" s="2"/>
      <c r="J327" s="16"/>
      <c r="K327" s="16"/>
      <c r="L327" s="2"/>
      <c r="M327" s="16" t="s">
        <v>1642</v>
      </c>
      <c r="N327" s="16">
        <v>6.05</v>
      </c>
      <c r="O327" s="2"/>
      <c r="P327" s="2"/>
      <c r="Q327" s="16"/>
      <c r="R327" s="49"/>
      <c r="S327" s="93">
        <f t="shared" si="5"/>
        <v>6.05</v>
      </c>
    </row>
    <row r="328" spans="1:19" x14ac:dyDescent="0.3">
      <c r="A328" s="5">
        <v>327</v>
      </c>
      <c r="B328" s="2">
        <v>1323327</v>
      </c>
      <c r="C328" s="2" t="s">
        <v>332</v>
      </c>
      <c r="D328" s="15" t="s">
        <v>1546</v>
      </c>
      <c r="E328" s="2" t="s">
        <v>1318</v>
      </c>
      <c r="F328" s="26">
        <v>9813529198</v>
      </c>
      <c r="G328" s="26" t="s">
        <v>1973</v>
      </c>
      <c r="H328" s="2" t="s">
        <v>1142</v>
      </c>
      <c r="I328" s="2"/>
      <c r="J328" s="16" t="s">
        <v>1145</v>
      </c>
      <c r="K328" s="16"/>
      <c r="L328" s="2" t="s">
        <v>8</v>
      </c>
      <c r="M328" s="16">
        <v>5.73</v>
      </c>
      <c r="N328" s="16">
        <v>8</v>
      </c>
      <c r="O328" s="2">
        <v>5.82</v>
      </c>
      <c r="P328" s="2">
        <v>5.82</v>
      </c>
      <c r="Q328" s="16"/>
      <c r="R328" s="49"/>
      <c r="S328" s="93">
        <f t="shared" si="5"/>
        <v>6.3425000000000002</v>
      </c>
    </row>
    <row r="329" spans="1:19" x14ac:dyDescent="0.3">
      <c r="A329" s="5">
        <v>328</v>
      </c>
      <c r="B329" s="2">
        <v>1323328</v>
      </c>
      <c r="C329" s="2" t="s">
        <v>333</v>
      </c>
      <c r="D329" s="15" t="s">
        <v>1547</v>
      </c>
      <c r="E329" s="2" t="s">
        <v>1102</v>
      </c>
      <c r="F329" s="26">
        <v>9546310140</v>
      </c>
      <c r="G329" s="26" t="s">
        <v>1974</v>
      </c>
      <c r="H329" s="2" t="s">
        <v>1142</v>
      </c>
      <c r="I329" s="2"/>
      <c r="J329" s="16" t="s">
        <v>1146</v>
      </c>
      <c r="K329" s="16"/>
      <c r="L329" s="2" t="s">
        <v>8</v>
      </c>
      <c r="M329" s="16">
        <v>7.73</v>
      </c>
      <c r="N329" s="16">
        <v>8.27</v>
      </c>
      <c r="O329" s="2">
        <v>6.95</v>
      </c>
      <c r="P329" s="2">
        <v>7.86</v>
      </c>
      <c r="Q329" s="16"/>
      <c r="R329" s="49"/>
      <c r="S329" s="93">
        <f t="shared" si="5"/>
        <v>7.7024999999999997</v>
      </c>
    </row>
    <row r="330" spans="1:19" x14ac:dyDescent="0.3">
      <c r="A330" s="5">
        <v>329</v>
      </c>
      <c r="B330" s="2">
        <v>1323329</v>
      </c>
      <c r="C330" s="2" t="s">
        <v>334</v>
      </c>
      <c r="D330" s="15" t="s">
        <v>1548</v>
      </c>
      <c r="E330" s="2" t="s">
        <v>1319</v>
      </c>
      <c r="F330" s="26">
        <v>7206868413</v>
      </c>
      <c r="G330" s="26" t="s">
        <v>1975</v>
      </c>
      <c r="H330" s="2" t="s">
        <v>1142</v>
      </c>
      <c r="I330" s="2"/>
      <c r="J330" s="16" t="s">
        <v>1145</v>
      </c>
      <c r="K330" s="16"/>
      <c r="L330" s="2" t="s">
        <v>8</v>
      </c>
      <c r="M330" s="16">
        <v>8.18</v>
      </c>
      <c r="N330" s="16"/>
      <c r="O330" s="2">
        <v>7.45</v>
      </c>
      <c r="P330" s="2">
        <v>6.93</v>
      </c>
      <c r="Q330" s="16"/>
      <c r="R330" s="49"/>
      <c r="S330" s="93">
        <f t="shared" si="5"/>
        <v>7.52</v>
      </c>
    </row>
    <row r="331" spans="1:19" x14ac:dyDescent="0.3">
      <c r="A331" s="5">
        <v>330</v>
      </c>
      <c r="B331" s="2">
        <v>1323330</v>
      </c>
      <c r="C331" s="2" t="s">
        <v>335</v>
      </c>
      <c r="D331" s="15"/>
      <c r="E331" s="2"/>
      <c r="F331" s="26"/>
      <c r="G331" s="26"/>
      <c r="H331" s="2"/>
      <c r="I331" s="2"/>
      <c r="J331" s="16"/>
      <c r="K331" s="16"/>
      <c r="L331" s="2"/>
      <c r="M331" s="16"/>
      <c r="N331" s="16"/>
      <c r="O331" s="2"/>
      <c r="P331" s="2"/>
      <c r="Q331" s="16"/>
      <c r="R331" s="49"/>
      <c r="S331" s="93" t="e">
        <f t="shared" si="5"/>
        <v>#DIV/0!</v>
      </c>
    </row>
    <row r="332" spans="1:19" x14ac:dyDescent="0.3">
      <c r="A332" s="5">
        <v>331</v>
      </c>
      <c r="B332" s="2">
        <v>1323331</v>
      </c>
      <c r="C332" s="2" t="s">
        <v>336</v>
      </c>
      <c r="D332" s="15" t="s">
        <v>1549</v>
      </c>
      <c r="E332" s="2" t="s">
        <v>1320</v>
      </c>
      <c r="F332" s="26"/>
      <c r="G332" s="26"/>
      <c r="H332" s="2" t="s">
        <v>1142</v>
      </c>
      <c r="I332" s="2"/>
      <c r="J332" s="16"/>
      <c r="K332" s="16"/>
      <c r="L332" s="2" t="s">
        <v>8</v>
      </c>
      <c r="M332" s="16">
        <v>7.45</v>
      </c>
      <c r="N332" s="16" t="s">
        <v>1663</v>
      </c>
      <c r="O332" s="2" t="s">
        <v>954</v>
      </c>
      <c r="P332" s="2"/>
      <c r="Q332" s="16"/>
      <c r="R332" s="49"/>
      <c r="S332" s="93">
        <f t="shared" si="5"/>
        <v>7.45</v>
      </c>
    </row>
    <row r="333" spans="1:19" x14ac:dyDescent="0.3">
      <c r="A333" s="5">
        <v>332</v>
      </c>
      <c r="B333" s="2">
        <v>1323332</v>
      </c>
      <c r="C333" s="2" t="s">
        <v>941</v>
      </c>
      <c r="D333" s="15" t="s">
        <v>1550</v>
      </c>
      <c r="E333" s="2" t="s">
        <v>1321</v>
      </c>
      <c r="F333" s="26"/>
      <c r="G333" s="26"/>
      <c r="H333" s="2"/>
      <c r="I333" s="2"/>
      <c r="J333" s="16"/>
      <c r="K333" s="16"/>
      <c r="L333" s="2" t="s">
        <v>928</v>
      </c>
      <c r="M333" s="16" t="s">
        <v>1637</v>
      </c>
      <c r="N333" s="16" t="s">
        <v>1688</v>
      </c>
      <c r="O333" s="2"/>
      <c r="P333" s="2"/>
      <c r="Q333" s="16"/>
      <c r="R333" s="49"/>
      <c r="S333" s="93" t="e">
        <f t="shared" si="5"/>
        <v>#DIV/0!</v>
      </c>
    </row>
    <row r="334" spans="1:19" x14ac:dyDescent="0.3">
      <c r="A334" s="5">
        <v>333</v>
      </c>
      <c r="B334" s="2">
        <v>1323333</v>
      </c>
      <c r="C334" s="2" t="s">
        <v>941</v>
      </c>
      <c r="D334" s="15" t="s">
        <v>762</v>
      </c>
      <c r="E334" s="2" t="s">
        <v>1322</v>
      </c>
      <c r="F334" s="26"/>
      <c r="G334" s="26"/>
      <c r="H334" s="2"/>
      <c r="I334" s="2"/>
      <c r="J334" s="16"/>
      <c r="K334" s="16"/>
      <c r="L334" s="2"/>
      <c r="M334" s="16">
        <v>8.86</v>
      </c>
      <c r="N334" s="16">
        <v>8.32</v>
      </c>
      <c r="O334" s="2"/>
      <c r="P334" s="2"/>
      <c r="Q334" s="16"/>
      <c r="R334" s="49"/>
      <c r="S334" s="93">
        <f t="shared" si="5"/>
        <v>8.59</v>
      </c>
    </row>
    <row r="335" spans="1:19" x14ac:dyDescent="0.3">
      <c r="A335" s="5">
        <v>334</v>
      </c>
      <c r="B335" s="2">
        <v>1323334</v>
      </c>
      <c r="C335" s="2" t="s">
        <v>600</v>
      </c>
      <c r="D335" s="15"/>
      <c r="E335" s="2"/>
      <c r="F335" s="26">
        <v>7047172288</v>
      </c>
      <c r="G335" s="26" t="s">
        <v>1976</v>
      </c>
      <c r="H335" s="2" t="s">
        <v>1142</v>
      </c>
      <c r="I335" s="2"/>
      <c r="J335" s="16" t="s">
        <v>1146</v>
      </c>
      <c r="K335" s="16"/>
      <c r="L335" s="2" t="s">
        <v>8</v>
      </c>
      <c r="M335" s="16"/>
      <c r="N335" s="16">
        <v>7.82</v>
      </c>
      <c r="O335" s="2">
        <v>7.55</v>
      </c>
      <c r="P335" s="2">
        <v>8.14</v>
      </c>
      <c r="Q335" s="16"/>
      <c r="R335" s="49"/>
      <c r="S335" s="93">
        <f t="shared" si="5"/>
        <v>7.8366666666666669</v>
      </c>
    </row>
    <row r="336" spans="1:19" x14ac:dyDescent="0.3">
      <c r="A336" s="5">
        <v>335</v>
      </c>
      <c r="B336" s="2">
        <v>1323335</v>
      </c>
      <c r="C336" s="2" t="s">
        <v>337</v>
      </c>
      <c r="D336" s="18" t="s">
        <v>1551</v>
      </c>
      <c r="E336" s="2" t="s">
        <v>1323</v>
      </c>
      <c r="F336" s="26">
        <v>8210919030</v>
      </c>
      <c r="G336" s="26" t="s">
        <v>1977</v>
      </c>
      <c r="H336" s="2" t="s">
        <v>1142</v>
      </c>
      <c r="I336" s="2"/>
      <c r="J336" s="16" t="s">
        <v>1145</v>
      </c>
      <c r="K336" s="16"/>
      <c r="L336" s="2" t="s">
        <v>8</v>
      </c>
      <c r="M336" s="16">
        <v>6.77</v>
      </c>
      <c r="N336" s="16">
        <v>8.0500000000000007</v>
      </c>
      <c r="O336" s="2">
        <v>7.05</v>
      </c>
      <c r="P336" s="2">
        <v>6.73</v>
      </c>
      <c r="Q336" s="16"/>
      <c r="R336" s="49"/>
      <c r="S336" s="93">
        <f t="shared" si="5"/>
        <v>7.15</v>
      </c>
    </row>
    <row r="337" spans="1:19" x14ac:dyDescent="0.3">
      <c r="A337" s="5">
        <v>336</v>
      </c>
      <c r="B337" s="2">
        <v>1323336</v>
      </c>
      <c r="C337" s="2" t="s">
        <v>338</v>
      </c>
      <c r="D337" s="18" t="s">
        <v>763</v>
      </c>
      <c r="E337" s="2" t="s">
        <v>1324</v>
      </c>
      <c r="F337" s="26">
        <v>8708105383</v>
      </c>
      <c r="G337" s="26" t="s">
        <v>1978</v>
      </c>
      <c r="H337" s="2" t="s">
        <v>1142</v>
      </c>
      <c r="I337" s="2"/>
      <c r="J337" s="16" t="s">
        <v>8</v>
      </c>
      <c r="K337" s="16"/>
      <c r="L337" s="2" t="s">
        <v>8</v>
      </c>
      <c r="M337" s="16">
        <v>7.77</v>
      </c>
      <c r="N337" s="16">
        <v>6.68</v>
      </c>
      <c r="O337" s="2">
        <v>7.68</v>
      </c>
      <c r="P337" s="2" t="s">
        <v>2281</v>
      </c>
      <c r="Q337" s="16"/>
      <c r="R337" s="49"/>
      <c r="S337" s="93">
        <f t="shared" si="5"/>
        <v>7.376666666666666</v>
      </c>
    </row>
    <row r="338" spans="1:19" x14ac:dyDescent="0.3">
      <c r="A338" s="5">
        <v>337</v>
      </c>
      <c r="B338" s="2">
        <v>1323337</v>
      </c>
      <c r="C338" s="2" t="s">
        <v>339</v>
      </c>
      <c r="D338" s="15" t="s">
        <v>764</v>
      </c>
      <c r="E338" s="2" t="s">
        <v>1325</v>
      </c>
      <c r="F338" s="26">
        <v>8950993026</v>
      </c>
      <c r="G338" s="26" t="s">
        <v>1979</v>
      </c>
      <c r="H338" s="2" t="s">
        <v>1142</v>
      </c>
      <c r="I338" s="2"/>
      <c r="J338" s="16" t="s">
        <v>8</v>
      </c>
      <c r="K338" s="16"/>
      <c r="L338" s="2" t="s">
        <v>8</v>
      </c>
      <c r="M338" s="16">
        <v>5.91</v>
      </c>
      <c r="N338" s="16">
        <v>7.5</v>
      </c>
      <c r="O338" s="2" t="s">
        <v>2214</v>
      </c>
      <c r="P338" s="2">
        <v>6.43</v>
      </c>
      <c r="Q338" s="16"/>
      <c r="R338" s="49"/>
      <c r="S338" s="93">
        <f t="shared" si="5"/>
        <v>6.6133333333333333</v>
      </c>
    </row>
    <row r="339" spans="1:19" x14ac:dyDescent="0.3">
      <c r="A339" s="5">
        <v>338</v>
      </c>
      <c r="B339" s="2">
        <v>1323338</v>
      </c>
      <c r="C339" s="2" t="s">
        <v>340</v>
      </c>
      <c r="D339" s="18" t="s">
        <v>765</v>
      </c>
      <c r="E339" s="2" t="s">
        <v>1326</v>
      </c>
      <c r="F339" s="26">
        <v>9050588400</v>
      </c>
      <c r="G339" s="26" t="s">
        <v>1980</v>
      </c>
      <c r="H339" s="2" t="s">
        <v>1142</v>
      </c>
      <c r="I339" s="2"/>
      <c r="J339" s="16" t="s">
        <v>1146</v>
      </c>
      <c r="K339" s="16"/>
      <c r="L339" s="2" t="s">
        <v>8</v>
      </c>
      <c r="M339" s="16">
        <v>6.82</v>
      </c>
      <c r="N339" s="16">
        <v>8.68</v>
      </c>
      <c r="O339" s="2" t="s">
        <v>954</v>
      </c>
      <c r="P339" s="2">
        <v>6.77</v>
      </c>
      <c r="Q339" s="16"/>
      <c r="R339" s="49"/>
      <c r="S339" s="93">
        <f t="shared" si="5"/>
        <v>7.4233333333333329</v>
      </c>
    </row>
    <row r="340" spans="1:19" x14ac:dyDescent="0.3">
      <c r="A340" s="5">
        <v>339</v>
      </c>
      <c r="B340" s="2">
        <v>1323339</v>
      </c>
      <c r="C340" s="2" t="s">
        <v>601</v>
      </c>
      <c r="D340" s="18" t="s">
        <v>1552</v>
      </c>
      <c r="E340" s="2" t="s">
        <v>1327</v>
      </c>
      <c r="F340" s="26"/>
      <c r="G340" s="26"/>
      <c r="H340" s="2"/>
      <c r="I340" s="2"/>
      <c r="J340" s="16"/>
      <c r="K340" s="16"/>
      <c r="L340" s="2" t="s">
        <v>8</v>
      </c>
      <c r="M340" s="16">
        <v>8.32</v>
      </c>
      <c r="N340" s="16" t="s">
        <v>1687</v>
      </c>
      <c r="O340" s="2" t="s">
        <v>954</v>
      </c>
      <c r="P340" s="2"/>
      <c r="Q340" s="16"/>
      <c r="R340" s="49"/>
      <c r="S340" s="93">
        <f t="shared" si="5"/>
        <v>8.32</v>
      </c>
    </row>
    <row r="341" spans="1:19" x14ac:dyDescent="0.3">
      <c r="A341" s="5">
        <v>340</v>
      </c>
      <c r="B341" s="2">
        <v>1323340</v>
      </c>
      <c r="C341" s="2" t="s">
        <v>341</v>
      </c>
      <c r="D341" s="18" t="s">
        <v>641</v>
      </c>
      <c r="E341" s="2" t="s">
        <v>1328</v>
      </c>
      <c r="F341" s="26">
        <v>9306325950</v>
      </c>
      <c r="G341" s="26" t="s">
        <v>1981</v>
      </c>
      <c r="H341" s="2" t="s">
        <v>1142</v>
      </c>
      <c r="I341" s="2"/>
      <c r="J341" s="16" t="s">
        <v>1145</v>
      </c>
      <c r="K341" s="16"/>
      <c r="L341" s="2" t="s">
        <v>8</v>
      </c>
      <c r="M341" s="16">
        <v>7</v>
      </c>
      <c r="N341" s="16">
        <v>6.41</v>
      </c>
      <c r="O341" s="2" t="s">
        <v>2218</v>
      </c>
      <c r="P341" s="2" t="s">
        <v>2282</v>
      </c>
      <c r="Q341" s="16"/>
      <c r="R341" s="49"/>
      <c r="S341" s="93">
        <f t="shared" si="5"/>
        <v>6.7050000000000001</v>
      </c>
    </row>
    <row r="342" spans="1:19" x14ac:dyDescent="0.3">
      <c r="A342" s="5">
        <v>341</v>
      </c>
      <c r="B342" s="2">
        <v>1323341</v>
      </c>
      <c r="C342" s="2" t="s">
        <v>342</v>
      </c>
      <c r="D342" s="15" t="s">
        <v>766</v>
      </c>
      <c r="E342" s="2" t="s">
        <v>1329</v>
      </c>
      <c r="F342" s="26">
        <v>9350916176</v>
      </c>
      <c r="G342" s="26" t="s">
        <v>1982</v>
      </c>
      <c r="H342" s="2" t="s">
        <v>1142</v>
      </c>
      <c r="I342" s="2"/>
      <c r="J342" s="16" t="s">
        <v>1145</v>
      </c>
      <c r="K342" s="16"/>
      <c r="L342" s="2" t="s">
        <v>928</v>
      </c>
      <c r="M342" s="16">
        <v>6.14</v>
      </c>
      <c r="N342" s="16">
        <v>8.36</v>
      </c>
      <c r="O342" s="2">
        <v>7.18</v>
      </c>
      <c r="P342" s="2">
        <v>6.36</v>
      </c>
      <c r="Q342" s="16"/>
      <c r="R342" s="49"/>
      <c r="S342" s="93">
        <f t="shared" si="5"/>
        <v>7.01</v>
      </c>
    </row>
    <row r="343" spans="1:19" x14ac:dyDescent="0.3">
      <c r="A343" s="5">
        <v>342</v>
      </c>
      <c r="B343" s="2">
        <v>1323342</v>
      </c>
      <c r="C343" s="2" t="s">
        <v>343</v>
      </c>
      <c r="D343" s="18" t="s">
        <v>1553</v>
      </c>
      <c r="E343" s="2" t="s">
        <v>1330</v>
      </c>
      <c r="F343" s="26">
        <v>9812293190</v>
      </c>
      <c r="G343" s="26" t="s">
        <v>1983</v>
      </c>
      <c r="H343" s="2" t="s">
        <v>1142</v>
      </c>
      <c r="I343" s="2"/>
      <c r="J343" s="16" t="s">
        <v>8</v>
      </c>
      <c r="K343" s="16"/>
      <c r="L343" s="2" t="s">
        <v>8</v>
      </c>
      <c r="M343" s="16">
        <v>8.59</v>
      </c>
      <c r="N343" s="16" t="s">
        <v>953</v>
      </c>
      <c r="O343" s="2">
        <v>7.86</v>
      </c>
      <c r="P343" s="2">
        <v>8.41</v>
      </c>
      <c r="Q343" s="16"/>
      <c r="R343" s="49"/>
      <c r="S343" s="93">
        <f t="shared" si="5"/>
        <v>8.2866666666666671</v>
      </c>
    </row>
    <row r="344" spans="1:19" x14ac:dyDescent="0.3">
      <c r="A344" s="5">
        <v>343</v>
      </c>
      <c r="B344" s="2">
        <v>1323343</v>
      </c>
      <c r="C344" s="2" t="s">
        <v>344</v>
      </c>
      <c r="D344" s="15" t="s">
        <v>1554</v>
      </c>
      <c r="E344" s="2" t="s">
        <v>1284</v>
      </c>
      <c r="F344" s="26">
        <v>9813627978</v>
      </c>
      <c r="G344" s="26" t="s">
        <v>1984</v>
      </c>
      <c r="H344" s="2" t="s">
        <v>1142</v>
      </c>
      <c r="I344" s="2"/>
      <c r="J344" s="16" t="s">
        <v>1146</v>
      </c>
      <c r="K344" s="16"/>
      <c r="L344" s="2" t="s">
        <v>8</v>
      </c>
      <c r="M344" s="16">
        <v>8.59</v>
      </c>
      <c r="N344" s="16">
        <v>7.68</v>
      </c>
      <c r="O344" s="2">
        <v>8.23</v>
      </c>
      <c r="P344" s="2">
        <v>8.14</v>
      </c>
      <c r="Q344" s="16"/>
      <c r="R344" s="49"/>
      <c r="S344" s="93">
        <f t="shared" si="5"/>
        <v>8.16</v>
      </c>
    </row>
    <row r="345" spans="1:19" x14ac:dyDescent="0.3">
      <c r="A345" s="5">
        <v>344</v>
      </c>
      <c r="B345" s="2">
        <v>1323344</v>
      </c>
      <c r="C345" s="2" t="s">
        <v>345</v>
      </c>
      <c r="D345" s="15" t="s">
        <v>767</v>
      </c>
      <c r="E345" s="2" t="s">
        <v>1172</v>
      </c>
      <c r="F345" s="26">
        <v>9417002556</v>
      </c>
      <c r="G345" s="26" t="s">
        <v>1985</v>
      </c>
      <c r="H345" s="2" t="s">
        <v>1142</v>
      </c>
      <c r="I345" s="2"/>
      <c r="J345" s="16" t="s">
        <v>8</v>
      </c>
      <c r="K345" s="16"/>
      <c r="L345" s="2" t="s">
        <v>8</v>
      </c>
      <c r="M345" s="16">
        <v>7.73</v>
      </c>
      <c r="N345" s="16" t="s">
        <v>1667</v>
      </c>
      <c r="O345" s="2">
        <v>7.18</v>
      </c>
      <c r="P345" s="2" t="s">
        <v>2281</v>
      </c>
      <c r="Q345" s="16"/>
      <c r="R345" s="49"/>
      <c r="S345" s="93">
        <f t="shared" si="5"/>
        <v>7.4550000000000001</v>
      </c>
    </row>
    <row r="346" spans="1:19" x14ac:dyDescent="0.3">
      <c r="A346" s="5">
        <v>345</v>
      </c>
      <c r="B346" s="2">
        <v>1323345</v>
      </c>
      <c r="C346" s="2" t="s">
        <v>346</v>
      </c>
      <c r="D346" s="18" t="s">
        <v>686</v>
      </c>
      <c r="E346" s="2" t="s">
        <v>1331</v>
      </c>
      <c r="F346" s="26"/>
      <c r="G346" s="26"/>
      <c r="H346" s="2"/>
      <c r="I346" s="2"/>
      <c r="J346" s="16"/>
      <c r="K346" s="16"/>
      <c r="L346" s="2" t="s">
        <v>8</v>
      </c>
      <c r="M346" s="16">
        <v>5.89</v>
      </c>
      <c r="N346" s="16">
        <v>7.18</v>
      </c>
      <c r="O346" s="2"/>
      <c r="P346" s="2"/>
      <c r="Q346" s="16"/>
      <c r="R346" s="49"/>
      <c r="S346" s="93">
        <f t="shared" si="5"/>
        <v>6.5350000000000001</v>
      </c>
    </row>
    <row r="347" spans="1:19" x14ac:dyDescent="0.3">
      <c r="A347" s="5">
        <v>346</v>
      </c>
      <c r="B347" s="2">
        <v>1323346</v>
      </c>
      <c r="C347" s="2" t="s">
        <v>347</v>
      </c>
      <c r="D347" s="18" t="s">
        <v>854</v>
      </c>
      <c r="E347" s="2" t="s">
        <v>1332</v>
      </c>
      <c r="F347" s="26">
        <v>9693838724</v>
      </c>
      <c r="G347" s="26" t="s">
        <v>1986</v>
      </c>
      <c r="H347" s="2" t="s">
        <v>1142</v>
      </c>
      <c r="I347" s="2"/>
      <c r="J347" s="16" t="s">
        <v>1145</v>
      </c>
      <c r="K347" s="16"/>
      <c r="L347" s="2" t="s">
        <v>8</v>
      </c>
      <c r="M347" s="16">
        <v>6.82</v>
      </c>
      <c r="N347" s="16"/>
      <c r="O347" s="2">
        <v>7.27</v>
      </c>
      <c r="P347" s="2">
        <v>7.05</v>
      </c>
      <c r="Q347" s="16"/>
      <c r="R347" s="49"/>
      <c r="S347" s="93">
        <f t="shared" si="5"/>
        <v>7.0466666666666669</v>
      </c>
    </row>
    <row r="348" spans="1:19" x14ac:dyDescent="0.3">
      <c r="A348" s="5">
        <v>347</v>
      </c>
      <c r="B348" s="2">
        <v>1323347</v>
      </c>
      <c r="C348" s="2" t="s">
        <v>348</v>
      </c>
      <c r="D348" s="18" t="s">
        <v>625</v>
      </c>
      <c r="E348" s="2" t="s">
        <v>1333</v>
      </c>
      <c r="F348" s="26"/>
      <c r="G348" s="26"/>
      <c r="H348" s="2"/>
      <c r="I348" s="2"/>
      <c r="J348" s="16"/>
      <c r="K348" s="16"/>
      <c r="L348" s="2"/>
      <c r="M348" s="16" t="s">
        <v>1643</v>
      </c>
      <c r="N348" s="16"/>
      <c r="O348" s="2"/>
      <c r="P348" s="2"/>
      <c r="Q348" s="16"/>
      <c r="R348" s="49"/>
      <c r="S348" s="93" t="e">
        <f t="shared" si="5"/>
        <v>#DIV/0!</v>
      </c>
    </row>
    <row r="349" spans="1:19" x14ac:dyDescent="0.3">
      <c r="A349" s="5">
        <v>348</v>
      </c>
      <c r="B349" s="2">
        <v>1323348</v>
      </c>
      <c r="C349" s="2" t="s">
        <v>349</v>
      </c>
      <c r="D349" s="15" t="s">
        <v>1555</v>
      </c>
      <c r="E349" s="2" t="s">
        <v>1334</v>
      </c>
      <c r="F349" s="26"/>
      <c r="G349" s="26"/>
      <c r="H349" s="2"/>
      <c r="I349" s="2"/>
      <c r="J349" s="16"/>
      <c r="K349" s="16"/>
      <c r="L349" s="2" t="s">
        <v>8</v>
      </c>
      <c r="M349" s="16" t="s">
        <v>958</v>
      </c>
      <c r="N349" s="16"/>
      <c r="O349" s="2"/>
      <c r="P349" s="2"/>
      <c r="Q349" s="16"/>
      <c r="R349" s="49"/>
      <c r="S349" s="93" t="e">
        <f t="shared" si="5"/>
        <v>#DIV/0!</v>
      </c>
    </row>
    <row r="350" spans="1:19" x14ac:dyDescent="0.3">
      <c r="A350" s="5">
        <v>349</v>
      </c>
      <c r="B350" s="2">
        <v>1323349</v>
      </c>
      <c r="C350" s="2" t="s">
        <v>350</v>
      </c>
      <c r="D350" s="15" t="s">
        <v>768</v>
      </c>
      <c r="E350" s="2" t="s">
        <v>1335</v>
      </c>
      <c r="F350" s="26">
        <v>8816901625</v>
      </c>
      <c r="G350" s="26" t="s">
        <v>1987</v>
      </c>
      <c r="H350" s="2" t="s">
        <v>1142</v>
      </c>
      <c r="I350" s="2"/>
      <c r="J350" s="16" t="s">
        <v>1146</v>
      </c>
      <c r="K350" s="16"/>
      <c r="L350" s="2" t="s">
        <v>8</v>
      </c>
      <c r="M350" s="16">
        <v>8.09</v>
      </c>
      <c r="N350" s="16">
        <v>8.4499999999999993</v>
      </c>
      <c r="O350" s="2">
        <v>7.82</v>
      </c>
      <c r="P350" s="2">
        <v>7.68</v>
      </c>
      <c r="Q350" s="16"/>
      <c r="R350" s="49"/>
      <c r="S350" s="93">
        <f t="shared" si="5"/>
        <v>8.01</v>
      </c>
    </row>
    <row r="351" spans="1:19" x14ac:dyDescent="0.3">
      <c r="A351" s="5">
        <v>350</v>
      </c>
      <c r="B351" s="2">
        <v>1323350</v>
      </c>
      <c r="C351" s="2" t="s">
        <v>351</v>
      </c>
      <c r="D351" s="15" t="s">
        <v>769</v>
      </c>
      <c r="E351" s="2" t="s">
        <v>1336</v>
      </c>
      <c r="F351" s="26">
        <v>9588526134</v>
      </c>
      <c r="G351" s="26" t="s">
        <v>1988</v>
      </c>
      <c r="H351" s="2" t="s">
        <v>1142</v>
      </c>
      <c r="I351" s="2"/>
      <c r="J351" s="16" t="s">
        <v>1146</v>
      </c>
      <c r="K351" s="16"/>
      <c r="L351" s="2" t="s">
        <v>8</v>
      </c>
      <c r="M351" s="16">
        <v>6.77</v>
      </c>
      <c r="N351" s="16">
        <v>6.45</v>
      </c>
      <c r="O351" s="2">
        <v>5.98</v>
      </c>
      <c r="P351" s="2">
        <v>5.89</v>
      </c>
      <c r="Q351" s="16"/>
      <c r="R351" s="49"/>
      <c r="S351" s="93">
        <f t="shared" si="5"/>
        <v>6.2725</v>
      </c>
    </row>
    <row r="352" spans="1:19" x14ac:dyDescent="0.3">
      <c r="A352" s="5">
        <v>351</v>
      </c>
      <c r="B352" s="2">
        <v>1323351</v>
      </c>
      <c r="C352" s="2" t="s">
        <v>352</v>
      </c>
      <c r="D352" s="15" t="s">
        <v>770</v>
      </c>
      <c r="E352" s="2" t="s">
        <v>1337</v>
      </c>
      <c r="F352" s="26">
        <v>9467155845</v>
      </c>
      <c r="G352" s="26" t="s">
        <v>1989</v>
      </c>
      <c r="H352" s="2" t="s">
        <v>1142</v>
      </c>
      <c r="I352" s="2"/>
      <c r="J352" s="16" t="s">
        <v>8</v>
      </c>
      <c r="K352" s="16"/>
      <c r="L352" s="2" t="s">
        <v>8</v>
      </c>
      <c r="M352" s="16">
        <v>7.59</v>
      </c>
      <c r="N352" s="16">
        <v>7.95</v>
      </c>
      <c r="O352" s="2">
        <v>7.45</v>
      </c>
      <c r="P352" s="2">
        <v>7.3</v>
      </c>
      <c r="Q352" s="16"/>
      <c r="R352" s="49"/>
      <c r="S352" s="93">
        <f t="shared" si="5"/>
        <v>7.5724999999999998</v>
      </c>
    </row>
    <row r="353" spans="1:19" x14ac:dyDescent="0.3">
      <c r="A353" s="5">
        <v>352</v>
      </c>
      <c r="B353" s="2">
        <v>1323352</v>
      </c>
      <c r="C353" s="2" t="s">
        <v>353</v>
      </c>
      <c r="D353" s="15" t="s">
        <v>787</v>
      </c>
      <c r="E353" s="2" t="s">
        <v>1338</v>
      </c>
      <c r="F353" s="26">
        <v>7779873499</v>
      </c>
      <c r="G353" s="26" t="s">
        <v>1990</v>
      </c>
      <c r="H353" s="2" t="s">
        <v>1142</v>
      </c>
      <c r="I353" s="2"/>
      <c r="J353" s="16"/>
      <c r="K353" s="16"/>
      <c r="L353" s="2" t="s">
        <v>928</v>
      </c>
      <c r="M353" s="16">
        <v>7.18</v>
      </c>
      <c r="N353" s="16">
        <v>7.14</v>
      </c>
      <c r="O353" s="2" t="s">
        <v>2218</v>
      </c>
      <c r="P353" s="2">
        <v>6.32</v>
      </c>
      <c r="Q353" s="16"/>
      <c r="R353" s="49"/>
      <c r="S353" s="93">
        <f t="shared" si="5"/>
        <v>6.88</v>
      </c>
    </row>
    <row r="354" spans="1:19" x14ac:dyDescent="0.3">
      <c r="A354" s="5">
        <v>353</v>
      </c>
      <c r="B354" s="2">
        <v>1323353</v>
      </c>
      <c r="C354" s="2" t="s">
        <v>354</v>
      </c>
      <c r="D354" s="15" t="s">
        <v>1556</v>
      </c>
      <c r="E354" s="2" t="s">
        <v>789</v>
      </c>
      <c r="F354" s="26">
        <v>9576652026</v>
      </c>
      <c r="G354" s="26" t="s">
        <v>1991</v>
      </c>
      <c r="H354" s="2" t="s">
        <v>1142</v>
      </c>
      <c r="I354" s="2"/>
      <c r="J354" s="16" t="s">
        <v>1146</v>
      </c>
      <c r="K354" s="16"/>
      <c r="L354" s="2" t="s">
        <v>926</v>
      </c>
      <c r="M354" s="16">
        <v>7.14</v>
      </c>
      <c r="N354" s="16">
        <v>7.39</v>
      </c>
      <c r="O354" s="2" t="s">
        <v>2218</v>
      </c>
      <c r="P354" s="2">
        <v>7.64</v>
      </c>
      <c r="Q354" s="16"/>
      <c r="R354" s="49"/>
      <c r="S354" s="93">
        <f t="shared" si="5"/>
        <v>7.39</v>
      </c>
    </row>
    <row r="355" spans="1:19" x14ac:dyDescent="0.3">
      <c r="A355" s="5">
        <v>354</v>
      </c>
      <c r="B355" s="2">
        <v>1323354</v>
      </c>
      <c r="C355" s="2" t="s">
        <v>355</v>
      </c>
      <c r="D355" s="15" t="s">
        <v>1557</v>
      </c>
      <c r="E355" s="2" t="s">
        <v>1339</v>
      </c>
      <c r="F355" s="26">
        <v>8630842848</v>
      </c>
      <c r="G355" s="26" t="s">
        <v>1992</v>
      </c>
      <c r="H355" s="2" t="s">
        <v>1142</v>
      </c>
      <c r="I355" s="2"/>
      <c r="J355" s="16" t="s">
        <v>8</v>
      </c>
      <c r="K355" s="16"/>
      <c r="L355" s="2" t="s">
        <v>8</v>
      </c>
      <c r="M355" s="16" t="s">
        <v>1630</v>
      </c>
      <c r="N355" s="16" t="s">
        <v>1677</v>
      </c>
      <c r="O355" s="2" t="s">
        <v>953</v>
      </c>
      <c r="P355" s="2" t="s">
        <v>2273</v>
      </c>
      <c r="Q355" s="16"/>
      <c r="R355" s="49"/>
      <c r="S355" s="93" t="e">
        <f t="shared" si="5"/>
        <v>#DIV/0!</v>
      </c>
    </row>
    <row r="356" spans="1:19" x14ac:dyDescent="0.3">
      <c r="A356" s="5">
        <v>355</v>
      </c>
      <c r="B356" s="2">
        <v>1323355</v>
      </c>
      <c r="C356" s="2" t="s">
        <v>941</v>
      </c>
      <c r="D356" s="15"/>
      <c r="E356" s="2"/>
      <c r="F356" s="26"/>
      <c r="G356" s="26"/>
      <c r="H356" s="2"/>
      <c r="I356" s="2"/>
      <c r="J356" s="16"/>
      <c r="K356" s="16"/>
      <c r="L356" s="2"/>
      <c r="M356" s="16"/>
      <c r="N356" s="16"/>
      <c r="O356" s="2"/>
      <c r="P356" s="2"/>
      <c r="Q356" s="16"/>
      <c r="R356" s="49"/>
      <c r="S356" s="93" t="e">
        <f t="shared" si="5"/>
        <v>#DIV/0!</v>
      </c>
    </row>
    <row r="357" spans="1:19" x14ac:dyDescent="0.3">
      <c r="A357" s="5">
        <v>356</v>
      </c>
      <c r="B357" s="2">
        <v>1323356</v>
      </c>
      <c r="C357" s="2" t="s">
        <v>356</v>
      </c>
      <c r="D357" s="15" t="s">
        <v>641</v>
      </c>
      <c r="E357" s="2" t="s">
        <v>1205</v>
      </c>
      <c r="F357" s="26"/>
      <c r="G357" s="26"/>
      <c r="H357" s="2"/>
      <c r="I357" s="2"/>
      <c r="J357" s="16"/>
      <c r="K357" s="16"/>
      <c r="L357" s="2" t="s">
        <v>8</v>
      </c>
      <c r="M357" s="16" t="s">
        <v>1644</v>
      </c>
      <c r="N357" s="16" t="s">
        <v>1663</v>
      </c>
      <c r="O357" s="2"/>
      <c r="P357" s="2"/>
      <c r="Q357" s="16"/>
      <c r="R357" s="49"/>
      <c r="S357" s="93" t="e">
        <f t="shared" si="5"/>
        <v>#DIV/0!</v>
      </c>
    </row>
    <row r="358" spans="1:19" x14ac:dyDescent="0.3">
      <c r="A358" s="5">
        <v>357</v>
      </c>
      <c r="B358" s="2">
        <v>1323357</v>
      </c>
      <c r="C358" s="2" t="s">
        <v>357</v>
      </c>
      <c r="D358" s="15" t="s">
        <v>656</v>
      </c>
      <c r="E358" s="2" t="s">
        <v>668</v>
      </c>
      <c r="F358" s="26">
        <v>9468161265</v>
      </c>
      <c r="G358" s="26" t="s">
        <v>1993</v>
      </c>
      <c r="H358" s="2" t="s">
        <v>1142</v>
      </c>
      <c r="I358" s="2"/>
      <c r="J358" s="16" t="s">
        <v>1146</v>
      </c>
      <c r="K358" s="16"/>
      <c r="L358" s="2" t="s">
        <v>8</v>
      </c>
      <c r="M358" s="16">
        <v>6.18</v>
      </c>
      <c r="N358" s="16">
        <v>6.7</v>
      </c>
      <c r="O358" s="2" t="s">
        <v>2214</v>
      </c>
      <c r="P358" s="2">
        <v>6.73</v>
      </c>
      <c r="Q358" s="16"/>
      <c r="R358" s="49"/>
      <c r="S358" s="93">
        <f t="shared" si="5"/>
        <v>6.5366666666666662</v>
      </c>
    </row>
    <row r="359" spans="1:19" x14ac:dyDescent="0.3">
      <c r="A359" s="5">
        <v>358</v>
      </c>
      <c r="B359" s="2">
        <v>1323358</v>
      </c>
      <c r="C359" s="2" t="s">
        <v>358</v>
      </c>
      <c r="D359" s="15"/>
      <c r="E359" s="2"/>
      <c r="F359" s="26"/>
      <c r="G359" s="26"/>
      <c r="H359" s="2"/>
      <c r="I359" s="2"/>
      <c r="J359" s="16"/>
      <c r="K359" s="16"/>
      <c r="L359" s="2"/>
      <c r="M359" s="16"/>
      <c r="N359" s="16"/>
      <c r="O359" s="2"/>
      <c r="P359" s="2"/>
      <c r="Q359" s="16"/>
      <c r="R359" s="49"/>
      <c r="S359" s="93" t="e">
        <f t="shared" si="5"/>
        <v>#DIV/0!</v>
      </c>
    </row>
    <row r="360" spans="1:19" x14ac:dyDescent="0.3">
      <c r="A360" s="5">
        <v>359</v>
      </c>
      <c r="B360" s="2">
        <v>1323359</v>
      </c>
      <c r="C360" s="2" t="s">
        <v>359</v>
      </c>
      <c r="D360" s="15" t="s">
        <v>771</v>
      </c>
      <c r="E360" s="2" t="s">
        <v>964</v>
      </c>
      <c r="F360" s="26">
        <v>9027907210</v>
      </c>
      <c r="G360" s="26" t="s">
        <v>1994</v>
      </c>
      <c r="H360" s="2" t="s">
        <v>1142</v>
      </c>
      <c r="I360" s="2"/>
      <c r="J360" s="16" t="s">
        <v>8</v>
      </c>
      <c r="K360" s="16"/>
      <c r="L360" s="2" t="s">
        <v>8</v>
      </c>
      <c r="M360" s="16" t="s">
        <v>958</v>
      </c>
      <c r="N360" s="16">
        <v>6.05</v>
      </c>
      <c r="O360" s="2" t="s">
        <v>2218</v>
      </c>
      <c r="P360" s="2" t="s">
        <v>2283</v>
      </c>
      <c r="Q360" s="16"/>
      <c r="R360" s="49"/>
      <c r="S360" s="93">
        <f t="shared" si="5"/>
        <v>6.05</v>
      </c>
    </row>
    <row r="361" spans="1:19" x14ac:dyDescent="0.3">
      <c r="A361" s="5">
        <v>360</v>
      </c>
      <c r="B361" s="2">
        <v>1323360</v>
      </c>
      <c r="C361" s="2" t="s">
        <v>360</v>
      </c>
      <c r="D361" s="15" t="s">
        <v>1558</v>
      </c>
      <c r="E361" s="2" t="s">
        <v>1303</v>
      </c>
      <c r="F361" s="26">
        <v>7419120154</v>
      </c>
      <c r="G361" s="26" t="s">
        <v>1995</v>
      </c>
      <c r="H361" s="2" t="s">
        <v>1142</v>
      </c>
      <c r="I361" s="2"/>
      <c r="J361" s="16" t="s">
        <v>8</v>
      </c>
      <c r="K361" s="16"/>
      <c r="L361" s="2" t="s">
        <v>8</v>
      </c>
      <c r="M361" s="16">
        <v>7.68</v>
      </c>
      <c r="N361" s="16">
        <v>8.5500000000000007</v>
      </c>
      <c r="O361" s="2">
        <v>8.0500000000000007</v>
      </c>
      <c r="P361" s="2">
        <v>8.59</v>
      </c>
      <c r="Q361" s="16"/>
      <c r="R361" s="49"/>
      <c r="S361" s="93">
        <f t="shared" si="5"/>
        <v>8.2175000000000011</v>
      </c>
    </row>
    <row r="362" spans="1:19" x14ac:dyDescent="0.3">
      <c r="A362" s="5">
        <v>361</v>
      </c>
      <c r="B362" s="2">
        <v>1323361</v>
      </c>
      <c r="C362" s="2" t="s">
        <v>602</v>
      </c>
      <c r="D362" s="15" t="s">
        <v>1559</v>
      </c>
      <c r="E362" s="2" t="s">
        <v>1340</v>
      </c>
      <c r="F362" s="26">
        <v>8252541771</v>
      </c>
      <c r="G362" s="26" t="s">
        <v>1996</v>
      </c>
      <c r="H362" s="2" t="s">
        <v>1142</v>
      </c>
      <c r="I362" s="2"/>
      <c r="J362" s="16" t="s">
        <v>1145</v>
      </c>
      <c r="K362" s="16"/>
      <c r="L362" s="2" t="s">
        <v>928</v>
      </c>
      <c r="M362" s="16" t="s">
        <v>1616</v>
      </c>
      <c r="N362" s="16">
        <v>7.45</v>
      </c>
      <c r="O362" s="2" t="s">
        <v>2235</v>
      </c>
      <c r="P362" s="2">
        <v>7.84</v>
      </c>
      <c r="Q362" s="16"/>
      <c r="R362" s="49"/>
      <c r="S362" s="93">
        <f t="shared" si="5"/>
        <v>7.6449999999999996</v>
      </c>
    </row>
    <row r="363" spans="1:19" x14ac:dyDescent="0.3">
      <c r="A363" s="5">
        <v>362</v>
      </c>
      <c r="B363" s="2">
        <v>1323362</v>
      </c>
      <c r="C363" s="2" t="s">
        <v>361</v>
      </c>
      <c r="D363" s="15" t="s">
        <v>654</v>
      </c>
      <c r="E363" s="2" t="s">
        <v>1208</v>
      </c>
      <c r="F363" s="26">
        <v>9350211679</v>
      </c>
      <c r="G363" s="26" t="s">
        <v>1997</v>
      </c>
      <c r="H363" s="2" t="s">
        <v>1142</v>
      </c>
      <c r="I363" s="2"/>
      <c r="J363" s="16" t="s">
        <v>1146</v>
      </c>
      <c r="K363" s="16"/>
      <c r="L363" s="2" t="s">
        <v>926</v>
      </c>
      <c r="M363" s="16">
        <v>7.57</v>
      </c>
      <c r="N363" s="16">
        <v>7.77</v>
      </c>
      <c r="O363" s="2" t="s">
        <v>2236</v>
      </c>
      <c r="P363" s="2" t="s">
        <v>2284</v>
      </c>
      <c r="Q363" s="16"/>
      <c r="R363" s="49"/>
      <c r="S363" s="93">
        <f t="shared" si="5"/>
        <v>7.67</v>
      </c>
    </row>
    <row r="364" spans="1:19" x14ac:dyDescent="0.3">
      <c r="A364" s="5">
        <v>363</v>
      </c>
      <c r="B364" s="2">
        <v>1323363</v>
      </c>
      <c r="C364" s="2" t="s">
        <v>362</v>
      </c>
      <c r="D364" s="15" t="s">
        <v>1560</v>
      </c>
      <c r="E364" s="2" t="s">
        <v>1341</v>
      </c>
      <c r="F364" s="26">
        <v>7258071560</v>
      </c>
      <c r="G364" s="26" t="s">
        <v>1998</v>
      </c>
      <c r="H364" s="2" t="s">
        <v>1142</v>
      </c>
      <c r="I364" s="2"/>
      <c r="J364" s="16" t="s">
        <v>1146</v>
      </c>
      <c r="K364" s="16"/>
      <c r="L364" s="2" t="s">
        <v>8</v>
      </c>
      <c r="M364" s="16">
        <v>7.77</v>
      </c>
      <c r="N364" s="16">
        <v>7.86</v>
      </c>
      <c r="O364" s="2">
        <v>8</v>
      </c>
      <c r="P364" s="2">
        <v>7.2</v>
      </c>
      <c r="Q364" s="16"/>
      <c r="R364" s="49"/>
      <c r="S364" s="93">
        <f t="shared" si="5"/>
        <v>7.7074999999999996</v>
      </c>
    </row>
    <row r="365" spans="1:19" x14ac:dyDescent="0.3">
      <c r="A365" s="5">
        <v>364</v>
      </c>
      <c r="B365" s="2">
        <v>1323364</v>
      </c>
      <c r="C365" s="2" t="s">
        <v>363</v>
      </c>
      <c r="D365" s="15" t="s">
        <v>772</v>
      </c>
      <c r="E365" s="2" t="s">
        <v>1342</v>
      </c>
      <c r="F365" s="26">
        <v>9034658803</v>
      </c>
      <c r="G365" s="26" t="s">
        <v>1999</v>
      </c>
      <c r="H365" s="2" t="s">
        <v>1142</v>
      </c>
      <c r="I365" s="2"/>
      <c r="J365" s="16" t="s">
        <v>1145</v>
      </c>
      <c r="K365" s="16"/>
      <c r="L365" s="2" t="s">
        <v>8</v>
      </c>
      <c r="M365" s="16">
        <v>7.95</v>
      </c>
      <c r="N365" s="16">
        <v>8.32</v>
      </c>
      <c r="O365" s="2">
        <v>8.27</v>
      </c>
      <c r="P365" s="2">
        <v>8.09</v>
      </c>
      <c r="Q365" s="16"/>
      <c r="R365" s="49"/>
      <c r="S365" s="93">
        <f t="shared" si="5"/>
        <v>8.1574999999999989</v>
      </c>
    </row>
    <row r="366" spans="1:19" x14ac:dyDescent="0.3">
      <c r="A366" s="5">
        <v>365</v>
      </c>
      <c r="B366" s="2">
        <v>1323365</v>
      </c>
      <c r="C366" s="2" t="s">
        <v>364</v>
      </c>
      <c r="D366" s="15" t="s">
        <v>1561</v>
      </c>
      <c r="E366" s="2" t="s">
        <v>1201</v>
      </c>
      <c r="F366" s="26">
        <v>8570833982</v>
      </c>
      <c r="G366" s="26" t="s">
        <v>2000</v>
      </c>
      <c r="H366" s="2" t="s">
        <v>1142</v>
      </c>
      <c r="I366" s="2"/>
      <c r="J366" s="16" t="s">
        <v>1146</v>
      </c>
      <c r="K366" s="16"/>
      <c r="L366" s="2" t="s">
        <v>8</v>
      </c>
      <c r="M366" s="16">
        <v>7.73</v>
      </c>
      <c r="N366" s="16">
        <v>8</v>
      </c>
      <c r="O366" s="2">
        <v>7.8</v>
      </c>
      <c r="P366" s="2">
        <v>6.45</v>
      </c>
      <c r="Q366" s="16"/>
      <c r="R366" s="49"/>
      <c r="S366" s="93">
        <f t="shared" si="5"/>
        <v>7.4950000000000001</v>
      </c>
    </row>
    <row r="367" spans="1:19" x14ac:dyDescent="0.3">
      <c r="A367" s="5">
        <v>366</v>
      </c>
      <c r="B367" s="2">
        <v>1323366</v>
      </c>
      <c r="C367" s="2" t="s">
        <v>365</v>
      </c>
      <c r="D367" s="15" t="s">
        <v>773</v>
      </c>
      <c r="E367" s="2" t="s">
        <v>1177</v>
      </c>
      <c r="F367" s="26">
        <v>9050452413</v>
      </c>
      <c r="G367" s="26" t="s">
        <v>2001</v>
      </c>
      <c r="H367" s="2" t="s">
        <v>1142</v>
      </c>
      <c r="I367" s="2"/>
      <c r="J367" s="16" t="s">
        <v>8</v>
      </c>
      <c r="K367" s="16"/>
      <c r="L367" s="2" t="s">
        <v>8</v>
      </c>
      <c r="M367" s="16">
        <v>6.2</v>
      </c>
      <c r="N367" s="16" t="s">
        <v>1687</v>
      </c>
      <c r="O367" s="2" t="s">
        <v>2237</v>
      </c>
      <c r="P367" s="2" t="s">
        <v>953</v>
      </c>
      <c r="Q367" s="16"/>
      <c r="R367" s="49"/>
      <c r="S367" s="93">
        <f t="shared" si="5"/>
        <v>6.2</v>
      </c>
    </row>
    <row r="368" spans="1:19" x14ac:dyDescent="0.3">
      <c r="A368" s="5">
        <v>367</v>
      </c>
      <c r="B368" s="2">
        <v>1323367</v>
      </c>
      <c r="C368" s="2" t="s">
        <v>366</v>
      </c>
      <c r="D368" s="15" t="s">
        <v>774</v>
      </c>
      <c r="E368" s="2" t="s">
        <v>1343</v>
      </c>
      <c r="F368" s="26">
        <v>7056988808</v>
      </c>
      <c r="G368" s="26" t="s">
        <v>2002</v>
      </c>
      <c r="H368" s="2" t="s">
        <v>1142</v>
      </c>
      <c r="I368" s="2"/>
      <c r="J368" s="16" t="s">
        <v>1146</v>
      </c>
      <c r="K368" s="16"/>
      <c r="L368" s="2" t="s">
        <v>8</v>
      </c>
      <c r="M368" s="16">
        <v>8.64</v>
      </c>
      <c r="N368" s="16">
        <v>8.82</v>
      </c>
      <c r="O368" s="2">
        <v>8.27</v>
      </c>
      <c r="P368" s="2">
        <v>8.4499999999999993</v>
      </c>
      <c r="Q368" s="16"/>
      <c r="R368" s="49"/>
      <c r="S368" s="93">
        <f t="shared" si="5"/>
        <v>8.5449999999999999</v>
      </c>
    </row>
    <row r="369" spans="1:19" x14ac:dyDescent="0.3">
      <c r="A369" s="5">
        <v>368</v>
      </c>
      <c r="B369" s="2">
        <v>1323368</v>
      </c>
      <c r="C369" s="2" t="s">
        <v>367</v>
      </c>
      <c r="D369" s="15" t="s">
        <v>1562</v>
      </c>
      <c r="E369" s="2" t="s">
        <v>1344</v>
      </c>
      <c r="F369" s="26">
        <v>9991379464</v>
      </c>
      <c r="G369" s="26" t="s">
        <v>2003</v>
      </c>
      <c r="H369" s="2" t="s">
        <v>1142</v>
      </c>
      <c r="I369" s="2"/>
      <c r="J369" s="16" t="s">
        <v>8</v>
      </c>
      <c r="K369" s="16"/>
      <c r="L369" s="2" t="s">
        <v>8</v>
      </c>
      <c r="M369" s="16">
        <v>5.95</v>
      </c>
      <c r="N369" s="16" t="s">
        <v>1677</v>
      </c>
      <c r="O369" s="2" t="s">
        <v>953</v>
      </c>
      <c r="P369" s="2" t="s">
        <v>2285</v>
      </c>
      <c r="Q369" s="16"/>
      <c r="R369" s="49"/>
      <c r="S369" s="93">
        <f t="shared" si="5"/>
        <v>5.95</v>
      </c>
    </row>
    <row r="370" spans="1:19" x14ac:dyDescent="0.3">
      <c r="A370" s="5">
        <v>369</v>
      </c>
      <c r="B370" s="2">
        <v>1323369</v>
      </c>
      <c r="C370" s="2" t="s">
        <v>368</v>
      </c>
      <c r="D370" s="15" t="s">
        <v>775</v>
      </c>
      <c r="E370" s="2" t="s">
        <v>1345</v>
      </c>
      <c r="F370" s="26">
        <v>7061822044</v>
      </c>
      <c r="G370" s="26" t="s">
        <v>2004</v>
      </c>
      <c r="H370" s="2" t="s">
        <v>1142</v>
      </c>
      <c r="I370" s="2"/>
      <c r="J370" s="16" t="s">
        <v>1145</v>
      </c>
      <c r="K370" s="16"/>
      <c r="L370" s="2" t="s">
        <v>928</v>
      </c>
      <c r="M370" s="16">
        <v>7</v>
      </c>
      <c r="N370" s="16">
        <v>6.77</v>
      </c>
      <c r="O370" s="2" t="s">
        <v>2221</v>
      </c>
      <c r="P370" s="2" t="s">
        <v>2250</v>
      </c>
      <c r="Q370" s="16"/>
      <c r="R370" s="49"/>
      <c r="S370" s="93">
        <f t="shared" si="5"/>
        <v>6.8849999999999998</v>
      </c>
    </row>
    <row r="371" spans="1:19" x14ac:dyDescent="0.3">
      <c r="A371" s="5">
        <v>370</v>
      </c>
      <c r="B371" s="2">
        <v>1323370</v>
      </c>
      <c r="C371" s="2" t="s">
        <v>369</v>
      </c>
      <c r="D371" s="15" t="s">
        <v>776</v>
      </c>
      <c r="E371" s="2" t="s">
        <v>1346</v>
      </c>
      <c r="F371" s="26">
        <v>9931554481</v>
      </c>
      <c r="G371" s="26" t="s">
        <v>2005</v>
      </c>
      <c r="H371" s="2" t="s">
        <v>1142</v>
      </c>
      <c r="I371" s="2"/>
      <c r="J371" s="16" t="s">
        <v>8</v>
      </c>
      <c r="K371" s="16"/>
      <c r="L371" s="2" t="s">
        <v>928</v>
      </c>
      <c r="M371" s="16">
        <v>6.5</v>
      </c>
      <c r="N371" s="16">
        <v>6.09</v>
      </c>
      <c r="O371" s="2">
        <v>6.05</v>
      </c>
      <c r="P371" s="2" t="s">
        <v>2250</v>
      </c>
      <c r="Q371" s="16"/>
      <c r="R371" s="49"/>
      <c r="S371" s="93">
        <f t="shared" si="5"/>
        <v>6.2133333333333338</v>
      </c>
    </row>
    <row r="372" spans="1:19" x14ac:dyDescent="0.3">
      <c r="A372" s="5">
        <v>371</v>
      </c>
      <c r="B372" s="2">
        <v>1323371</v>
      </c>
      <c r="C372" s="2" t="s">
        <v>370</v>
      </c>
      <c r="D372" s="15" t="s">
        <v>777</v>
      </c>
      <c r="E372" s="2" t="s">
        <v>1347</v>
      </c>
      <c r="F372" s="26">
        <v>7070015806</v>
      </c>
      <c r="G372" s="26" t="s">
        <v>2006</v>
      </c>
      <c r="H372" s="2" t="s">
        <v>1142</v>
      </c>
      <c r="I372" s="2"/>
      <c r="J372" s="16" t="s">
        <v>1146</v>
      </c>
      <c r="K372" s="16"/>
      <c r="L372" s="2" t="s">
        <v>8</v>
      </c>
      <c r="M372" s="16" t="s">
        <v>1630</v>
      </c>
      <c r="N372" s="16" t="s">
        <v>1664</v>
      </c>
      <c r="O372" s="2">
        <v>5.59</v>
      </c>
      <c r="P372" s="2" t="s">
        <v>2272</v>
      </c>
      <c r="Q372" s="16"/>
      <c r="R372" s="49"/>
      <c r="S372" s="93">
        <f t="shared" si="5"/>
        <v>5.59</v>
      </c>
    </row>
    <row r="373" spans="1:19" x14ac:dyDescent="0.3">
      <c r="A373" s="5">
        <v>372</v>
      </c>
      <c r="B373" s="2">
        <v>1323372</v>
      </c>
      <c r="C373" s="2" t="s">
        <v>371</v>
      </c>
      <c r="D373" s="15"/>
      <c r="E373" s="2"/>
      <c r="F373" s="26"/>
      <c r="G373" s="26"/>
      <c r="H373" s="2"/>
      <c r="I373" s="2"/>
      <c r="J373" s="16"/>
      <c r="K373" s="16"/>
      <c r="L373" s="2"/>
      <c r="M373" s="16"/>
      <c r="N373" s="16"/>
      <c r="O373" s="2"/>
      <c r="P373" s="2"/>
      <c r="Q373" s="16"/>
      <c r="R373" s="49"/>
      <c r="S373" s="93" t="e">
        <f t="shared" si="5"/>
        <v>#DIV/0!</v>
      </c>
    </row>
    <row r="374" spans="1:19" x14ac:dyDescent="0.3">
      <c r="A374" s="5">
        <v>373</v>
      </c>
      <c r="B374" s="2">
        <v>1323373</v>
      </c>
      <c r="C374" s="2" t="s">
        <v>372</v>
      </c>
      <c r="D374" s="15" t="s">
        <v>778</v>
      </c>
      <c r="E374" s="2" t="s">
        <v>1348</v>
      </c>
      <c r="F374" s="26">
        <v>9128785464</v>
      </c>
      <c r="G374" s="26" t="s">
        <v>2007</v>
      </c>
      <c r="H374" s="2" t="s">
        <v>1142</v>
      </c>
      <c r="I374" s="2"/>
      <c r="J374" s="16" t="s">
        <v>8</v>
      </c>
      <c r="K374" s="16"/>
      <c r="L374" s="2" t="s">
        <v>8</v>
      </c>
      <c r="M374" s="16">
        <v>6</v>
      </c>
      <c r="N374" s="16" t="s">
        <v>1676</v>
      </c>
      <c r="O374" s="2" t="s">
        <v>2238</v>
      </c>
      <c r="P374" s="2">
        <v>5.59</v>
      </c>
      <c r="Q374" s="16"/>
      <c r="R374" s="49"/>
      <c r="S374" s="93">
        <f t="shared" si="5"/>
        <v>5.7949999999999999</v>
      </c>
    </row>
    <row r="375" spans="1:19" x14ac:dyDescent="0.3">
      <c r="A375" s="5">
        <v>374</v>
      </c>
      <c r="B375" s="2">
        <v>1323374</v>
      </c>
      <c r="C375" s="2" t="s">
        <v>373</v>
      </c>
      <c r="D375" s="15" t="s">
        <v>1563</v>
      </c>
      <c r="E375" s="2" t="s">
        <v>1349</v>
      </c>
      <c r="F375" s="26">
        <v>9518403256</v>
      </c>
      <c r="G375" s="26" t="s">
        <v>2008</v>
      </c>
      <c r="H375" s="2" t="s">
        <v>1142</v>
      </c>
      <c r="I375" s="2"/>
      <c r="J375" s="16" t="s">
        <v>8</v>
      </c>
      <c r="K375" s="16"/>
      <c r="L375" s="2" t="s">
        <v>8</v>
      </c>
      <c r="M375" s="16">
        <v>6.75</v>
      </c>
      <c r="N375" s="16" t="s">
        <v>1676</v>
      </c>
      <c r="O375" s="2">
        <v>7.5</v>
      </c>
      <c r="P375" s="2">
        <v>6.34</v>
      </c>
      <c r="Q375" s="16"/>
      <c r="R375" s="49"/>
      <c r="S375" s="93">
        <f t="shared" si="5"/>
        <v>6.8633333333333333</v>
      </c>
    </row>
    <row r="376" spans="1:19" x14ac:dyDescent="0.3">
      <c r="A376" s="5">
        <v>375</v>
      </c>
      <c r="B376" s="2">
        <v>1323375</v>
      </c>
      <c r="C376" s="2" t="s">
        <v>374</v>
      </c>
      <c r="D376" s="15" t="s">
        <v>779</v>
      </c>
      <c r="E376" s="2" t="s">
        <v>1350</v>
      </c>
      <c r="F376" s="26">
        <v>8950828718</v>
      </c>
      <c r="G376" s="26" t="s">
        <v>2009</v>
      </c>
      <c r="H376" s="2" t="s">
        <v>1142</v>
      </c>
      <c r="I376" s="2"/>
      <c r="J376" s="16" t="s">
        <v>1146</v>
      </c>
      <c r="K376" s="16"/>
      <c r="L376" s="2" t="s">
        <v>8</v>
      </c>
      <c r="M376" s="16">
        <v>8.32</v>
      </c>
      <c r="N376" s="16" t="s">
        <v>1662</v>
      </c>
      <c r="O376" s="2">
        <v>8.18</v>
      </c>
      <c r="P376" s="2">
        <v>8.52</v>
      </c>
      <c r="Q376" s="16"/>
      <c r="R376" s="49"/>
      <c r="S376" s="93">
        <f t="shared" si="5"/>
        <v>8.34</v>
      </c>
    </row>
    <row r="377" spans="1:19" x14ac:dyDescent="0.3">
      <c r="A377" s="5">
        <v>376</v>
      </c>
      <c r="B377" s="2">
        <v>1323376</v>
      </c>
      <c r="C377" s="2" t="s">
        <v>941</v>
      </c>
      <c r="D377" s="15" t="s">
        <v>1564</v>
      </c>
      <c r="E377" s="2" t="s">
        <v>1351</v>
      </c>
      <c r="F377" s="26"/>
      <c r="G377" s="26"/>
      <c r="H377" s="2"/>
      <c r="I377" s="2"/>
      <c r="J377" s="16"/>
      <c r="K377" s="16"/>
      <c r="L377" s="2" t="s">
        <v>8</v>
      </c>
      <c r="M377" s="16" t="s">
        <v>1633</v>
      </c>
      <c r="N377" s="16" t="s">
        <v>1689</v>
      </c>
      <c r="O377" s="2"/>
      <c r="P377" s="2"/>
      <c r="Q377" s="16"/>
      <c r="R377" s="49"/>
      <c r="S377" s="93" t="e">
        <f t="shared" si="5"/>
        <v>#DIV/0!</v>
      </c>
    </row>
    <row r="378" spans="1:19" x14ac:dyDescent="0.3">
      <c r="A378" s="5">
        <v>377</v>
      </c>
      <c r="B378" s="2">
        <v>1323377</v>
      </c>
      <c r="C378" s="2" t="s">
        <v>375</v>
      </c>
      <c r="D378" s="15" t="s">
        <v>780</v>
      </c>
      <c r="E378" s="2" t="s">
        <v>916</v>
      </c>
      <c r="F378" s="26">
        <v>7827476472</v>
      </c>
      <c r="G378" s="26" t="s">
        <v>2010</v>
      </c>
      <c r="H378" s="2" t="s">
        <v>1142</v>
      </c>
      <c r="I378" s="2"/>
      <c r="J378" s="16" t="s">
        <v>1146</v>
      </c>
      <c r="K378" s="16"/>
      <c r="L378" s="2" t="s">
        <v>926</v>
      </c>
      <c r="M378" s="16" t="s">
        <v>1632</v>
      </c>
      <c r="N378" s="16">
        <v>8.41</v>
      </c>
      <c r="O378" s="2">
        <v>8.68</v>
      </c>
      <c r="P378" s="2">
        <v>9</v>
      </c>
      <c r="Q378" s="16"/>
      <c r="R378" s="49"/>
      <c r="S378" s="93">
        <f t="shared" si="5"/>
        <v>8.6966666666666672</v>
      </c>
    </row>
    <row r="379" spans="1:19" x14ac:dyDescent="0.3">
      <c r="A379" s="5">
        <v>378</v>
      </c>
      <c r="B379" s="2">
        <v>1323378</v>
      </c>
      <c r="C379" s="2" t="s">
        <v>376</v>
      </c>
      <c r="D379" s="15" t="s">
        <v>641</v>
      </c>
      <c r="E379" s="2" t="s">
        <v>1352</v>
      </c>
      <c r="F379" s="26">
        <v>7056570021</v>
      </c>
      <c r="G379" s="26" t="s">
        <v>2011</v>
      </c>
      <c r="H379" s="2" t="s">
        <v>1142</v>
      </c>
      <c r="I379" s="2"/>
      <c r="J379" s="16" t="s">
        <v>1146</v>
      </c>
      <c r="K379" s="16"/>
      <c r="L379" s="2" t="s">
        <v>8</v>
      </c>
      <c r="M379" s="16">
        <v>6.43</v>
      </c>
      <c r="N379" s="16">
        <v>6.23</v>
      </c>
      <c r="O379" s="2" t="s">
        <v>2208</v>
      </c>
      <c r="P379" s="2" t="s">
        <v>2250</v>
      </c>
      <c r="Q379" s="16"/>
      <c r="R379" s="49"/>
      <c r="S379" s="93">
        <f t="shared" si="5"/>
        <v>6.33</v>
      </c>
    </row>
    <row r="380" spans="1:19" x14ac:dyDescent="0.3">
      <c r="A380" s="5">
        <v>379</v>
      </c>
      <c r="B380" s="2">
        <v>1323379</v>
      </c>
      <c r="C380" s="2" t="s">
        <v>377</v>
      </c>
      <c r="D380" s="18" t="s">
        <v>781</v>
      </c>
      <c r="E380" s="2" t="s">
        <v>1353</v>
      </c>
      <c r="F380" s="26">
        <v>9546016107</v>
      </c>
      <c r="G380" s="26" t="s">
        <v>2012</v>
      </c>
      <c r="H380" s="2" t="s">
        <v>1142</v>
      </c>
      <c r="I380" s="2"/>
      <c r="J380" s="16" t="s">
        <v>1146</v>
      </c>
      <c r="K380" s="16"/>
      <c r="L380" s="2" t="s">
        <v>8</v>
      </c>
      <c r="M380" s="16">
        <v>7.27</v>
      </c>
      <c r="N380" s="16">
        <v>7.34</v>
      </c>
      <c r="O380" s="2">
        <v>7.27</v>
      </c>
      <c r="P380" s="2">
        <v>7.14</v>
      </c>
      <c r="Q380" s="16"/>
      <c r="R380" s="49"/>
      <c r="S380" s="93">
        <f t="shared" si="5"/>
        <v>7.2549999999999999</v>
      </c>
    </row>
    <row r="381" spans="1:19" x14ac:dyDescent="0.3">
      <c r="A381" s="5">
        <v>380</v>
      </c>
      <c r="B381" s="2">
        <v>1323380</v>
      </c>
      <c r="C381" s="2" t="s">
        <v>378</v>
      </c>
      <c r="D381" s="18" t="s">
        <v>1356</v>
      </c>
      <c r="E381" s="2" t="s">
        <v>1354</v>
      </c>
      <c r="F381" s="26">
        <v>9817251606</v>
      </c>
      <c r="G381" s="26" t="s">
        <v>2013</v>
      </c>
      <c r="H381" s="2" t="s">
        <v>1142</v>
      </c>
      <c r="I381" s="2"/>
      <c r="J381" s="16" t="s">
        <v>8</v>
      </c>
      <c r="K381" s="16"/>
      <c r="L381" s="2" t="s">
        <v>8</v>
      </c>
      <c r="M381" s="16" t="s">
        <v>1616</v>
      </c>
      <c r="N381" s="16" t="s">
        <v>1676</v>
      </c>
      <c r="O381" s="2" t="s">
        <v>2239</v>
      </c>
      <c r="P381" s="2">
        <v>5.86</v>
      </c>
      <c r="Q381" s="16"/>
      <c r="R381" s="49"/>
      <c r="S381" s="93">
        <f t="shared" si="5"/>
        <v>5.86</v>
      </c>
    </row>
    <row r="382" spans="1:19" x14ac:dyDescent="0.3">
      <c r="A382" s="5">
        <v>381</v>
      </c>
      <c r="B382" s="2">
        <v>1323381</v>
      </c>
      <c r="C382" s="2" t="s">
        <v>379</v>
      </c>
      <c r="D382" s="18" t="s">
        <v>782</v>
      </c>
      <c r="E382" s="2" t="s">
        <v>1355</v>
      </c>
      <c r="F382" s="26">
        <v>7404487267</v>
      </c>
      <c r="G382" s="26" t="s">
        <v>2014</v>
      </c>
      <c r="H382" s="2" t="s">
        <v>1142</v>
      </c>
      <c r="I382" s="2"/>
      <c r="J382" s="16" t="s">
        <v>8</v>
      </c>
      <c r="K382" s="16"/>
      <c r="L382" s="2" t="s">
        <v>926</v>
      </c>
      <c r="M382" s="16">
        <v>6.3</v>
      </c>
      <c r="N382" s="16" t="s">
        <v>1676</v>
      </c>
      <c r="O382" s="2" t="s">
        <v>953</v>
      </c>
      <c r="P382" s="2" t="s">
        <v>954</v>
      </c>
      <c r="Q382" s="16"/>
      <c r="R382" s="49"/>
      <c r="S382" s="93">
        <f t="shared" si="5"/>
        <v>6.3</v>
      </c>
    </row>
    <row r="383" spans="1:19" x14ac:dyDescent="0.3">
      <c r="A383" s="5">
        <v>382</v>
      </c>
      <c r="B383" s="2">
        <v>1323382</v>
      </c>
      <c r="C383" s="2" t="s">
        <v>380</v>
      </c>
      <c r="D383" s="18" t="s">
        <v>774</v>
      </c>
      <c r="E383" s="2" t="s">
        <v>1356</v>
      </c>
      <c r="F383" s="26">
        <v>9992245885</v>
      </c>
      <c r="G383" s="26" t="s">
        <v>2015</v>
      </c>
      <c r="H383" s="2" t="s">
        <v>1142</v>
      </c>
      <c r="I383" s="2"/>
      <c r="J383" s="16" t="s">
        <v>1146</v>
      </c>
      <c r="K383" s="16"/>
      <c r="L383" s="2" t="s">
        <v>8</v>
      </c>
      <c r="M383" s="16">
        <v>6.68</v>
      </c>
      <c r="N383" s="16" t="s">
        <v>1664</v>
      </c>
      <c r="O383" s="2" t="s">
        <v>2240</v>
      </c>
      <c r="P383" s="2">
        <v>6.82</v>
      </c>
      <c r="Q383" s="16"/>
      <c r="R383" s="49"/>
      <c r="S383" s="93">
        <f t="shared" si="5"/>
        <v>6.75</v>
      </c>
    </row>
    <row r="384" spans="1:19" x14ac:dyDescent="0.3">
      <c r="A384" s="5">
        <v>383</v>
      </c>
      <c r="B384" s="2">
        <v>1323383</v>
      </c>
      <c r="C384" s="2" t="s">
        <v>381</v>
      </c>
      <c r="D384" s="18" t="s">
        <v>783</v>
      </c>
      <c r="E384" s="2" t="s">
        <v>1357</v>
      </c>
      <c r="F384" s="26">
        <v>9851021022</v>
      </c>
      <c r="G384" s="26" t="s">
        <v>2016</v>
      </c>
      <c r="H384" s="2" t="s">
        <v>1142</v>
      </c>
      <c r="I384" s="2"/>
      <c r="J384" s="16" t="s">
        <v>8</v>
      </c>
      <c r="K384" s="16"/>
      <c r="L384" s="2" t="s">
        <v>8</v>
      </c>
      <c r="M384" s="16" t="s">
        <v>958</v>
      </c>
      <c r="N384" s="16" t="s">
        <v>1676</v>
      </c>
      <c r="O384" s="2" t="s">
        <v>953</v>
      </c>
      <c r="P384" s="2" t="s">
        <v>2250</v>
      </c>
      <c r="Q384" s="16"/>
      <c r="R384" s="49"/>
      <c r="S384" s="93" t="e">
        <f t="shared" si="5"/>
        <v>#DIV/0!</v>
      </c>
    </row>
    <row r="385" spans="1:19" x14ac:dyDescent="0.3">
      <c r="A385" s="5">
        <v>384</v>
      </c>
      <c r="B385" s="2">
        <v>1323384</v>
      </c>
      <c r="C385" s="2" t="s">
        <v>382</v>
      </c>
      <c r="D385" s="18" t="s">
        <v>1565</v>
      </c>
      <c r="E385" s="2" t="s">
        <v>1358</v>
      </c>
      <c r="F385" s="26"/>
      <c r="G385" s="26"/>
      <c r="H385" s="2"/>
      <c r="I385" s="2"/>
      <c r="J385" s="16"/>
      <c r="K385" s="16"/>
      <c r="L385" s="2"/>
      <c r="M385" s="16" t="s">
        <v>1645</v>
      </c>
      <c r="N385" s="16"/>
      <c r="O385" s="2"/>
      <c r="P385" s="2"/>
      <c r="Q385" s="16"/>
      <c r="R385" s="49"/>
      <c r="S385" s="93" t="e">
        <f t="shared" si="5"/>
        <v>#DIV/0!</v>
      </c>
    </row>
    <row r="386" spans="1:19" x14ac:dyDescent="0.3">
      <c r="A386" s="5">
        <v>385</v>
      </c>
      <c r="B386" s="2">
        <v>1323385</v>
      </c>
      <c r="C386" s="2" t="s">
        <v>383</v>
      </c>
      <c r="D386" s="18"/>
      <c r="E386" s="2"/>
      <c r="F386" s="26"/>
      <c r="G386" s="26"/>
      <c r="H386" s="2"/>
      <c r="I386" s="2"/>
      <c r="J386" s="16"/>
      <c r="K386" s="16"/>
      <c r="L386" s="2"/>
      <c r="M386" s="16"/>
      <c r="N386" s="16"/>
      <c r="O386" s="2"/>
      <c r="P386" s="2"/>
      <c r="Q386" s="16"/>
      <c r="R386" s="49"/>
      <c r="S386" s="93" t="e">
        <f t="shared" ref="S386:S449" si="6">AVERAGE(M386:P386)</f>
        <v>#DIV/0!</v>
      </c>
    </row>
    <row r="387" spans="1:19" x14ac:dyDescent="0.3">
      <c r="A387" s="5">
        <v>386</v>
      </c>
      <c r="B387" s="2">
        <v>1323386</v>
      </c>
      <c r="C387" s="2" t="s">
        <v>384</v>
      </c>
      <c r="D387" s="18" t="s">
        <v>1566</v>
      </c>
      <c r="E387" s="2" t="s">
        <v>1303</v>
      </c>
      <c r="F387" s="26"/>
      <c r="G387" s="26"/>
      <c r="H387" s="2"/>
      <c r="I387" s="2"/>
      <c r="J387" s="16"/>
      <c r="K387" s="16"/>
      <c r="L387" s="2"/>
      <c r="M387" s="16" t="s">
        <v>958</v>
      </c>
      <c r="N387" s="16" t="s">
        <v>958</v>
      </c>
      <c r="O387" s="2"/>
      <c r="P387" s="2"/>
      <c r="Q387" s="16"/>
      <c r="R387" s="49"/>
      <c r="S387" s="93" t="e">
        <f t="shared" si="6"/>
        <v>#DIV/0!</v>
      </c>
    </row>
    <row r="388" spans="1:19" x14ac:dyDescent="0.3">
      <c r="A388" s="5">
        <v>387</v>
      </c>
      <c r="B388" s="2">
        <v>1323387</v>
      </c>
      <c r="C388" s="2" t="s">
        <v>385</v>
      </c>
      <c r="D388" s="18" t="s">
        <v>784</v>
      </c>
      <c r="E388" s="2" t="s">
        <v>1359</v>
      </c>
      <c r="F388" s="26">
        <v>9518192302</v>
      </c>
      <c r="G388" s="26" t="s">
        <v>2017</v>
      </c>
      <c r="H388" s="2" t="s">
        <v>1142</v>
      </c>
      <c r="I388" s="2"/>
      <c r="J388" s="16" t="s">
        <v>1146</v>
      </c>
      <c r="K388" s="16"/>
      <c r="L388" s="2" t="s">
        <v>8</v>
      </c>
      <c r="M388" s="16">
        <v>8.41</v>
      </c>
      <c r="N388" s="16">
        <v>8.36</v>
      </c>
      <c r="O388" s="2">
        <v>8</v>
      </c>
      <c r="P388" s="2">
        <v>8.09</v>
      </c>
      <c r="Q388" s="16"/>
      <c r="R388" s="49"/>
      <c r="S388" s="93">
        <f t="shared" si="6"/>
        <v>8.2149999999999999</v>
      </c>
    </row>
    <row r="389" spans="1:19" x14ac:dyDescent="0.3">
      <c r="A389" s="5">
        <v>388</v>
      </c>
      <c r="B389" s="2">
        <v>1323388</v>
      </c>
      <c r="C389" s="2" t="s">
        <v>386</v>
      </c>
      <c r="D389" s="18" t="s">
        <v>785</v>
      </c>
      <c r="E389" s="2" t="s">
        <v>1360</v>
      </c>
      <c r="F389" s="26">
        <v>8307291608</v>
      </c>
      <c r="G389" s="26" t="s">
        <v>2018</v>
      </c>
      <c r="H389" s="2" t="s">
        <v>1142</v>
      </c>
      <c r="I389" s="2"/>
      <c r="J389" s="16" t="s">
        <v>1146</v>
      </c>
      <c r="K389" s="16"/>
      <c r="L389" s="2" t="s">
        <v>8</v>
      </c>
      <c r="M389" s="16">
        <v>8.59</v>
      </c>
      <c r="N389" s="16">
        <v>8.64</v>
      </c>
      <c r="O389" s="2">
        <v>8</v>
      </c>
      <c r="P389" s="2">
        <v>8.09</v>
      </c>
      <c r="Q389" s="16"/>
      <c r="R389" s="49"/>
      <c r="S389" s="93">
        <f t="shared" si="6"/>
        <v>8.33</v>
      </c>
    </row>
    <row r="390" spans="1:19" x14ac:dyDescent="0.3">
      <c r="A390" s="5">
        <v>389</v>
      </c>
      <c r="B390" s="2">
        <v>1323389</v>
      </c>
      <c r="C390" s="2" t="s">
        <v>387</v>
      </c>
      <c r="D390" s="18" t="s">
        <v>786</v>
      </c>
      <c r="E390" s="2" t="s">
        <v>1361</v>
      </c>
      <c r="F390" s="26">
        <v>7667276551</v>
      </c>
      <c r="G390" s="26" t="s">
        <v>2019</v>
      </c>
      <c r="H390" s="2" t="s">
        <v>1142</v>
      </c>
      <c r="I390" s="2"/>
      <c r="J390" s="16" t="s">
        <v>1146</v>
      </c>
      <c r="K390" s="16"/>
      <c r="L390" s="2" t="s">
        <v>8</v>
      </c>
      <c r="M390" s="16" t="s">
        <v>1632</v>
      </c>
      <c r="N390" s="16" t="s">
        <v>1676</v>
      </c>
      <c r="O390" s="2" t="s">
        <v>2212</v>
      </c>
      <c r="P390" s="2">
        <v>7.23</v>
      </c>
      <c r="Q390" s="16"/>
      <c r="R390" s="49"/>
      <c r="S390" s="93">
        <f t="shared" si="6"/>
        <v>7.23</v>
      </c>
    </row>
    <row r="391" spans="1:19" x14ac:dyDescent="0.3">
      <c r="A391" s="5">
        <v>390</v>
      </c>
      <c r="B391" s="2">
        <v>1323390</v>
      </c>
      <c r="C391" s="2" t="s">
        <v>388</v>
      </c>
      <c r="D391" s="18" t="s">
        <v>787</v>
      </c>
      <c r="E391" s="2" t="s">
        <v>1362</v>
      </c>
      <c r="F391" s="26"/>
      <c r="G391" s="26"/>
      <c r="H391" s="2" t="s">
        <v>1142</v>
      </c>
      <c r="I391" s="2"/>
      <c r="J391" s="16" t="s">
        <v>8</v>
      </c>
      <c r="K391" s="16"/>
      <c r="L391" s="2" t="s">
        <v>928</v>
      </c>
      <c r="M391" s="16" t="s">
        <v>1625</v>
      </c>
      <c r="N391" s="16" t="s">
        <v>1673</v>
      </c>
      <c r="O391" s="2" t="s">
        <v>954</v>
      </c>
      <c r="P391" s="2" t="s">
        <v>954</v>
      </c>
      <c r="Q391" s="16"/>
      <c r="R391" s="49"/>
      <c r="S391" s="93" t="e">
        <f t="shared" si="6"/>
        <v>#DIV/0!</v>
      </c>
    </row>
    <row r="392" spans="1:19" x14ac:dyDescent="0.3">
      <c r="A392" s="5">
        <v>391</v>
      </c>
      <c r="B392" s="2">
        <v>1323391</v>
      </c>
      <c r="C392" s="2" t="s">
        <v>389</v>
      </c>
      <c r="D392" s="18"/>
      <c r="E392" s="2"/>
      <c r="F392" s="26"/>
      <c r="G392" s="26"/>
      <c r="H392" s="2"/>
      <c r="I392" s="2"/>
      <c r="J392" s="16"/>
      <c r="K392" s="16"/>
      <c r="L392" s="2"/>
      <c r="M392" s="16"/>
      <c r="N392" s="16"/>
      <c r="O392" s="2"/>
      <c r="P392" s="2"/>
      <c r="Q392" s="16"/>
      <c r="R392" s="49"/>
      <c r="S392" s="93" t="e">
        <f t="shared" si="6"/>
        <v>#DIV/0!</v>
      </c>
    </row>
    <row r="393" spans="1:19" x14ac:dyDescent="0.3">
      <c r="A393" s="5">
        <v>392</v>
      </c>
      <c r="B393" s="2">
        <v>1323392</v>
      </c>
      <c r="C393" s="2" t="s">
        <v>390</v>
      </c>
      <c r="D393" s="18" t="s">
        <v>788</v>
      </c>
      <c r="E393" s="2" t="s">
        <v>1363</v>
      </c>
      <c r="F393" s="26">
        <v>8168528592</v>
      </c>
      <c r="G393" s="26" t="s">
        <v>2020</v>
      </c>
      <c r="H393" s="2" t="s">
        <v>1142</v>
      </c>
      <c r="I393" s="2"/>
      <c r="J393" s="16" t="s">
        <v>8</v>
      </c>
      <c r="K393" s="16"/>
      <c r="L393" s="2" t="s">
        <v>926</v>
      </c>
      <c r="M393" s="16">
        <v>6.57</v>
      </c>
      <c r="N393" s="16">
        <v>6.14</v>
      </c>
      <c r="O393" s="2" t="s">
        <v>953</v>
      </c>
      <c r="P393" s="2">
        <v>5.8</v>
      </c>
      <c r="Q393" s="16"/>
      <c r="R393" s="49"/>
      <c r="S393" s="93">
        <f t="shared" si="6"/>
        <v>6.1700000000000008</v>
      </c>
    </row>
    <row r="394" spans="1:19" x14ac:dyDescent="0.3">
      <c r="A394" s="5">
        <v>393</v>
      </c>
      <c r="B394" s="2">
        <v>1323393</v>
      </c>
      <c r="C394" s="2" t="s">
        <v>391</v>
      </c>
      <c r="D394" s="18" t="s">
        <v>789</v>
      </c>
      <c r="E394" s="2" t="s">
        <v>1364</v>
      </c>
      <c r="F394" s="26">
        <v>8873972638</v>
      </c>
      <c r="G394" s="26" t="s">
        <v>2021</v>
      </c>
      <c r="H394" s="2" t="s">
        <v>1142</v>
      </c>
      <c r="I394" s="2"/>
      <c r="J394" s="16" t="s">
        <v>1145</v>
      </c>
      <c r="K394" s="16"/>
      <c r="L394" s="2" t="s">
        <v>928</v>
      </c>
      <c r="M394" s="16">
        <v>7.91</v>
      </c>
      <c r="N394" s="16">
        <v>7.91</v>
      </c>
      <c r="O394" s="2">
        <v>7.95</v>
      </c>
      <c r="P394" s="2">
        <v>7.91</v>
      </c>
      <c r="Q394" s="16"/>
      <c r="R394" s="49"/>
      <c r="S394" s="93">
        <f t="shared" si="6"/>
        <v>7.92</v>
      </c>
    </row>
    <row r="395" spans="1:19" x14ac:dyDescent="0.3">
      <c r="A395" s="5">
        <v>394</v>
      </c>
      <c r="B395" s="2">
        <v>1323394</v>
      </c>
      <c r="C395" s="2" t="s">
        <v>392</v>
      </c>
      <c r="D395" s="18" t="s">
        <v>790</v>
      </c>
      <c r="E395" s="2" t="s">
        <v>1365</v>
      </c>
      <c r="F395" s="26">
        <v>7250410648</v>
      </c>
      <c r="G395" s="26" t="s">
        <v>2022</v>
      </c>
      <c r="H395" s="2" t="s">
        <v>1142</v>
      </c>
      <c r="I395" s="2"/>
      <c r="J395" s="16" t="s">
        <v>1146</v>
      </c>
      <c r="K395" s="16"/>
      <c r="L395" s="2" t="s">
        <v>8</v>
      </c>
      <c r="M395" s="16">
        <v>6.48</v>
      </c>
      <c r="N395" s="16">
        <v>6.66</v>
      </c>
      <c r="O395" s="2">
        <v>7.05</v>
      </c>
      <c r="P395" s="2">
        <v>5.84</v>
      </c>
      <c r="Q395" s="16"/>
      <c r="R395" s="49"/>
      <c r="S395" s="93">
        <f t="shared" si="6"/>
        <v>6.5075000000000003</v>
      </c>
    </row>
    <row r="396" spans="1:19" x14ac:dyDescent="0.3">
      <c r="A396" s="5">
        <v>395</v>
      </c>
      <c r="B396" s="2">
        <v>1323395</v>
      </c>
      <c r="C396" s="2" t="s">
        <v>393</v>
      </c>
      <c r="D396" s="15" t="s">
        <v>1567</v>
      </c>
      <c r="E396" s="2" t="s">
        <v>1366</v>
      </c>
      <c r="F396" s="26"/>
      <c r="G396" s="26"/>
      <c r="H396" s="2"/>
      <c r="I396" s="2"/>
      <c r="J396" s="16"/>
      <c r="K396" s="16"/>
      <c r="L396" s="2"/>
      <c r="M396" s="16" t="s">
        <v>1646</v>
      </c>
      <c r="N396" s="16"/>
      <c r="O396" s="2"/>
      <c r="P396" s="2"/>
      <c r="Q396" s="16"/>
      <c r="R396" s="49"/>
      <c r="S396" s="93" t="e">
        <f t="shared" si="6"/>
        <v>#DIV/0!</v>
      </c>
    </row>
    <row r="397" spans="1:19" x14ac:dyDescent="0.3">
      <c r="A397" s="5">
        <v>396</v>
      </c>
      <c r="B397" s="2">
        <v>1323396</v>
      </c>
      <c r="C397" s="2" t="s">
        <v>394</v>
      </c>
      <c r="D397" s="18"/>
      <c r="E397" s="2"/>
      <c r="F397" s="26"/>
      <c r="G397" s="26"/>
      <c r="H397" s="2"/>
      <c r="I397" s="2"/>
      <c r="J397" s="16"/>
      <c r="K397" s="16"/>
      <c r="L397" s="2"/>
      <c r="M397" s="16"/>
      <c r="N397" s="16"/>
      <c r="O397" s="2"/>
      <c r="P397" s="2"/>
      <c r="Q397" s="16"/>
      <c r="R397" s="49"/>
      <c r="S397" s="93" t="e">
        <f t="shared" si="6"/>
        <v>#DIV/0!</v>
      </c>
    </row>
    <row r="398" spans="1:19" x14ac:dyDescent="0.3">
      <c r="A398" s="5">
        <v>397</v>
      </c>
      <c r="B398" s="2">
        <v>1323397</v>
      </c>
      <c r="C398" s="2" t="s">
        <v>395</v>
      </c>
      <c r="D398" s="18"/>
      <c r="E398" s="2"/>
      <c r="F398" s="26"/>
      <c r="G398" s="26"/>
      <c r="H398" s="2"/>
      <c r="I398" s="2"/>
      <c r="J398" s="16"/>
      <c r="K398" s="16"/>
      <c r="L398" s="2"/>
      <c r="M398" s="16"/>
      <c r="N398" s="16"/>
      <c r="O398" s="2"/>
      <c r="P398" s="2"/>
      <c r="Q398" s="16"/>
      <c r="R398" s="49"/>
      <c r="S398" s="93" t="e">
        <f t="shared" si="6"/>
        <v>#DIV/0!</v>
      </c>
    </row>
    <row r="399" spans="1:19" x14ac:dyDescent="0.3">
      <c r="A399" s="5">
        <v>398</v>
      </c>
      <c r="B399" s="2">
        <v>1323398</v>
      </c>
      <c r="C399" s="2" t="s">
        <v>396</v>
      </c>
      <c r="D399" s="18" t="s">
        <v>791</v>
      </c>
      <c r="E399" s="2" t="s">
        <v>1367</v>
      </c>
      <c r="F399" s="26">
        <v>7070953846</v>
      </c>
      <c r="G399" s="26" t="s">
        <v>2023</v>
      </c>
      <c r="H399" s="2" t="s">
        <v>1142</v>
      </c>
      <c r="I399" s="2"/>
      <c r="J399" s="16" t="s">
        <v>1146</v>
      </c>
      <c r="K399" s="16"/>
      <c r="L399" s="2" t="s">
        <v>928</v>
      </c>
      <c r="M399" s="16" t="s">
        <v>1637</v>
      </c>
      <c r="N399" s="16">
        <v>6.27</v>
      </c>
      <c r="O399" s="2">
        <v>6.95</v>
      </c>
      <c r="P399" s="2" t="s">
        <v>2286</v>
      </c>
      <c r="Q399" s="16"/>
      <c r="R399" s="49"/>
      <c r="S399" s="93">
        <f t="shared" si="6"/>
        <v>6.6099999999999994</v>
      </c>
    </row>
    <row r="400" spans="1:19" x14ac:dyDescent="0.3">
      <c r="A400" s="5">
        <v>399</v>
      </c>
      <c r="B400" s="2">
        <v>1323399</v>
      </c>
      <c r="C400" s="2" t="s">
        <v>397</v>
      </c>
      <c r="D400" s="18" t="s">
        <v>792</v>
      </c>
      <c r="E400" s="2" t="s">
        <v>1368</v>
      </c>
      <c r="F400" s="26"/>
      <c r="G400" s="26"/>
      <c r="H400" s="2"/>
      <c r="I400" s="2"/>
      <c r="J400" s="16"/>
      <c r="K400" s="16"/>
      <c r="L400" s="2" t="s">
        <v>928</v>
      </c>
      <c r="M400" s="16" t="s">
        <v>1637</v>
      </c>
      <c r="N400" s="16" t="s">
        <v>1663</v>
      </c>
      <c r="O400" s="2"/>
      <c r="P400" s="2"/>
      <c r="Q400" s="16"/>
      <c r="R400" s="49"/>
      <c r="S400" s="93" t="e">
        <f t="shared" si="6"/>
        <v>#DIV/0!</v>
      </c>
    </row>
    <row r="401" spans="1:19" x14ac:dyDescent="0.3">
      <c r="A401" s="5">
        <v>400</v>
      </c>
      <c r="B401" s="2">
        <v>1323400</v>
      </c>
      <c r="C401" s="2" t="s">
        <v>398</v>
      </c>
      <c r="D401" s="18" t="s">
        <v>793</v>
      </c>
      <c r="E401" s="2" t="s">
        <v>1369</v>
      </c>
      <c r="F401" s="26">
        <v>9113196203</v>
      </c>
      <c r="G401" s="26" t="s">
        <v>2024</v>
      </c>
      <c r="H401" s="2" t="s">
        <v>1143</v>
      </c>
      <c r="I401" s="2"/>
      <c r="J401" s="16" t="s">
        <v>1146</v>
      </c>
      <c r="K401" s="16"/>
      <c r="L401" s="2" t="s">
        <v>8</v>
      </c>
      <c r="M401" s="16">
        <v>7.77</v>
      </c>
      <c r="N401" s="16">
        <v>8.18</v>
      </c>
      <c r="O401" s="2">
        <v>8.18</v>
      </c>
      <c r="P401" s="2">
        <v>7.84</v>
      </c>
      <c r="Q401" s="16"/>
      <c r="R401" s="49"/>
      <c r="S401" s="93">
        <f t="shared" si="6"/>
        <v>7.9924999999999997</v>
      </c>
    </row>
    <row r="402" spans="1:19" x14ac:dyDescent="0.3">
      <c r="A402" s="5">
        <v>401</v>
      </c>
      <c r="B402" s="2">
        <v>1323401</v>
      </c>
      <c r="C402" s="2" t="s">
        <v>399</v>
      </c>
      <c r="D402" s="18" t="s">
        <v>794</v>
      </c>
      <c r="E402" s="2" t="s">
        <v>1370</v>
      </c>
      <c r="F402" s="26">
        <v>9905812926</v>
      </c>
      <c r="G402" s="26" t="s">
        <v>2025</v>
      </c>
      <c r="H402" s="2" t="s">
        <v>1143</v>
      </c>
      <c r="I402" s="2"/>
      <c r="J402" s="16" t="s">
        <v>1146</v>
      </c>
      <c r="K402" s="16"/>
      <c r="L402" s="2" t="s">
        <v>8</v>
      </c>
      <c r="M402" s="16">
        <v>7.27</v>
      </c>
      <c r="N402" s="16">
        <v>8.5</v>
      </c>
      <c r="O402" s="2">
        <v>8.5</v>
      </c>
      <c r="P402" s="2">
        <v>7.57</v>
      </c>
      <c r="Q402" s="16"/>
      <c r="R402" s="49"/>
      <c r="S402" s="93">
        <f t="shared" si="6"/>
        <v>7.96</v>
      </c>
    </row>
    <row r="403" spans="1:19" x14ac:dyDescent="0.3">
      <c r="A403" s="5">
        <v>402</v>
      </c>
      <c r="B403" s="2">
        <v>1323402</v>
      </c>
      <c r="C403" s="2" t="s">
        <v>400</v>
      </c>
      <c r="D403" s="18" t="s">
        <v>795</v>
      </c>
      <c r="E403" s="2" t="s">
        <v>1371</v>
      </c>
      <c r="F403" s="26">
        <v>9523022192</v>
      </c>
      <c r="G403" s="26" t="s">
        <v>2026</v>
      </c>
      <c r="H403" s="2" t="s">
        <v>1143</v>
      </c>
      <c r="I403" s="2"/>
      <c r="J403" s="16" t="s">
        <v>8</v>
      </c>
      <c r="K403" s="16"/>
      <c r="L403" s="2" t="s">
        <v>8</v>
      </c>
      <c r="M403" s="16">
        <v>6.52</v>
      </c>
      <c r="N403" s="16" t="s">
        <v>1676</v>
      </c>
      <c r="O403" s="2" t="s">
        <v>2221</v>
      </c>
      <c r="P403" s="2" t="s">
        <v>2286</v>
      </c>
      <c r="Q403" s="16"/>
      <c r="R403" s="49"/>
      <c r="S403" s="93">
        <f t="shared" si="6"/>
        <v>6.52</v>
      </c>
    </row>
    <row r="404" spans="1:19" x14ac:dyDescent="0.3">
      <c r="A404" s="5">
        <v>403</v>
      </c>
      <c r="B404" s="2">
        <v>1323403</v>
      </c>
      <c r="C404" s="2" t="s">
        <v>401</v>
      </c>
      <c r="D404" s="18" t="s">
        <v>777</v>
      </c>
      <c r="E404" s="2" t="s">
        <v>1372</v>
      </c>
      <c r="F404" s="26">
        <v>9142496994</v>
      </c>
      <c r="G404" s="26" t="s">
        <v>2027</v>
      </c>
      <c r="H404" s="2" t="s">
        <v>1143</v>
      </c>
      <c r="I404" s="2"/>
      <c r="J404" s="16" t="s">
        <v>1145</v>
      </c>
      <c r="K404" s="16"/>
      <c r="L404" s="2" t="s">
        <v>8</v>
      </c>
      <c r="M404" s="16">
        <v>7.82</v>
      </c>
      <c r="N404" s="16">
        <v>8.5</v>
      </c>
      <c r="O404" s="2">
        <v>7.82</v>
      </c>
      <c r="P404" s="2">
        <v>8.11</v>
      </c>
      <c r="Q404" s="16"/>
      <c r="R404" s="49"/>
      <c r="S404" s="93">
        <f t="shared" si="6"/>
        <v>8.0625</v>
      </c>
    </row>
    <row r="405" spans="1:19" x14ac:dyDescent="0.3">
      <c r="A405" s="5">
        <v>404</v>
      </c>
      <c r="B405" s="2">
        <v>1323404</v>
      </c>
      <c r="C405" s="2" t="s">
        <v>402</v>
      </c>
      <c r="D405" s="18" t="s">
        <v>796</v>
      </c>
      <c r="E405" s="2" t="s">
        <v>1373</v>
      </c>
      <c r="F405" s="26">
        <v>8298610546</v>
      </c>
      <c r="G405" s="26" t="s">
        <v>2028</v>
      </c>
      <c r="H405" s="2" t="s">
        <v>1143</v>
      </c>
      <c r="I405" s="2"/>
      <c r="J405" s="16" t="s">
        <v>8</v>
      </c>
      <c r="K405" s="16"/>
      <c r="L405" s="2" t="s">
        <v>8</v>
      </c>
      <c r="M405" s="16">
        <v>6.64</v>
      </c>
      <c r="N405" s="16" t="s">
        <v>1690</v>
      </c>
      <c r="O405" s="2">
        <v>6.55</v>
      </c>
      <c r="P405" s="2" t="s">
        <v>2250</v>
      </c>
      <c r="Q405" s="16"/>
      <c r="R405" s="49"/>
      <c r="S405" s="93">
        <f t="shared" si="6"/>
        <v>6.5949999999999998</v>
      </c>
    </row>
    <row r="406" spans="1:19" x14ac:dyDescent="0.3">
      <c r="A406" s="5">
        <v>405</v>
      </c>
      <c r="B406" s="2">
        <v>1323405</v>
      </c>
      <c r="C406" s="2" t="s">
        <v>403</v>
      </c>
      <c r="D406" s="18" t="s">
        <v>792</v>
      </c>
      <c r="E406" s="2" t="s">
        <v>1374</v>
      </c>
      <c r="F406" s="26">
        <v>7646024031</v>
      </c>
      <c r="G406" s="26" t="s">
        <v>2029</v>
      </c>
      <c r="H406" s="2" t="s">
        <v>1143</v>
      </c>
      <c r="I406" s="2"/>
      <c r="J406" s="16" t="s">
        <v>1146</v>
      </c>
      <c r="K406" s="16"/>
      <c r="L406" s="2" t="s">
        <v>8</v>
      </c>
      <c r="M406" s="16">
        <v>7.09</v>
      </c>
      <c r="N406" s="16">
        <v>7.91</v>
      </c>
      <c r="O406" s="2">
        <v>8.14</v>
      </c>
      <c r="P406" s="2">
        <v>6.93</v>
      </c>
      <c r="Q406" s="16"/>
      <c r="R406" s="49"/>
      <c r="S406" s="93">
        <f t="shared" si="6"/>
        <v>7.5175000000000001</v>
      </c>
    </row>
    <row r="407" spans="1:19" x14ac:dyDescent="0.3">
      <c r="A407" s="5">
        <v>406</v>
      </c>
      <c r="B407" s="2">
        <v>1323406</v>
      </c>
      <c r="C407" s="2" t="s">
        <v>404</v>
      </c>
      <c r="D407" s="18" t="s">
        <v>797</v>
      </c>
      <c r="E407" s="2" t="s">
        <v>1375</v>
      </c>
      <c r="F407" s="26">
        <v>8210529790</v>
      </c>
      <c r="G407" s="26" t="s">
        <v>2030</v>
      </c>
      <c r="H407" s="2" t="s">
        <v>1143</v>
      </c>
      <c r="I407" s="2"/>
      <c r="J407" s="16" t="s">
        <v>8</v>
      </c>
      <c r="K407" s="16"/>
      <c r="L407" s="2" t="s">
        <v>8</v>
      </c>
      <c r="M407" s="16">
        <v>7.82</v>
      </c>
      <c r="N407" s="16">
        <v>8.59</v>
      </c>
      <c r="O407" s="2">
        <v>8.41</v>
      </c>
      <c r="P407" s="2">
        <v>8.5500000000000007</v>
      </c>
      <c r="Q407" s="16"/>
      <c r="R407" s="49"/>
      <c r="S407" s="93">
        <f t="shared" si="6"/>
        <v>8.3425000000000011</v>
      </c>
    </row>
    <row r="408" spans="1:19" x14ac:dyDescent="0.3">
      <c r="A408" s="5">
        <v>407</v>
      </c>
      <c r="B408" s="2">
        <v>1323407</v>
      </c>
      <c r="C408" s="2" t="s">
        <v>405</v>
      </c>
      <c r="D408" s="18" t="s">
        <v>798</v>
      </c>
      <c r="E408" s="2" t="s">
        <v>1376</v>
      </c>
      <c r="F408" s="26">
        <v>9728879312</v>
      </c>
      <c r="G408" s="26" t="s">
        <v>2031</v>
      </c>
      <c r="H408" s="2" t="s">
        <v>1143</v>
      </c>
      <c r="I408" s="2"/>
      <c r="J408" s="16" t="s">
        <v>1145</v>
      </c>
      <c r="K408" s="16"/>
      <c r="L408" s="2" t="s">
        <v>8</v>
      </c>
      <c r="M408" s="16">
        <v>7.36</v>
      </c>
      <c r="N408" s="16">
        <v>7.91</v>
      </c>
      <c r="O408" s="2">
        <v>8.5500000000000007</v>
      </c>
      <c r="P408" s="2">
        <v>7.34</v>
      </c>
      <c r="Q408" s="16"/>
      <c r="R408" s="49"/>
      <c r="S408" s="93">
        <f t="shared" si="6"/>
        <v>7.79</v>
      </c>
    </row>
    <row r="409" spans="1:19" x14ac:dyDescent="0.3">
      <c r="A409" s="5">
        <v>408</v>
      </c>
      <c r="B409" s="2">
        <v>1323408</v>
      </c>
      <c r="C409" s="2" t="s">
        <v>406</v>
      </c>
      <c r="D409" s="18" t="s">
        <v>799</v>
      </c>
      <c r="E409" s="2" t="s">
        <v>1377</v>
      </c>
      <c r="F409" s="26">
        <v>9696232482</v>
      </c>
      <c r="G409" s="26" t="s">
        <v>2032</v>
      </c>
      <c r="H409" s="2" t="s">
        <v>1143</v>
      </c>
      <c r="I409" s="2"/>
      <c r="J409" s="16" t="s">
        <v>1146</v>
      </c>
      <c r="K409" s="16"/>
      <c r="L409" s="2" t="s">
        <v>8</v>
      </c>
      <c r="M409" s="16" t="s">
        <v>1626</v>
      </c>
      <c r="N409" s="16">
        <v>7.27</v>
      </c>
      <c r="O409" s="2">
        <v>7.86</v>
      </c>
      <c r="P409" s="2">
        <v>7.09</v>
      </c>
      <c r="Q409" s="16"/>
      <c r="R409" s="49"/>
      <c r="S409" s="93">
        <f t="shared" si="6"/>
        <v>7.4066666666666663</v>
      </c>
    </row>
    <row r="410" spans="1:19" x14ac:dyDescent="0.3">
      <c r="A410" s="5">
        <v>409</v>
      </c>
      <c r="B410" s="2">
        <v>1323409</v>
      </c>
      <c r="C410" s="2" t="s">
        <v>407</v>
      </c>
      <c r="D410" s="18" t="s">
        <v>800</v>
      </c>
      <c r="E410" s="2" t="s">
        <v>1378</v>
      </c>
      <c r="F410" s="26">
        <v>7360847928</v>
      </c>
      <c r="G410" s="26" t="s">
        <v>2033</v>
      </c>
      <c r="H410" s="2" t="s">
        <v>1143</v>
      </c>
      <c r="I410" s="2"/>
      <c r="J410" s="16" t="s">
        <v>1146</v>
      </c>
      <c r="K410" s="16"/>
      <c r="L410" s="2" t="s">
        <v>8</v>
      </c>
      <c r="M410" s="16">
        <v>9.14</v>
      </c>
      <c r="N410" s="16">
        <v>8.86</v>
      </c>
      <c r="O410" s="2">
        <v>8.91</v>
      </c>
      <c r="P410" s="2">
        <v>8.82</v>
      </c>
      <c r="Q410" s="16"/>
      <c r="R410" s="49"/>
      <c r="S410" s="93">
        <f t="shared" si="6"/>
        <v>8.932500000000001</v>
      </c>
    </row>
    <row r="411" spans="1:19" x14ac:dyDescent="0.3">
      <c r="A411" s="5">
        <v>410</v>
      </c>
      <c r="B411" s="2">
        <v>1323410</v>
      </c>
      <c r="C411" s="2" t="s">
        <v>408</v>
      </c>
      <c r="D411" s="18" t="s">
        <v>801</v>
      </c>
      <c r="E411" s="2" t="s">
        <v>1379</v>
      </c>
      <c r="F411" s="26">
        <v>6206663017</v>
      </c>
      <c r="G411" s="26" t="s">
        <v>2034</v>
      </c>
      <c r="H411" s="2" t="s">
        <v>1143</v>
      </c>
      <c r="I411" s="2"/>
      <c r="J411" s="16" t="s">
        <v>1146</v>
      </c>
      <c r="K411" s="16"/>
      <c r="L411" s="2" t="s">
        <v>8</v>
      </c>
      <c r="M411" s="16">
        <v>7.36</v>
      </c>
      <c r="N411" s="16">
        <v>7.68</v>
      </c>
      <c r="O411" s="2">
        <v>8.36</v>
      </c>
      <c r="P411" s="2">
        <v>7.05</v>
      </c>
      <c r="Q411" s="16"/>
      <c r="R411" s="49"/>
      <c r="S411" s="93">
        <f t="shared" si="6"/>
        <v>7.6124999999999998</v>
      </c>
    </row>
    <row r="412" spans="1:19" x14ac:dyDescent="0.3">
      <c r="A412" s="5">
        <v>411</v>
      </c>
      <c r="B412" s="2">
        <v>1323411</v>
      </c>
      <c r="C412" s="2" t="s">
        <v>409</v>
      </c>
      <c r="D412" s="18" t="s">
        <v>802</v>
      </c>
      <c r="E412" s="2" t="s">
        <v>1380</v>
      </c>
      <c r="F412" s="26">
        <v>9045689595</v>
      </c>
      <c r="G412" s="26" t="s">
        <v>2035</v>
      </c>
      <c r="H412" s="2" t="s">
        <v>1142</v>
      </c>
      <c r="I412" s="2"/>
      <c r="J412" s="16" t="s">
        <v>1146</v>
      </c>
      <c r="K412" s="16"/>
      <c r="L412" s="2" t="s">
        <v>926</v>
      </c>
      <c r="M412" s="16" t="s">
        <v>1647</v>
      </c>
      <c r="N412" s="16">
        <v>8.27</v>
      </c>
      <c r="O412" s="2">
        <v>8.64</v>
      </c>
      <c r="P412" s="2">
        <v>8.32</v>
      </c>
      <c r="Q412" s="16"/>
      <c r="R412" s="49"/>
      <c r="S412" s="93">
        <f t="shared" si="6"/>
        <v>8.41</v>
      </c>
    </row>
    <row r="413" spans="1:19" x14ac:dyDescent="0.3">
      <c r="A413" s="5">
        <v>412</v>
      </c>
      <c r="B413" s="2">
        <v>1323412</v>
      </c>
      <c r="C413" s="2" t="s">
        <v>410</v>
      </c>
      <c r="D413" s="18" t="s">
        <v>803</v>
      </c>
      <c r="E413" s="2" t="s">
        <v>1381</v>
      </c>
      <c r="F413" s="26">
        <v>9779846372</v>
      </c>
      <c r="G413" s="26" t="s">
        <v>2036</v>
      </c>
      <c r="H413" s="2" t="s">
        <v>1142</v>
      </c>
      <c r="I413" s="2"/>
      <c r="J413" s="16" t="s">
        <v>1145</v>
      </c>
      <c r="K413" s="16"/>
      <c r="L413" s="2" t="s">
        <v>8</v>
      </c>
      <c r="M413" s="16" t="s">
        <v>958</v>
      </c>
      <c r="N413" s="16">
        <v>6.09</v>
      </c>
      <c r="O413" s="2">
        <v>6.86</v>
      </c>
      <c r="P413" s="2" t="s">
        <v>2249</v>
      </c>
      <c r="Q413" s="16"/>
      <c r="R413" s="49"/>
      <c r="S413" s="93">
        <f t="shared" si="6"/>
        <v>6.4749999999999996</v>
      </c>
    </row>
    <row r="414" spans="1:19" x14ac:dyDescent="0.3">
      <c r="A414" s="5">
        <v>413</v>
      </c>
      <c r="B414" s="2">
        <v>1323413</v>
      </c>
      <c r="C414" s="2" t="s">
        <v>411</v>
      </c>
      <c r="D414" s="18" t="s">
        <v>804</v>
      </c>
      <c r="E414" s="2" t="s">
        <v>1382</v>
      </c>
      <c r="F414" s="26">
        <v>9102372831</v>
      </c>
      <c r="G414" s="26" t="s">
        <v>2037</v>
      </c>
      <c r="H414" s="2" t="s">
        <v>1143</v>
      </c>
      <c r="I414" s="2"/>
      <c r="J414" s="16" t="s">
        <v>1146</v>
      </c>
      <c r="K414" s="16"/>
      <c r="L414" s="2" t="s">
        <v>8</v>
      </c>
      <c r="M414" s="16">
        <v>6.91</v>
      </c>
      <c r="N414" s="16">
        <v>7.86</v>
      </c>
      <c r="O414" s="2">
        <v>7.95</v>
      </c>
      <c r="P414" s="2">
        <v>6.89</v>
      </c>
      <c r="Q414" s="16"/>
      <c r="R414" s="49"/>
      <c r="S414" s="93">
        <f t="shared" si="6"/>
        <v>7.4024999999999999</v>
      </c>
    </row>
    <row r="415" spans="1:19" x14ac:dyDescent="0.3">
      <c r="A415" s="5">
        <v>414</v>
      </c>
      <c r="B415" s="2">
        <v>1323414</v>
      </c>
      <c r="C415" s="2" t="s">
        <v>412</v>
      </c>
      <c r="D415" s="18" t="s">
        <v>805</v>
      </c>
      <c r="E415" s="2" t="s">
        <v>1383</v>
      </c>
      <c r="F415" s="26">
        <v>9572457368</v>
      </c>
      <c r="G415" s="26" t="s">
        <v>2038</v>
      </c>
      <c r="H415" s="2" t="s">
        <v>1143</v>
      </c>
      <c r="I415" s="2"/>
      <c r="J415" s="16" t="s">
        <v>1146</v>
      </c>
      <c r="K415" s="16"/>
      <c r="L415" s="2" t="s">
        <v>8</v>
      </c>
      <c r="M415" s="16">
        <v>7.05</v>
      </c>
      <c r="N415" s="16">
        <v>7.82</v>
      </c>
      <c r="O415" s="2">
        <v>8.14</v>
      </c>
      <c r="P415" s="2">
        <v>7.77</v>
      </c>
      <c r="Q415" s="16"/>
      <c r="R415" s="49"/>
      <c r="S415" s="93">
        <f t="shared" si="6"/>
        <v>7.6950000000000003</v>
      </c>
    </row>
    <row r="416" spans="1:19" x14ac:dyDescent="0.3">
      <c r="A416" s="5">
        <v>415</v>
      </c>
      <c r="B416" s="2">
        <v>1323415</v>
      </c>
      <c r="C416" s="2" t="s">
        <v>413</v>
      </c>
      <c r="D416" s="18"/>
      <c r="E416" s="2"/>
      <c r="F416" s="26"/>
      <c r="G416" s="26"/>
      <c r="H416" s="2"/>
      <c r="I416" s="2"/>
      <c r="J416" s="16"/>
      <c r="K416" s="16"/>
      <c r="L416" s="2"/>
      <c r="M416" s="16"/>
      <c r="N416" s="16"/>
      <c r="O416" s="2"/>
      <c r="P416" s="2"/>
      <c r="Q416" s="16"/>
      <c r="R416" s="49"/>
      <c r="S416" s="93" t="e">
        <f t="shared" si="6"/>
        <v>#DIV/0!</v>
      </c>
    </row>
    <row r="417" spans="1:19" x14ac:dyDescent="0.3">
      <c r="A417" s="5">
        <v>416</v>
      </c>
      <c r="B417" s="2">
        <v>1323416</v>
      </c>
      <c r="C417" s="2" t="s">
        <v>414</v>
      </c>
      <c r="D417" s="18" t="s">
        <v>806</v>
      </c>
      <c r="E417" s="2" t="s">
        <v>1384</v>
      </c>
      <c r="F417" s="26">
        <v>8930101099</v>
      </c>
      <c r="G417" s="26" t="s">
        <v>2039</v>
      </c>
      <c r="H417" s="2" t="s">
        <v>1142</v>
      </c>
      <c r="I417" s="2"/>
      <c r="J417" s="16" t="s">
        <v>1145</v>
      </c>
      <c r="K417" s="16"/>
      <c r="L417" s="2" t="s">
        <v>8</v>
      </c>
      <c r="M417" s="16" t="s">
        <v>1648</v>
      </c>
      <c r="N417" s="16" t="s">
        <v>1664</v>
      </c>
      <c r="O417" s="2" t="s">
        <v>2241</v>
      </c>
      <c r="P417" s="2" t="s">
        <v>2287</v>
      </c>
      <c r="Q417" s="16"/>
      <c r="R417" s="49"/>
      <c r="S417" s="93" t="e">
        <f t="shared" si="6"/>
        <v>#DIV/0!</v>
      </c>
    </row>
    <row r="418" spans="1:19" x14ac:dyDescent="0.3">
      <c r="A418" s="5">
        <v>417</v>
      </c>
      <c r="B418" s="2">
        <v>1323417</v>
      </c>
      <c r="C418" s="2" t="s">
        <v>415</v>
      </c>
      <c r="D418" s="18" t="s">
        <v>1568</v>
      </c>
      <c r="E418" s="2" t="s">
        <v>1385</v>
      </c>
      <c r="F418" s="26"/>
      <c r="G418" s="26"/>
      <c r="H418" s="2"/>
      <c r="I418" s="2"/>
      <c r="J418" s="16"/>
      <c r="K418" s="16"/>
      <c r="L418" s="2"/>
      <c r="M418" s="16" t="s">
        <v>1643</v>
      </c>
      <c r="N418" s="16"/>
      <c r="O418" s="2"/>
      <c r="P418" s="2"/>
      <c r="Q418" s="16"/>
      <c r="R418" s="49"/>
      <c r="S418" s="93" t="e">
        <f t="shared" si="6"/>
        <v>#DIV/0!</v>
      </c>
    </row>
    <row r="419" spans="1:19" x14ac:dyDescent="0.3">
      <c r="A419" s="5">
        <v>418</v>
      </c>
      <c r="B419" s="2">
        <v>1323418</v>
      </c>
      <c r="C419" s="2" t="s">
        <v>416</v>
      </c>
      <c r="D419" s="18" t="s">
        <v>796</v>
      </c>
      <c r="E419" s="2" t="s">
        <v>1386</v>
      </c>
      <c r="F419" s="26">
        <v>8102681022</v>
      </c>
      <c r="G419" s="26" t="s">
        <v>2040</v>
      </c>
      <c r="H419" s="2" t="s">
        <v>1143</v>
      </c>
      <c r="I419" s="2"/>
      <c r="J419" s="16" t="s">
        <v>1145</v>
      </c>
      <c r="K419" s="16"/>
      <c r="L419" s="2" t="s">
        <v>8</v>
      </c>
      <c r="M419" s="16">
        <v>7.64</v>
      </c>
      <c r="N419" s="16">
        <v>8.82</v>
      </c>
      <c r="O419" s="2">
        <v>8.36</v>
      </c>
      <c r="P419" s="2">
        <v>7.91</v>
      </c>
      <c r="Q419" s="16"/>
      <c r="R419" s="49"/>
      <c r="S419" s="93">
        <f t="shared" si="6"/>
        <v>8.182500000000001</v>
      </c>
    </row>
    <row r="420" spans="1:19" x14ac:dyDescent="0.3">
      <c r="A420" s="5">
        <v>419</v>
      </c>
      <c r="B420" s="2">
        <v>1323419</v>
      </c>
      <c r="C420" s="2" t="s">
        <v>417</v>
      </c>
      <c r="D420" s="18" t="s">
        <v>807</v>
      </c>
      <c r="E420" s="2" t="s">
        <v>1387</v>
      </c>
      <c r="F420" s="26">
        <v>9546841963</v>
      </c>
      <c r="G420" s="26" t="s">
        <v>2041</v>
      </c>
      <c r="H420" s="2" t="s">
        <v>1143</v>
      </c>
      <c r="I420" s="2"/>
      <c r="J420" s="16" t="s">
        <v>1145</v>
      </c>
      <c r="K420" s="16"/>
      <c r="L420" s="2" t="s">
        <v>8</v>
      </c>
      <c r="M420" s="16">
        <v>6.5</v>
      </c>
      <c r="N420" s="16">
        <v>6.25</v>
      </c>
      <c r="O420" s="2">
        <v>6.66</v>
      </c>
      <c r="P420" s="2">
        <v>6.91</v>
      </c>
      <c r="Q420" s="16"/>
      <c r="R420" s="49"/>
      <c r="S420" s="93">
        <f t="shared" si="6"/>
        <v>6.58</v>
      </c>
    </row>
    <row r="421" spans="1:19" x14ac:dyDescent="0.3">
      <c r="A421" s="5">
        <v>420</v>
      </c>
      <c r="B421" s="2">
        <v>1323420</v>
      </c>
      <c r="C421" s="2" t="s">
        <v>418</v>
      </c>
      <c r="D421" s="18" t="s">
        <v>808</v>
      </c>
      <c r="E421" s="2" t="s">
        <v>1388</v>
      </c>
      <c r="F421" s="26">
        <v>7840048547</v>
      </c>
      <c r="G421" s="26" t="s">
        <v>2042</v>
      </c>
      <c r="H421" s="2" t="s">
        <v>1143</v>
      </c>
      <c r="I421" s="2"/>
      <c r="J421" s="16" t="s">
        <v>1145</v>
      </c>
      <c r="K421" s="16"/>
      <c r="L421" s="2" t="s">
        <v>8</v>
      </c>
      <c r="M421" s="16">
        <v>5.68</v>
      </c>
      <c r="N421" s="16">
        <v>6.27</v>
      </c>
      <c r="O421" s="2">
        <v>5.89</v>
      </c>
      <c r="P421" s="2" t="s">
        <v>2250</v>
      </c>
      <c r="Q421" s="16"/>
      <c r="R421" s="49"/>
      <c r="S421" s="93">
        <f t="shared" si="6"/>
        <v>5.9466666666666663</v>
      </c>
    </row>
    <row r="422" spans="1:19" x14ac:dyDescent="0.3">
      <c r="A422" s="5">
        <v>421</v>
      </c>
      <c r="B422" s="2">
        <v>1323421</v>
      </c>
      <c r="C422" s="2" t="s">
        <v>419</v>
      </c>
      <c r="D422" s="18" t="s">
        <v>809</v>
      </c>
      <c r="E422" s="2" t="s">
        <v>1389</v>
      </c>
      <c r="F422" s="26">
        <v>7488840958</v>
      </c>
      <c r="G422" s="26" t="s">
        <v>2043</v>
      </c>
      <c r="H422" s="2" t="s">
        <v>1143</v>
      </c>
      <c r="I422" s="2"/>
      <c r="J422" s="16" t="s">
        <v>1146</v>
      </c>
      <c r="K422" s="16"/>
      <c r="L422" s="2" t="s">
        <v>8</v>
      </c>
      <c r="M422" s="16">
        <v>5.93</v>
      </c>
      <c r="N422" s="16">
        <v>6.84</v>
      </c>
      <c r="O422" s="2">
        <v>6.11</v>
      </c>
      <c r="P422" s="2">
        <v>6.57</v>
      </c>
      <c r="Q422" s="16"/>
      <c r="R422" s="49"/>
      <c r="S422" s="93">
        <f t="shared" si="6"/>
        <v>6.3624999999999998</v>
      </c>
    </row>
    <row r="423" spans="1:19" x14ac:dyDescent="0.3">
      <c r="A423" s="5">
        <v>422</v>
      </c>
      <c r="B423" s="2">
        <v>1323422</v>
      </c>
      <c r="C423" s="2" t="s">
        <v>420</v>
      </c>
      <c r="D423" s="18" t="s">
        <v>810</v>
      </c>
      <c r="E423" s="2" t="s">
        <v>1390</v>
      </c>
      <c r="F423" s="26">
        <v>8207421846</v>
      </c>
      <c r="G423" s="26" t="s">
        <v>2044</v>
      </c>
      <c r="H423" s="2" t="s">
        <v>1143</v>
      </c>
      <c r="I423" s="2"/>
      <c r="J423" s="16" t="s">
        <v>1146</v>
      </c>
      <c r="K423" s="16"/>
      <c r="L423" s="2" t="s">
        <v>8</v>
      </c>
      <c r="M423" s="16">
        <v>7.45</v>
      </c>
      <c r="N423" s="16">
        <v>7.77</v>
      </c>
      <c r="O423" s="2">
        <v>8.0500000000000007</v>
      </c>
      <c r="P423" s="2">
        <v>7.59</v>
      </c>
      <c r="Q423" s="16"/>
      <c r="R423" s="49"/>
      <c r="S423" s="93">
        <f t="shared" si="6"/>
        <v>7.7149999999999999</v>
      </c>
    </row>
    <row r="424" spans="1:19" x14ac:dyDescent="0.3">
      <c r="A424" s="5">
        <v>423</v>
      </c>
      <c r="B424" s="2">
        <v>1323423</v>
      </c>
      <c r="C424" s="2" t="s">
        <v>421</v>
      </c>
      <c r="D424" s="18" t="s">
        <v>811</v>
      </c>
      <c r="E424" s="2" t="s">
        <v>1391</v>
      </c>
      <c r="F424" s="26">
        <v>8797818704</v>
      </c>
      <c r="G424" s="26" t="s">
        <v>2045</v>
      </c>
      <c r="H424" s="2" t="s">
        <v>1143</v>
      </c>
      <c r="I424" s="2"/>
      <c r="J424" s="16" t="s">
        <v>1146</v>
      </c>
      <c r="K424" s="16"/>
      <c r="L424" s="2" t="s">
        <v>8</v>
      </c>
      <c r="M424" s="16">
        <v>6.86</v>
      </c>
      <c r="N424" s="16">
        <v>7.73</v>
      </c>
      <c r="O424" s="2">
        <v>7.32</v>
      </c>
      <c r="P424" s="2" t="s">
        <v>2250</v>
      </c>
      <c r="Q424" s="16"/>
      <c r="R424" s="49"/>
      <c r="S424" s="93">
        <f t="shared" si="6"/>
        <v>7.3033333333333337</v>
      </c>
    </row>
    <row r="425" spans="1:19" x14ac:dyDescent="0.3">
      <c r="A425" s="5">
        <v>424</v>
      </c>
      <c r="B425" s="2">
        <v>1323424</v>
      </c>
      <c r="C425" s="2" t="s">
        <v>422</v>
      </c>
      <c r="D425" s="18" t="s">
        <v>812</v>
      </c>
      <c r="E425" s="2" t="s">
        <v>1392</v>
      </c>
      <c r="F425" s="26">
        <v>7562881463</v>
      </c>
      <c r="G425" s="26" t="s">
        <v>2046</v>
      </c>
      <c r="H425" s="2" t="s">
        <v>1143</v>
      </c>
      <c r="I425" s="2"/>
      <c r="J425" s="16" t="s">
        <v>8</v>
      </c>
      <c r="K425" s="16"/>
      <c r="L425" s="2" t="s">
        <v>8</v>
      </c>
      <c r="M425" s="16">
        <v>7.32</v>
      </c>
      <c r="N425" s="16">
        <v>8.09</v>
      </c>
      <c r="O425" s="2">
        <v>7.18</v>
      </c>
      <c r="P425" s="2">
        <v>7.16</v>
      </c>
      <c r="Q425" s="16"/>
      <c r="R425" s="49"/>
      <c r="S425" s="93">
        <f t="shared" si="6"/>
        <v>7.4375</v>
      </c>
    </row>
    <row r="426" spans="1:19" x14ac:dyDescent="0.3">
      <c r="A426" s="5">
        <v>425</v>
      </c>
      <c r="B426" s="2">
        <v>1323425</v>
      </c>
      <c r="C426" s="2" t="s">
        <v>423</v>
      </c>
      <c r="D426" s="18" t="s">
        <v>813</v>
      </c>
      <c r="E426" s="2" t="s">
        <v>1393</v>
      </c>
      <c r="F426" s="26">
        <v>9031103100</v>
      </c>
      <c r="G426" s="26" t="s">
        <v>2047</v>
      </c>
      <c r="H426" s="2" t="s">
        <v>1143</v>
      </c>
      <c r="I426" s="2"/>
      <c r="J426" s="16" t="s">
        <v>1146</v>
      </c>
      <c r="K426" s="16"/>
      <c r="L426" s="2" t="s">
        <v>8</v>
      </c>
      <c r="M426" s="16">
        <v>6.73</v>
      </c>
      <c r="N426" s="16">
        <v>7.09</v>
      </c>
      <c r="O426" s="2">
        <v>6.59</v>
      </c>
      <c r="P426" s="2" t="s">
        <v>2250</v>
      </c>
      <c r="Q426" s="16"/>
      <c r="R426" s="49"/>
      <c r="S426" s="93">
        <f t="shared" si="6"/>
        <v>6.8033333333333337</v>
      </c>
    </row>
    <row r="427" spans="1:19" x14ac:dyDescent="0.3">
      <c r="A427" s="5">
        <v>426</v>
      </c>
      <c r="B427" s="2">
        <v>1323426</v>
      </c>
      <c r="C427" s="2" t="s">
        <v>424</v>
      </c>
      <c r="D427" s="18" t="s">
        <v>814</v>
      </c>
      <c r="E427" s="2" t="s">
        <v>1371</v>
      </c>
      <c r="F427" s="26">
        <v>6202738887</v>
      </c>
      <c r="G427" s="26" t="s">
        <v>2048</v>
      </c>
      <c r="H427" s="2" t="s">
        <v>1143</v>
      </c>
      <c r="I427" s="2"/>
      <c r="J427" s="16" t="s">
        <v>1146</v>
      </c>
      <c r="K427" s="16"/>
      <c r="L427" s="2" t="s">
        <v>8</v>
      </c>
      <c r="M427" s="16">
        <v>7.55</v>
      </c>
      <c r="N427" s="16">
        <v>8.77</v>
      </c>
      <c r="O427" s="2">
        <v>8.4499999999999993</v>
      </c>
      <c r="P427" s="2">
        <v>7.45</v>
      </c>
      <c r="Q427" s="16"/>
      <c r="R427" s="49"/>
      <c r="S427" s="93">
        <f t="shared" si="6"/>
        <v>8.0549999999999997</v>
      </c>
    </row>
    <row r="428" spans="1:19" x14ac:dyDescent="0.3">
      <c r="A428" s="5">
        <v>427</v>
      </c>
      <c r="B428" s="2">
        <v>1323427</v>
      </c>
      <c r="C428" s="2" t="s">
        <v>425</v>
      </c>
      <c r="D428" s="18" t="s">
        <v>815</v>
      </c>
      <c r="E428" s="2" t="s">
        <v>1394</v>
      </c>
      <c r="F428" s="26">
        <v>6209905769</v>
      </c>
      <c r="G428" s="26" t="s">
        <v>2049</v>
      </c>
      <c r="H428" s="2" t="s">
        <v>1143</v>
      </c>
      <c r="I428" s="2"/>
      <c r="J428" s="16" t="s">
        <v>1146</v>
      </c>
      <c r="K428" s="16"/>
      <c r="L428" s="2" t="s">
        <v>8</v>
      </c>
      <c r="M428" s="16">
        <v>7.91</v>
      </c>
      <c r="N428" s="16">
        <v>8.77</v>
      </c>
      <c r="O428" s="2">
        <v>8.73</v>
      </c>
      <c r="P428" s="2">
        <v>7.41</v>
      </c>
      <c r="Q428" s="16"/>
      <c r="R428" s="49"/>
      <c r="S428" s="93">
        <f t="shared" si="6"/>
        <v>8.2050000000000001</v>
      </c>
    </row>
    <row r="429" spans="1:19" x14ac:dyDescent="0.3">
      <c r="A429" s="5">
        <v>428</v>
      </c>
      <c r="B429" s="2">
        <v>1323428</v>
      </c>
      <c r="C429" s="2" t="s">
        <v>940</v>
      </c>
      <c r="D429" s="18"/>
      <c r="E429" s="2"/>
      <c r="F429" s="26"/>
      <c r="G429" s="26"/>
      <c r="H429" s="2"/>
      <c r="I429" s="2"/>
      <c r="J429" s="16"/>
      <c r="K429" s="16"/>
      <c r="L429" s="2"/>
      <c r="M429" s="16"/>
      <c r="N429" s="16"/>
      <c r="O429" s="2"/>
      <c r="P429" s="2"/>
      <c r="Q429" s="16"/>
      <c r="R429" s="49"/>
      <c r="S429" s="93" t="e">
        <f t="shared" si="6"/>
        <v>#DIV/0!</v>
      </c>
    </row>
    <row r="430" spans="1:19" x14ac:dyDescent="0.3">
      <c r="A430" s="5">
        <v>429</v>
      </c>
      <c r="B430" s="2">
        <v>1323429</v>
      </c>
      <c r="C430" s="2" t="s">
        <v>940</v>
      </c>
      <c r="D430" s="18"/>
      <c r="E430" s="2"/>
      <c r="F430" s="26"/>
      <c r="G430" s="26"/>
      <c r="H430" s="2"/>
      <c r="I430" s="2"/>
      <c r="J430" s="16"/>
      <c r="K430" s="16"/>
      <c r="L430" s="2"/>
      <c r="M430" s="16"/>
      <c r="N430" s="16"/>
      <c r="O430" s="2"/>
      <c r="P430" s="2"/>
      <c r="Q430" s="16"/>
      <c r="R430" s="49"/>
      <c r="S430" s="93" t="e">
        <f t="shared" si="6"/>
        <v>#DIV/0!</v>
      </c>
    </row>
    <row r="431" spans="1:19" x14ac:dyDescent="0.3">
      <c r="A431" s="5">
        <v>430</v>
      </c>
      <c r="B431" s="2">
        <v>1323430</v>
      </c>
      <c r="C431" s="2" t="s">
        <v>940</v>
      </c>
      <c r="D431" s="18"/>
      <c r="E431" s="2"/>
      <c r="F431" s="26"/>
      <c r="G431" s="26"/>
      <c r="H431" s="2"/>
      <c r="I431" s="2"/>
      <c r="J431" s="16"/>
      <c r="K431" s="16"/>
      <c r="L431" s="2"/>
      <c r="M431" s="16"/>
      <c r="N431" s="16"/>
      <c r="O431" s="2"/>
      <c r="P431" s="2"/>
      <c r="Q431" s="16"/>
      <c r="R431" s="49"/>
      <c r="S431" s="93" t="e">
        <f t="shared" si="6"/>
        <v>#DIV/0!</v>
      </c>
    </row>
    <row r="432" spans="1:19" x14ac:dyDescent="0.3">
      <c r="A432" s="5">
        <v>431</v>
      </c>
      <c r="B432" s="2">
        <v>1323431</v>
      </c>
      <c r="C432" s="2" t="s">
        <v>426</v>
      </c>
      <c r="D432" s="18" t="s">
        <v>816</v>
      </c>
      <c r="E432" s="2" t="s">
        <v>1395</v>
      </c>
      <c r="F432" s="26">
        <v>8789097372</v>
      </c>
      <c r="G432" s="26" t="s">
        <v>2050</v>
      </c>
      <c r="H432" s="2" t="s">
        <v>1143</v>
      </c>
      <c r="I432" s="2"/>
      <c r="J432" s="16" t="s">
        <v>1146</v>
      </c>
      <c r="K432" s="16"/>
      <c r="L432" s="2" t="s">
        <v>8</v>
      </c>
      <c r="M432" s="16">
        <v>8.4499999999999993</v>
      </c>
      <c r="N432" s="16">
        <v>8.9499999999999993</v>
      </c>
      <c r="O432" s="2">
        <v>9.14</v>
      </c>
      <c r="P432" s="2">
        <v>8</v>
      </c>
      <c r="Q432" s="16"/>
      <c r="R432" s="49"/>
      <c r="S432" s="93">
        <f t="shared" si="6"/>
        <v>8.6349999999999998</v>
      </c>
    </row>
    <row r="433" spans="1:19" x14ac:dyDescent="0.3">
      <c r="A433" s="5">
        <v>432</v>
      </c>
      <c r="B433" s="2">
        <v>1323432</v>
      </c>
      <c r="C433" s="2" t="s">
        <v>427</v>
      </c>
      <c r="D433" s="18" t="s">
        <v>817</v>
      </c>
      <c r="E433" s="2" t="s">
        <v>1396</v>
      </c>
      <c r="F433" s="26">
        <v>9135601973</v>
      </c>
      <c r="G433" s="26" t="s">
        <v>2051</v>
      </c>
      <c r="H433" s="2" t="s">
        <v>1143</v>
      </c>
      <c r="I433" s="2"/>
      <c r="J433" s="16" t="s">
        <v>1146</v>
      </c>
      <c r="K433" s="16"/>
      <c r="L433" s="2" t="s">
        <v>8</v>
      </c>
      <c r="M433" s="16" t="s">
        <v>1626</v>
      </c>
      <c r="N433" s="16">
        <v>7.32</v>
      </c>
      <c r="O433" s="2">
        <v>6.68</v>
      </c>
      <c r="P433" s="2">
        <v>6.27</v>
      </c>
      <c r="Q433" s="16"/>
      <c r="R433" s="49"/>
      <c r="S433" s="93">
        <f t="shared" si="6"/>
        <v>6.7566666666666668</v>
      </c>
    </row>
    <row r="434" spans="1:19" x14ac:dyDescent="0.3">
      <c r="A434" s="5">
        <v>433</v>
      </c>
      <c r="B434" s="2">
        <v>1323433</v>
      </c>
      <c r="C434" s="2" t="s">
        <v>428</v>
      </c>
      <c r="D434" s="18" t="s">
        <v>1569</v>
      </c>
      <c r="E434" s="2" t="s">
        <v>1397</v>
      </c>
      <c r="F434" s="26"/>
      <c r="G434" s="26"/>
      <c r="H434" s="2"/>
      <c r="I434" s="2"/>
      <c r="J434" s="16"/>
      <c r="K434" s="16"/>
      <c r="L434" s="2"/>
      <c r="M434" s="16" t="s">
        <v>958</v>
      </c>
      <c r="N434" s="16" t="s">
        <v>958</v>
      </c>
      <c r="O434" s="2"/>
      <c r="P434" s="2"/>
      <c r="Q434" s="16"/>
      <c r="R434" s="49"/>
      <c r="S434" s="93" t="e">
        <f t="shared" si="6"/>
        <v>#DIV/0!</v>
      </c>
    </row>
    <row r="435" spans="1:19" x14ac:dyDescent="0.3">
      <c r="A435" s="5">
        <v>434</v>
      </c>
      <c r="B435" s="2">
        <v>1323434</v>
      </c>
      <c r="C435" s="2" t="s">
        <v>429</v>
      </c>
      <c r="D435" s="18" t="s">
        <v>814</v>
      </c>
      <c r="E435" s="2" t="s">
        <v>1398</v>
      </c>
      <c r="F435" s="26"/>
      <c r="G435" s="26"/>
      <c r="H435" s="2" t="s">
        <v>1143</v>
      </c>
      <c r="I435" s="2"/>
      <c r="J435" s="16" t="s">
        <v>1146</v>
      </c>
      <c r="K435" s="16"/>
      <c r="L435" s="2" t="s">
        <v>8</v>
      </c>
      <c r="M435" s="16">
        <v>6.25</v>
      </c>
      <c r="N435" s="16">
        <v>6.55</v>
      </c>
      <c r="O435" s="2" t="s">
        <v>2209</v>
      </c>
      <c r="P435" s="2" t="s">
        <v>954</v>
      </c>
      <c r="Q435" s="16"/>
      <c r="R435" s="49"/>
      <c r="S435" s="93">
        <f t="shared" si="6"/>
        <v>6.4</v>
      </c>
    </row>
    <row r="436" spans="1:19" x14ac:dyDescent="0.3">
      <c r="A436" s="5">
        <v>435</v>
      </c>
      <c r="B436" s="2">
        <v>1323435</v>
      </c>
      <c r="C436" s="2" t="s">
        <v>430</v>
      </c>
      <c r="D436" s="18" t="s">
        <v>787</v>
      </c>
      <c r="E436" s="2" t="s">
        <v>1399</v>
      </c>
      <c r="F436" s="26">
        <v>9508068896</v>
      </c>
      <c r="G436" s="26" t="s">
        <v>2052</v>
      </c>
      <c r="H436" s="2" t="s">
        <v>1143</v>
      </c>
      <c r="I436" s="2"/>
      <c r="J436" s="16" t="s">
        <v>1145</v>
      </c>
      <c r="K436" s="16"/>
      <c r="L436" s="2" t="s">
        <v>8</v>
      </c>
      <c r="M436" s="16">
        <v>7.86</v>
      </c>
      <c r="N436" s="16">
        <v>8.5500000000000007</v>
      </c>
      <c r="O436" s="2">
        <v>7.82</v>
      </c>
      <c r="P436" s="2">
        <v>7.23</v>
      </c>
      <c r="Q436" s="16"/>
      <c r="R436" s="49"/>
      <c r="S436" s="93">
        <f t="shared" si="6"/>
        <v>7.8650000000000002</v>
      </c>
    </row>
    <row r="437" spans="1:19" x14ac:dyDescent="0.3">
      <c r="A437" s="5">
        <v>436</v>
      </c>
      <c r="B437" s="2">
        <v>1323436</v>
      </c>
      <c r="C437" s="2" t="s">
        <v>941</v>
      </c>
      <c r="D437" s="18"/>
      <c r="E437" s="2"/>
      <c r="F437" s="26"/>
      <c r="G437" s="26"/>
      <c r="H437" s="2"/>
      <c r="I437" s="2"/>
      <c r="J437" s="16"/>
      <c r="K437" s="16"/>
      <c r="L437" s="2"/>
      <c r="M437" s="16"/>
      <c r="N437" s="16"/>
      <c r="O437" s="2"/>
      <c r="P437" s="2"/>
      <c r="Q437" s="16"/>
      <c r="R437" s="49"/>
      <c r="S437" s="93" t="e">
        <f t="shared" si="6"/>
        <v>#DIV/0!</v>
      </c>
    </row>
    <row r="438" spans="1:19" x14ac:dyDescent="0.3">
      <c r="A438" s="5">
        <v>437</v>
      </c>
      <c r="B438" s="2">
        <v>1323437</v>
      </c>
      <c r="C438" s="2" t="s">
        <v>431</v>
      </c>
      <c r="D438" s="18" t="s">
        <v>818</v>
      </c>
      <c r="E438" s="2" t="s">
        <v>1400</v>
      </c>
      <c r="F438" s="26">
        <v>9350517435</v>
      </c>
      <c r="G438" s="26" t="s">
        <v>2053</v>
      </c>
      <c r="H438" s="2" t="s">
        <v>1142</v>
      </c>
      <c r="I438" s="2"/>
      <c r="J438" s="16" t="s">
        <v>1145</v>
      </c>
      <c r="K438" s="16"/>
      <c r="L438" s="2" t="s">
        <v>926</v>
      </c>
      <c r="M438" s="16">
        <v>7.45</v>
      </c>
      <c r="N438" s="16">
        <v>8.41</v>
      </c>
      <c r="O438" s="2" t="s">
        <v>2208</v>
      </c>
      <c r="P438" s="2">
        <v>7.48</v>
      </c>
      <c r="Q438" s="16"/>
      <c r="R438" s="49"/>
      <c r="S438" s="93">
        <f t="shared" si="6"/>
        <v>7.78</v>
      </c>
    </row>
    <row r="439" spans="1:19" x14ac:dyDescent="0.3">
      <c r="A439" s="5">
        <v>438</v>
      </c>
      <c r="B439" s="2">
        <v>1323438</v>
      </c>
      <c r="C439" s="2" t="s">
        <v>941</v>
      </c>
      <c r="D439" s="18"/>
      <c r="E439" s="2"/>
      <c r="F439" s="26"/>
      <c r="G439" s="26"/>
      <c r="H439" s="2"/>
      <c r="I439" s="2"/>
      <c r="J439" s="16"/>
      <c r="K439" s="16"/>
      <c r="L439" s="2"/>
      <c r="M439" s="16"/>
      <c r="N439" s="16"/>
      <c r="O439" s="2"/>
      <c r="P439" s="2"/>
      <c r="Q439" s="16"/>
      <c r="R439" s="49"/>
      <c r="S439" s="93" t="e">
        <f t="shared" si="6"/>
        <v>#DIV/0!</v>
      </c>
    </row>
    <row r="440" spans="1:19" x14ac:dyDescent="0.3">
      <c r="A440" s="5">
        <v>439</v>
      </c>
      <c r="B440" s="2">
        <v>1323439</v>
      </c>
      <c r="C440" s="2" t="s">
        <v>941</v>
      </c>
      <c r="D440" s="18"/>
      <c r="E440" s="2"/>
      <c r="F440" s="26"/>
      <c r="G440" s="26"/>
      <c r="H440" s="2"/>
      <c r="I440" s="2"/>
      <c r="J440" s="16"/>
      <c r="K440" s="16"/>
      <c r="L440" s="2"/>
      <c r="M440" s="16"/>
      <c r="N440" s="16"/>
      <c r="O440" s="2"/>
      <c r="P440" s="2"/>
      <c r="Q440" s="16"/>
      <c r="R440" s="49"/>
      <c r="S440" s="93" t="e">
        <f t="shared" si="6"/>
        <v>#DIV/0!</v>
      </c>
    </row>
    <row r="441" spans="1:19" x14ac:dyDescent="0.3">
      <c r="A441" s="5">
        <v>440</v>
      </c>
      <c r="B441" s="2">
        <v>1323440</v>
      </c>
      <c r="C441" s="2" t="s">
        <v>432</v>
      </c>
      <c r="D441" s="18" t="s">
        <v>819</v>
      </c>
      <c r="E441" s="2" t="s">
        <v>1401</v>
      </c>
      <c r="F441" s="26">
        <v>9729597165</v>
      </c>
      <c r="G441" s="26" t="s">
        <v>2054</v>
      </c>
      <c r="H441" s="2" t="s">
        <v>1142</v>
      </c>
      <c r="I441" s="2"/>
      <c r="J441" s="16" t="s">
        <v>1145</v>
      </c>
      <c r="K441" s="16"/>
      <c r="L441" s="2" t="s">
        <v>8</v>
      </c>
      <c r="M441" s="16" t="s">
        <v>1649</v>
      </c>
      <c r="N441" s="16" t="s">
        <v>1676</v>
      </c>
      <c r="O441" s="2">
        <v>6.5</v>
      </c>
      <c r="P441" s="2">
        <v>6.7</v>
      </c>
      <c r="Q441" s="16"/>
      <c r="R441" s="49"/>
      <c r="S441" s="93">
        <f t="shared" si="6"/>
        <v>6.6</v>
      </c>
    </row>
    <row r="442" spans="1:19" x14ac:dyDescent="0.3">
      <c r="A442" s="5">
        <v>441</v>
      </c>
      <c r="B442" s="2">
        <v>1323441</v>
      </c>
      <c r="C442" s="2" t="s">
        <v>433</v>
      </c>
      <c r="D442" s="18" t="s">
        <v>820</v>
      </c>
      <c r="E442" s="2" t="s">
        <v>1402</v>
      </c>
      <c r="F442" s="26">
        <v>9297765240</v>
      </c>
      <c r="G442" s="26" t="s">
        <v>2055</v>
      </c>
      <c r="H442" s="2" t="s">
        <v>1143</v>
      </c>
      <c r="I442" s="2"/>
      <c r="J442" s="16" t="s">
        <v>1146</v>
      </c>
      <c r="K442" s="16"/>
      <c r="L442" s="2" t="s">
        <v>8</v>
      </c>
      <c r="M442" s="16">
        <v>7.59</v>
      </c>
      <c r="N442" s="16">
        <v>9.09</v>
      </c>
      <c r="O442" s="2">
        <v>8.27</v>
      </c>
      <c r="P442" s="2">
        <v>7.7</v>
      </c>
      <c r="Q442" s="16"/>
      <c r="R442" s="49"/>
      <c r="S442" s="93">
        <f t="shared" si="6"/>
        <v>8.1624999999999996</v>
      </c>
    </row>
    <row r="443" spans="1:19" x14ac:dyDescent="0.3">
      <c r="A443" s="5">
        <v>442</v>
      </c>
      <c r="B443" s="2">
        <v>1323442</v>
      </c>
      <c r="C443" s="2" t="s">
        <v>434</v>
      </c>
      <c r="D443" s="18" t="s">
        <v>821</v>
      </c>
      <c r="E443" s="2" t="s">
        <v>1403</v>
      </c>
      <c r="F443" s="26">
        <v>8102157407</v>
      </c>
      <c r="G443" s="26" t="s">
        <v>2056</v>
      </c>
      <c r="H443" s="2" t="s">
        <v>1143</v>
      </c>
      <c r="I443" s="2"/>
      <c r="J443" s="16" t="s">
        <v>1146</v>
      </c>
      <c r="K443" s="16"/>
      <c r="L443" s="2" t="s">
        <v>8</v>
      </c>
      <c r="M443" s="16">
        <v>6.57</v>
      </c>
      <c r="N443" s="16">
        <v>8.23</v>
      </c>
      <c r="O443" s="2">
        <v>8.23</v>
      </c>
      <c r="P443" s="2" t="s">
        <v>2277</v>
      </c>
      <c r="Q443" s="16"/>
      <c r="R443" s="49"/>
      <c r="S443" s="93">
        <f t="shared" si="6"/>
        <v>7.6766666666666667</v>
      </c>
    </row>
    <row r="444" spans="1:19" x14ac:dyDescent="0.3">
      <c r="A444" s="5">
        <v>443</v>
      </c>
      <c r="B444" s="2">
        <v>1323443</v>
      </c>
      <c r="C444" s="2" t="s">
        <v>435</v>
      </c>
      <c r="D444" s="18" t="s">
        <v>822</v>
      </c>
      <c r="E444" s="2" t="s">
        <v>1404</v>
      </c>
      <c r="F444" s="26">
        <v>9153802551</v>
      </c>
      <c r="G444" s="26" t="s">
        <v>2057</v>
      </c>
      <c r="H444" s="2" t="s">
        <v>1143</v>
      </c>
      <c r="I444" s="2"/>
      <c r="J444" s="16" t="s">
        <v>1146</v>
      </c>
      <c r="K444" s="16"/>
      <c r="L444" s="2" t="s">
        <v>8</v>
      </c>
      <c r="M444" s="16">
        <v>6.95</v>
      </c>
      <c r="N444" s="16">
        <v>8.77</v>
      </c>
      <c r="O444" s="2">
        <v>8.64</v>
      </c>
      <c r="P444" s="2">
        <v>7.91</v>
      </c>
      <c r="Q444" s="16"/>
      <c r="R444" s="49"/>
      <c r="S444" s="93">
        <f t="shared" si="6"/>
        <v>8.067499999999999</v>
      </c>
    </row>
    <row r="445" spans="1:19" x14ac:dyDescent="0.3">
      <c r="A445" s="5">
        <v>444</v>
      </c>
      <c r="B445" s="2">
        <v>1323444</v>
      </c>
      <c r="C445" s="2" t="s">
        <v>436</v>
      </c>
      <c r="D445" s="19" t="s">
        <v>823</v>
      </c>
      <c r="E445" s="2" t="s">
        <v>1089</v>
      </c>
      <c r="F445" s="26">
        <v>9122788378</v>
      </c>
      <c r="G445" s="26" t="s">
        <v>2058</v>
      </c>
      <c r="H445" s="2" t="s">
        <v>1143</v>
      </c>
      <c r="I445" s="2"/>
      <c r="J445" s="16" t="s">
        <v>1145</v>
      </c>
      <c r="K445" s="16"/>
      <c r="L445" s="2" t="s">
        <v>8</v>
      </c>
      <c r="M445" s="16">
        <v>5.89</v>
      </c>
      <c r="N445" s="16">
        <v>7</v>
      </c>
      <c r="O445" s="2">
        <v>6.82</v>
      </c>
      <c r="P445" s="2">
        <v>6.36</v>
      </c>
      <c r="Q445" s="16"/>
      <c r="R445" s="49"/>
      <c r="S445" s="93">
        <f t="shared" si="6"/>
        <v>6.5175000000000001</v>
      </c>
    </row>
    <row r="446" spans="1:19" x14ac:dyDescent="0.3">
      <c r="A446" s="5">
        <v>445</v>
      </c>
      <c r="B446" s="2">
        <v>1323445</v>
      </c>
      <c r="C446" s="2" t="s">
        <v>437</v>
      </c>
      <c r="D446" s="18" t="s">
        <v>824</v>
      </c>
      <c r="E446" s="2" t="s">
        <v>1088</v>
      </c>
      <c r="F446" s="26">
        <v>9631901329</v>
      </c>
      <c r="G446" s="26" t="s">
        <v>2059</v>
      </c>
      <c r="H446" s="2" t="s">
        <v>1143</v>
      </c>
      <c r="I446" s="2"/>
      <c r="J446" s="16" t="s">
        <v>1146</v>
      </c>
      <c r="K446" s="16"/>
      <c r="L446" s="2" t="s">
        <v>8</v>
      </c>
      <c r="M446" s="16">
        <v>6.45</v>
      </c>
      <c r="N446" s="16">
        <v>8.82</v>
      </c>
      <c r="O446" s="2">
        <v>8.09</v>
      </c>
      <c r="P446" s="2">
        <v>7.39</v>
      </c>
      <c r="Q446" s="16"/>
      <c r="R446" s="49"/>
      <c r="S446" s="93">
        <f t="shared" si="6"/>
        <v>7.6875</v>
      </c>
    </row>
    <row r="447" spans="1:19" x14ac:dyDescent="0.3">
      <c r="A447" s="5">
        <v>446</v>
      </c>
      <c r="B447" s="2">
        <v>1323446</v>
      </c>
      <c r="C447" s="2" t="s">
        <v>438</v>
      </c>
      <c r="D447" s="18" t="s">
        <v>825</v>
      </c>
      <c r="E447" s="2" t="s">
        <v>1087</v>
      </c>
      <c r="F447" s="26">
        <v>8708547161</v>
      </c>
      <c r="G447" s="26" t="s">
        <v>2060</v>
      </c>
      <c r="H447" s="2" t="s">
        <v>1143</v>
      </c>
      <c r="I447" s="2"/>
      <c r="J447" s="16" t="s">
        <v>1146</v>
      </c>
      <c r="K447" s="16"/>
      <c r="L447" s="2" t="s">
        <v>8</v>
      </c>
      <c r="M447" s="16" t="s">
        <v>1632</v>
      </c>
      <c r="N447" s="16">
        <v>9.5</v>
      </c>
      <c r="O447" s="2">
        <v>9.14</v>
      </c>
      <c r="P447" s="2">
        <v>8.5500000000000007</v>
      </c>
      <c r="Q447" s="16"/>
      <c r="R447" s="49"/>
      <c r="S447" s="93">
        <f t="shared" si="6"/>
        <v>9.0633333333333344</v>
      </c>
    </row>
    <row r="448" spans="1:19" x14ac:dyDescent="0.3">
      <c r="A448" s="5">
        <v>447</v>
      </c>
      <c r="B448" s="2">
        <v>1323447</v>
      </c>
      <c r="C448" s="2" t="s">
        <v>439</v>
      </c>
      <c r="D448" s="18" t="s">
        <v>826</v>
      </c>
      <c r="E448" s="2" t="s">
        <v>1086</v>
      </c>
      <c r="F448" s="26">
        <v>9931828695</v>
      </c>
      <c r="G448" s="26" t="s">
        <v>2061</v>
      </c>
      <c r="H448" s="2" t="s">
        <v>1143</v>
      </c>
      <c r="I448" s="2"/>
      <c r="J448" s="16" t="s">
        <v>1146</v>
      </c>
      <c r="K448" s="16"/>
      <c r="L448" s="2" t="s">
        <v>8</v>
      </c>
      <c r="M448" s="16">
        <v>7.68</v>
      </c>
      <c r="N448" s="16">
        <v>9.18</v>
      </c>
      <c r="O448" s="2">
        <v>8.4499999999999993</v>
      </c>
      <c r="P448" s="2">
        <v>7.8</v>
      </c>
      <c r="Q448" s="16"/>
      <c r="R448" s="49"/>
      <c r="S448" s="93">
        <f t="shared" si="6"/>
        <v>8.2774999999999999</v>
      </c>
    </row>
    <row r="449" spans="1:19" x14ac:dyDescent="0.3">
      <c r="A449" s="5">
        <v>448</v>
      </c>
      <c r="B449" s="2">
        <v>1323448</v>
      </c>
      <c r="C449" s="2" t="s">
        <v>440</v>
      </c>
      <c r="D449" s="18" t="s">
        <v>827</v>
      </c>
      <c r="E449" s="2" t="s">
        <v>1085</v>
      </c>
      <c r="F449" s="26">
        <v>9631584849</v>
      </c>
      <c r="G449" s="26" t="s">
        <v>2062</v>
      </c>
      <c r="H449" s="2" t="s">
        <v>1143</v>
      </c>
      <c r="I449" s="2"/>
      <c r="J449" s="16" t="s">
        <v>1146</v>
      </c>
      <c r="K449" s="16"/>
      <c r="L449" s="2" t="s">
        <v>8</v>
      </c>
      <c r="M449" s="16">
        <v>8.41</v>
      </c>
      <c r="N449" s="16">
        <v>8.9499999999999993</v>
      </c>
      <c r="O449" s="2">
        <v>8.32</v>
      </c>
      <c r="P449" s="2">
        <v>8</v>
      </c>
      <c r="Q449" s="16"/>
      <c r="R449" s="49"/>
      <c r="S449" s="93">
        <f t="shared" si="6"/>
        <v>8.42</v>
      </c>
    </row>
    <row r="450" spans="1:19" x14ac:dyDescent="0.3">
      <c r="A450" s="5">
        <v>449</v>
      </c>
      <c r="B450" s="2">
        <v>1323449</v>
      </c>
      <c r="C450" s="2" t="s">
        <v>441</v>
      </c>
      <c r="D450" s="18" t="s">
        <v>828</v>
      </c>
      <c r="E450" s="2" t="s">
        <v>1084</v>
      </c>
      <c r="F450" s="26">
        <v>9709735904</v>
      </c>
      <c r="G450" s="26" t="s">
        <v>2063</v>
      </c>
      <c r="H450" s="2" t="s">
        <v>1143</v>
      </c>
      <c r="I450" s="2"/>
      <c r="J450" s="16" t="s">
        <v>1145</v>
      </c>
      <c r="K450" s="16"/>
      <c r="L450" s="2" t="s">
        <v>8</v>
      </c>
      <c r="M450" s="16">
        <v>7.05</v>
      </c>
      <c r="N450" s="16">
        <v>7.95</v>
      </c>
      <c r="O450" s="2">
        <v>7.86</v>
      </c>
      <c r="P450" s="2">
        <v>7.55</v>
      </c>
      <c r="Q450" s="16"/>
      <c r="R450" s="49"/>
      <c r="S450" s="93">
        <f t="shared" ref="S450:S513" si="7">AVERAGE(M450:P450)</f>
        <v>7.6025</v>
      </c>
    </row>
    <row r="451" spans="1:19" x14ac:dyDescent="0.3">
      <c r="A451" s="5">
        <v>450</v>
      </c>
      <c r="B451" s="2">
        <v>1323450</v>
      </c>
      <c r="C451" s="2" t="s">
        <v>442</v>
      </c>
      <c r="D451" s="18" t="s">
        <v>829</v>
      </c>
      <c r="E451" s="2" t="s">
        <v>1083</v>
      </c>
      <c r="F451" s="26">
        <v>9153200556</v>
      </c>
      <c r="G451" s="26" t="s">
        <v>2064</v>
      </c>
      <c r="H451" s="2" t="s">
        <v>1143</v>
      </c>
      <c r="I451" s="2"/>
      <c r="J451" s="16" t="s">
        <v>1146</v>
      </c>
      <c r="K451" s="16"/>
      <c r="L451" s="2" t="s">
        <v>8</v>
      </c>
      <c r="M451" s="16">
        <v>7.86</v>
      </c>
      <c r="N451" s="16">
        <v>8.5500000000000007</v>
      </c>
      <c r="O451" s="2">
        <v>8.73</v>
      </c>
      <c r="P451" s="2">
        <v>7.98</v>
      </c>
      <c r="Q451" s="16"/>
      <c r="R451" s="49"/>
      <c r="S451" s="93">
        <f t="shared" si="7"/>
        <v>8.2800000000000011</v>
      </c>
    </row>
    <row r="452" spans="1:19" x14ac:dyDescent="0.3">
      <c r="A452" s="5">
        <v>451</v>
      </c>
      <c r="B452" s="2">
        <v>1323451</v>
      </c>
      <c r="C452" s="2" t="s">
        <v>443</v>
      </c>
      <c r="D452" s="18" t="s">
        <v>830</v>
      </c>
      <c r="E452" s="2" t="s">
        <v>1082</v>
      </c>
      <c r="F452" s="26">
        <v>7070234336</v>
      </c>
      <c r="G452" s="26" t="s">
        <v>2065</v>
      </c>
      <c r="H452" s="2" t="s">
        <v>1143</v>
      </c>
      <c r="I452" s="2"/>
      <c r="J452" s="16" t="s">
        <v>1146</v>
      </c>
      <c r="K452" s="16"/>
      <c r="L452" s="2" t="s">
        <v>8</v>
      </c>
      <c r="M452" s="16" t="s">
        <v>1616</v>
      </c>
      <c r="N452" s="16">
        <v>8.09</v>
      </c>
      <c r="O452" s="2">
        <v>8.32</v>
      </c>
      <c r="P452" s="2">
        <v>7.36</v>
      </c>
      <c r="Q452" s="16"/>
      <c r="R452" s="49"/>
      <c r="S452" s="93">
        <f t="shared" si="7"/>
        <v>7.9233333333333329</v>
      </c>
    </row>
    <row r="453" spans="1:19" x14ac:dyDescent="0.3">
      <c r="A453" s="5">
        <v>452</v>
      </c>
      <c r="B453" s="2">
        <v>1323452</v>
      </c>
      <c r="C453" s="2" t="s">
        <v>444</v>
      </c>
      <c r="D453" s="18" t="s">
        <v>831</v>
      </c>
      <c r="E453" s="2" t="s">
        <v>1405</v>
      </c>
      <c r="F453" s="26"/>
      <c r="G453" s="26"/>
      <c r="H453" s="2"/>
      <c r="I453" s="2"/>
      <c r="J453" s="16"/>
      <c r="K453" s="16"/>
      <c r="L453" s="2" t="s">
        <v>8</v>
      </c>
      <c r="M453" s="16" t="s">
        <v>1643</v>
      </c>
      <c r="N453" s="16"/>
      <c r="O453" s="2"/>
      <c r="P453" s="2"/>
      <c r="Q453" s="16"/>
      <c r="R453" s="49"/>
      <c r="S453" s="93" t="e">
        <f t="shared" si="7"/>
        <v>#DIV/0!</v>
      </c>
    </row>
    <row r="454" spans="1:19" x14ac:dyDescent="0.3">
      <c r="A454" s="5">
        <v>453</v>
      </c>
      <c r="B454" s="2">
        <v>1323453</v>
      </c>
      <c r="C454" s="2" t="s">
        <v>445</v>
      </c>
      <c r="D454" s="18" t="s">
        <v>832</v>
      </c>
      <c r="E454" s="2" t="s">
        <v>891</v>
      </c>
      <c r="F454" s="26"/>
      <c r="G454" s="26"/>
      <c r="H454" s="2"/>
      <c r="I454" s="2"/>
      <c r="J454" s="16"/>
      <c r="K454" s="16"/>
      <c r="L454" s="2" t="s">
        <v>8</v>
      </c>
      <c r="M454" s="16" t="s">
        <v>1641</v>
      </c>
      <c r="N454" s="16">
        <v>7.18</v>
      </c>
      <c r="O454" s="2"/>
      <c r="P454" s="2"/>
      <c r="Q454" s="16"/>
      <c r="R454" s="49"/>
      <c r="S454" s="93">
        <f t="shared" si="7"/>
        <v>7.18</v>
      </c>
    </row>
    <row r="455" spans="1:19" x14ac:dyDescent="0.3">
      <c r="A455" s="5">
        <v>454</v>
      </c>
      <c r="B455" s="2">
        <v>1323454</v>
      </c>
      <c r="C455" s="2" t="s">
        <v>446</v>
      </c>
      <c r="D455" s="15" t="s">
        <v>833</v>
      </c>
      <c r="E455" s="2" t="s">
        <v>1081</v>
      </c>
      <c r="F455" s="26">
        <v>6202692190</v>
      </c>
      <c r="G455" s="26" t="s">
        <v>2066</v>
      </c>
      <c r="H455" s="2" t="s">
        <v>1143</v>
      </c>
      <c r="I455" s="2"/>
      <c r="J455" s="16" t="s">
        <v>8</v>
      </c>
      <c r="K455" s="16"/>
      <c r="L455" s="2" t="s">
        <v>8</v>
      </c>
      <c r="M455" s="16">
        <v>7.64</v>
      </c>
      <c r="N455" s="16">
        <v>8.23</v>
      </c>
      <c r="O455" s="2">
        <v>7.86</v>
      </c>
      <c r="P455" s="2">
        <v>7.43</v>
      </c>
      <c r="Q455" s="16"/>
      <c r="R455" s="49"/>
      <c r="S455" s="93">
        <f t="shared" si="7"/>
        <v>7.79</v>
      </c>
    </row>
    <row r="456" spans="1:19" x14ac:dyDescent="0.3">
      <c r="A456" s="5">
        <v>455</v>
      </c>
      <c r="B456" s="2">
        <v>1323455</v>
      </c>
      <c r="C456" s="2" t="s">
        <v>447</v>
      </c>
      <c r="D456" s="15" t="s">
        <v>834</v>
      </c>
      <c r="E456" s="2" t="s">
        <v>1080</v>
      </c>
      <c r="F456" s="26">
        <v>9117753395</v>
      </c>
      <c r="G456" s="26" t="s">
        <v>2067</v>
      </c>
      <c r="H456" s="2" t="s">
        <v>1143</v>
      </c>
      <c r="I456" s="2"/>
      <c r="J456" s="16" t="s">
        <v>8</v>
      </c>
      <c r="K456" s="16"/>
      <c r="L456" s="2" t="s">
        <v>8</v>
      </c>
      <c r="M456" s="16" t="s">
        <v>1632</v>
      </c>
      <c r="N456" s="16">
        <v>6.48</v>
      </c>
      <c r="O456" s="2">
        <v>7.64</v>
      </c>
      <c r="P456" s="2" t="s">
        <v>2268</v>
      </c>
      <c r="Q456" s="16"/>
      <c r="R456" s="49"/>
      <c r="S456" s="93">
        <f t="shared" si="7"/>
        <v>7.0600000000000005</v>
      </c>
    </row>
    <row r="457" spans="1:19" x14ac:dyDescent="0.3">
      <c r="A457" s="5">
        <v>456</v>
      </c>
      <c r="B457" s="2">
        <v>1323456</v>
      </c>
      <c r="C457" s="2" t="s">
        <v>448</v>
      </c>
      <c r="D457" s="18" t="s">
        <v>835</v>
      </c>
      <c r="E457" s="2" t="s">
        <v>1406</v>
      </c>
      <c r="F457" s="26">
        <v>8307133940</v>
      </c>
      <c r="G457" s="26" t="s">
        <v>2068</v>
      </c>
      <c r="H457" s="2" t="s">
        <v>1142</v>
      </c>
      <c r="I457" s="2"/>
      <c r="J457" s="16" t="s">
        <v>1145</v>
      </c>
      <c r="K457" s="16"/>
      <c r="L457" s="2" t="s">
        <v>8</v>
      </c>
      <c r="M457" s="16">
        <v>6.95</v>
      </c>
      <c r="N457" s="16">
        <v>7.68</v>
      </c>
      <c r="O457" s="2">
        <v>7.86</v>
      </c>
      <c r="P457" s="2">
        <v>6.59</v>
      </c>
      <c r="Q457" s="16"/>
      <c r="R457" s="49"/>
      <c r="S457" s="93">
        <f t="shared" si="7"/>
        <v>7.27</v>
      </c>
    </row>
    <row r="458" spans="1:19" x14ac:dyDescent="0.3">
      <c r="A458" s="5">
        <v>457</v>
      </c>
      <c r="B458" s="2">
        <v>1323457</v>
      </c>
      <c r="C458" s="2" t="s">
        <v>449</v>
      </c>
      <c r="D458" s="15" t="s">
        <v>836</v>
      </c>
      <c r="E458" s="91" t="s">
        <v>1292</v>
      </c>
      <c r="F458" s="26"/>
      <c r="G458" s="26"/>
      <c r="H458" s="2"/>
      <c r="I458" s="2"/>
      <c r="J458" s="16"/>
      <c r="K458" s="16"/>
      <c r="L458" s="2" t="s">
        <v>8</v>
      </c>
      <c r="M458" s="16" t="s">
        <v>1650</v>
      </c>
      <c r="N458" s="16" t="s">
        <v>954</v>
      </c>
      <c r="O458" s="2"/>
      <c r="P458" s="2"/>
      <c r="Q458" s="16"/>
      <c r="R458" s="49"/>
      <c r="S458" s="93" t="e">
        <f t="shared" si="7"/>
        <v>#DIV/0!</v>
      </c>
    </row>
    <row r="459" spans="1:19" x14ac:dyDescent="0.3">
      <c r="A459" s="5">
        <v>458</v>
      </c>
      <c r="B459" s="2">
        <v>1323458</v>
      </c>
      <c r="C459" s="2" t="s">
        <v>450</v>
      </c>
      <c r="D459" s="18" t="s">
        <v>837</v>
      </c>
      <c r="E459" s="2" t="s">
        <v>1078</v>
      </c>
      <c r="F459" s="26">
        <v>9263203702</v>
      </c>
      <c r="G459" s="26" t="s">
        <v>2069</v>
      </c>
      <c r="H459" s="2" t="s">
        <v>1143</v>
      </c>
      <c r="I459" s="2"/>
      <c r="J459" s="16" t="s">
        <v>1146</v>
      </c>
      <c r="K459" s="16"/>
      <c r="L459" s="2" t="s">
        <v>8</v>
      </c>
      <c r="M459" s="16" t="s">
        <v>1636</v>
      </c>
      <c r="N459" s="16">
        <v>7.5</v>
      </c>
      <c r="O459" s="2">
        <v>8.41</v>
      </c>
      <c r="P459" s="2">
        <v>6.95</v>
      </c>
      <c r="Q459" s="16"/>
      <c r="R459" s="49"/>
      <c r="S459" s="93">
        <f t="shared" si="7"/>
        <v>7.62</v>
      </c>
    </row>
    <row r="460" spans="1:19" x14ac:dyDescent="0.3">
      <c r="A460" s="5">
        <v>459</v>
      </c>
      <c r="B460" s="2">
        <v>1323459</v>
      </c>
      <c r="C460" s="2" t="s">
        <v>451</v>
      </c>
      <c r="D460" s="18" t="s">
        <v>838</v>
      </c>
      <c r="E460" s="2" t="s">
        <v>1077</v>
      </c>
      <c r="F460" s="26">
        <v>7763065063</v>
      </c>
      <c r="G460" s="26" t="s">
        <v>2070</v>
      </c>
      <c r="H460" s="2" t="s">
        <v>1143</v>
      </c>
      <c r="I460" s="2"/>
      <c r="J460" s="16" t="s">
        <v>1146</v>
      </c>
      <c r="K460" s="16"/>
      <c r="L460" s="2" t="s">
        <v>8</v>
      </c>
      <c r="M460" s="16" t="s">
        <v>1636</v>
      </c>
      <c r="N460" s="16">
        <v>7</v>
      </c>
      <c r="O460" s="2">
        <v>6.95</v>
      </c>
      <c r="P460" s="2" t="s">
        <v>2281</v>
      </c>
      <c r="Q460" s="16"/>
      <c r="R460" s="49"/>
      <c r="S460" s="93">
        <f t="shared" si="7"/>
        <v>6.9749999999999996</v>
      </c>
    </row>
    <row r="461" spans="1:19" x14ac:dyDescent="0.3">
      <c r="A461" s="5">
        <v>460</v>
      </c>
      <c r="B461" s="2">
        <v>1323460</v>
      </c>
      <c r="C461" s="2" t="s">
        <v>452</v>
      </c>
      <c r="D461" s="18" t="s">
        <v>1570</v>
      </c>
      <c r="E461" s="2" t="s">
        <v>1407</v>
      </c>
      <c r="F461" s="26"/>
      <c r="G461" s="26"/>
      <c r="H461" s="2"/>
      <c r="I461" s="2"/>
      <c r="J461" s="16"/>
      <c r="K461" s="16"/>
      <c r="L461" s="2"/>
      <c r="M461" s="16" t="s">
        <v>1631</v>
      </c>
      <c r="N461" s="16" t="s">
        <v>1663</v>
      </c>
      <c r="O461" s="2"/>
      <c r="P461" s="2"/>
      <c r="Q461" s="16"/>
      <c r="R461" s="49"/>
      <c r="S461" s="93" t="e">
        <f t="shared" si="7"/>
        <v>#DIV/0!</v>
      </c>
    </row>
    <row r="462" spans="1:19" x14ac:dyDescent="0.3">
      <c r="A462" s="5">
        <v>461</v>
      </c>
      <c r="B462" s="2">
        <v>1323461</v>
      </c>
      <c r="C462" s="2" t="s">
        <v>453</v>
      </c>
      <c r="D462" s="18" t="s">
        <v>839</v>
      </c>
      <c r="E462" s="2" t="s">
        <v>1076</v>
      </c>
      <c r="F462" s="26">
        <v>7783878548</v>
      </c>
      <c r="G462" s="26" t="s">
        <v>2071</v>
      </c>
      <c r="H462" s="2" t="s">
        <v>1143</v>
      </c>
      <c r="I462" s="2"/>
      <c r="J462" s="16" t="s">
        <v>8</v>
      </c>
      <c r="K462" s="16"/>
      <c r="L462" s="2" t="s">
        <v>8</v>
      </c>
      <c r="M462" s="16">
        <v>8.64</v>
      </c>
      <c r="N462" s="16">
        <v>8.9499999999999993</v>
      </c>
      <c r="O462" s="2">
        <v>9.18</v>
      </c>
      <c r="P462" s="2">
        <v>8.77</v>
      </c>
      <c r="Q462" s="16"/>
      <c r="R462" s="49"/>
      <c r="S462" s="93">
        <f t="shared" si="7"/>
        <v>8.8849999999999998</v>
      </c>
    </row>
    <row r="463" spans="1:19" x14ac:dyDescent="0.3">
      <c r="A463" s="5">
        <v>462</v>
      </c>
      <c r="B463" s="2">
        <v>1323462</v>
      </c>
      <c r="C463" s="2" t="s">
        <v>454</v>
      </c>
      <c r="D463" s="18" t="s">
        <v>840</v>
      </c>
      <c r="E463" s="2" t="s">
        <v>1075</v>
      </c>
      <c r="F463" s="26">
        <v>8603179917</v>
      </c>
      <c r="G463" s="26" t="s">
        <v>2072</v>
      </c>
      <c r="H463" s="2" t="s">
        <v>1143</v>
      </c>
      <c r="I463" s="2"/>
      <c r="J463" s="16" t="s">
        <v>8</v>
      </c>
      <c r="K463" s="16"/>
      <c r="L463" s="2" t="s">
        <v>8</v>
      </c>
      <c r="M463" s="16">
        <v>6.61</v>
      </c>
      <c r="N463" s="16">
        <v>7</v>
      </c>
      <c r="O463" s="2" t="s">
        <v>2242</v>
      </c>
      <c r="P463" s="2">
        <v>6.55</v>
      </c>
      <c r="Q463" s="16"/>
      <c r="R463" s="49"/>
      <c r="S463" s="93">
        <f t="shared" si="7"/>
        <v>6.72</v>
      </c>
    </row>
    <row r="464" spans="1:19" x14ac:dyDescent="0.3">
      <c r="A464" s="5">
        <v>463</v>
      </c>
      <c r="B464" s="2">
        <v>1323463</v>
      </c>
      <c r="C464" s="2" t="s">
        <v>455</v>
      </c>
      <c r="D464" s="18" t="s">
        <v>841</v>
      </c>
      <c r="E464" s="2" t="s">
        <v>1074</v>
      </c>
      <c r="F464" s="26">
        <v>9304203339</v>
      </c>
      <c r="G464" s="26" t="s">
        <v>2073</v>
      </c>
      <c r="H464" s="2" t="s">
        <v>1143</v>
      </c>
      <c r="I464" s="2"/>
      <c r="J464" s="16" t="s">
        <v>1146</v>
      </c>
      <c r="K464" s="16"/>
      <c r="L464" s="2" t="s">
        <v>926</v>
      </c>
      <c r="M464" s="16">
        <v>7.36</v>
      </c>
      <c r="N464" s="16">
        <v>7.86</v>
      </c>
      <c r="O464" s="2">
        <v>7.59</v>
      </c>
      <c r="P464" s="2">
        <v>6.73</v>
      </c>
      <c r="Q464" s="16"/>
      <c r="R464" s="49"/>
      <c r="S464" s="93">
        <f t="shared" si="7"/>
        <v>7.3850000000000007</v>
      </c>
    </row>
    <row r="465" spans="1:19" x14ac:dyDescent="0.3">
      <c r="A465" s="5">
        <v>464</v>
      </c>
      <c r="B465" s="2">
        <v>1323464</v>
      </c>
      <c r="C465" s="2" t="s">
        <v>607</v>
      </c>
      <c r="D465" s="18" t="s">
        <v>842</v>
      </c>
      <c r="E465" s="2" t="s">
        <v>1073</v>
      </c>
      <c r="F465" s="26">
        <v>6299677503</v>
      </c>
      <c r="G465" s="26" t="s">
        <v>2074</v>
      </c>
      <c r="H465" s="2" t="s">
        <v>1143</v>
      </c>
      <c r="I465" s="2"/>
      <c r="J465" s="16" t="s">
        <v>1146</v>
      </c>
      <c r="K465" s="16"/>
      <c r="L465" s="2" t="s">
        <v>8</v>
      </c>
      <c r="M465" s="16" t="s">
        <v>958</v>
      </c>
      <c r="N465" s="16" t="s">
        <v>958</v>
      </c>
      <c r="O465" s="2">
        <v>7.41</v>
      </c>
      <c r="P465" s="2" t="s">
        <v>2281</v>
      </c>
      <c r="Q465" s="16"/>
      <c r="R465" s="49"/>
      <c r="S465" s="93">
        <f t="shared" si="7"/>
        <v>7.41</v>
      </c>
    </row>
    <row r="466" spans="1:19" x14ac:dyDescent="0.3">
      <c r="A466" s="5">
        <v>465</v>
      </c>
      <c r="B466" s="2">
        <v>1323465</v>
      </c>
      <c r="C466" s="2" t="s">
        <v>456</v>
      </c>
      <c r="D466" s="18" t="s">
        <v>843</v>
      </c>
      <c r="E466" s="2" t="s">
        <v>1072</v>
      </c>
      <c r="F466" s="26">
        <v>9570525854</v>
      </c>
      <c r="G466" s="26" t="s">
        <v>2075</v>
      </c>
      <c r="H466" s="2" t="s">
        <v>1143</v>
      </c>
      <c r="I466" s="2"/>
      <c r="J466" s="16" t="s">
        <v>1146</v>
      </c>
      <c r="K466" s="16"/>
      <c r="L466" s="2" t="s">
        <v>8</v>
      </c>
      <c r="M466" s="16" t="s">
        <v>1651</v>
      </c>
      <c r="N466" s="16">
        <v>6.25</v>
      </c>
      <c r="O466" s="2" t="s">
        <v>954</v>
      </c>
      <c r="P466" s="2" t="s">
        <v>2288</v>
      </c>
      <c r="Q466" s="16"/>
      <c r="R466" s="49"/>
      <c r="S466" s="93">
        <f t="shared" si="7"/>
        <v>6.25</v>
      </c>
    </row>
    <row r="467" spans="1:19" x14ac:dyDescent="0.3">
      <c r="A467" s="5">
        <v>466</v>
      </c>
      <c r="B467" s="2">
        <v>1323466</v>
      </c>
      <c r="C467" s="2" t="s">
        <v>457</v>
      </c>
      <c r="D467" s="18" t="s">
        <v>844</v>
      </c>
      <c r="E467" s="2" t="s">
        <v>1071</v>
      </c>
      <c r="F467" s="26">
        <v>6360544352</v>
      </c>
      <c r="G467" s="26" t="s">
        <v>2076</v>
      </c>
      <c r="H467" s="2" t="s">
        <v>1143</v>
      </c>
      <c r="I467" s="2"/>
      <c r="J467" s="16" t="s">
        <v>8</v>
      </c>
      <c r="K467" s="16"/>
      <c r="L467" s="2" t="s">
        <v>8</v>
      </c>
      <c r="M467" s="16">
        <v>8.4499999999999993</v>
      </c>
      <c r="N467" s="16">
        <v>8.77</v>
      </c>
      <c r="O467" s="2">
        <v>8.09</v>
      </c>
      <c r="P467" s="2">
        <v>7.2</v>
      </c>
      <c r="Q467" s="16"/>
      <c r="R467" s="49"/>
      <c r="S467" s="93">
        <f t="shared" si="7"/>
        <v>8.1274999999999995</v>
      </c>
    </row>
    <row r="468" spans="1:19" x14ac:dyDescent="0.3">
      <c r="A468" s="5">
        <v>467</v>
      </c>
      <c r="B468" s="2">
        <v>1323467</v>
      </c>
      <c r="C468" s="2" t="s">
        <v>458</v>
      </c>
      <c r="D468" s="18" t="s">
        <v>845</v>
      </c>
      <c r="E468" s="2" t="s">
        <v>1070</v>
      </c>
      <c r="F468" s="26">
        <v>8434796446</v>
      </c>
      <c r="G468" s="26" t="s">
        <v>2077</v>
      </c>
      <c r="H468" s="2" t="s">
        <v>1143</v>
      </c>
      <c r="I468" s="2"/>
      <c r="J468" s="16" t="s">
        <v>8</v>
      </c>
      <c r="K468" s="16"/>
      <c r="L468" s="2" t="s">
        <v>8</v>
      </c>
      <c r="M468" s="16">
        <v>7.77</v>
      </c>
      <c r="N468" s="16">
        <v>8</v>
      </c>
      <c r="O468" s="2" t="s">
        <v>2224</v>
      </c>
      <c r="P468" s="2">
        <v>6.82</v>
      </c>
      <c r="Q468" s="16"/>
      <c r="R468" s="49"/>
      <c r="S468" s="93">
        <f t="shared" si="7"/>
        <v>7.53</v>
      </c>
    </row>
    <row r="469" spans="1:19" x14ac:dyDescent="0.3">
      <c r="A469" s="5">
        <v>468</v>
      </c>
      <c r="B469" s="2">
        <v>1323468</v>
      </c>
      <c r="C469" s="2" t="s">
        <v>459</v>
      </c>
      <c r="D469" s="15" t="s">
        <v>846</v>
      </c>
      <c r="E469" s="2" t="s">
        <v>1069</v>
      </c>
      <c r="F469" s="26">
        <v>7707030064</v>
      </c>
      <c r="G469" s="26" t="s">
        <v>2078</v>
      </c>
      <c r="H469" s="2" t="s">
        <v>1143</v>
      </c>
      <c r="I469" s="2"/>
      <c r="J469" s="16" t="s">
        <v>1146</v>
      </c>
      <c r="K469" s="16"/>
      <c r="L469" s="2" t="s">
        <v>926</v>
      </c>
      <c r="M469" s="16" t="s">
        <v>958</v>
      </c>
      <c r="N469" s="16">
        <v>7.45</v>
      </c>
      <c r="O469" s="2" t="s">
        <v>2220</v>
      </c>
      <c r="P469" s="2" t="s">
        <v>2289</v>
      </c>
      <c r="Q469" s="16"/>
      <c r="R469" s="49"/>
      <c r="S469" s="93">
        <f t="shared" si="7"/>
        <v>7.45</v>
      </c>
    </row>
    <row r="470" spans="1:19" x14ac:dyDescent="0.3">
      <c r="A470" s="5">
        <v>469</v>
      </c>
      <c r="B470" s="2">
        <v>1323469</v>
      </c>
      <c r="C470" s="2" t="s">
        <v>460</v>
      </c>
      <c r="D470" s="18" t="s">
        <v>847</v>
      </c>
      <c r="E470" s="2" t="s">
        <v>916</v>
      </c>
      <c r="F470" s="26">
        <v>6207904614</v>
      </c>
      <c r="G470" s="26" t="s">
        <v>2079</v>
      </c>
      <c r="H470" s="2" t="s">
        <v>1143</v>
      </c>
      <c r="I470" s="2"/>
      <c r="J470" s="16" t="s">
        <v>1146</v>
      </c>
      <c r="K470" s="16"/>
      <c r="L470" s="2" t="s">
        <v>8</v>
      </c>
      <c r="M470" s="16">
        <v>8.27</v>
      </c>
      <c r="N470" s="16">
        <v>8.77</v>
      </c>
      <c r="O470" s="2">
        <v>8.82</v>
      </c>
      <c r="P470" s="2">
        <v>8.18</v>
      </c>
      <c r="Q470" s="16"/>
      <c r="R470" s="49"/>
      <c r="S470" s="93">
        <f t="shared" si="7"/>
        <v>8.51</v>
      </c>
    </row>
    <row r="471" spans="1:19" x14ac:dyDescent="0.3">
      <c r="A471" s="5">
        <v>470</v>
      </c>
      <c r="B471" s="2">
        <v>1323470</v>
      </c>
      <c r="C471" s="2" t="s">
        <v>461</v>
      </c>
      <c r="D471" s="18" t="s">
        <v>814</v>
      </c>
      <c r="E471" s="2" t="s">
        <v>1068</v>
      </c>
      <c r="F471" s="26">
        <v>6201900166</v>
      </c>
      <c r="G471" s="26" t="s">
        <v>2080</v>
      </c>
      <c r="H471" s="2" t="s">
        <v>1143</v>
      </c>
      <c r="I471" s="2"/>
      <c r="J471" s="16" t="s">
        <v>8</v>
      </c>
      <c r="K471" s="16"/>
      <c r="L471" s="2" t="s">
        <v>8</v>
      </c>
      <c r="M471" s="16">
        <v>6.09</v>
      </c>
      <c r="N471" s="16">
        <v>7.91</v>
      </c>
      <c r="O471" s="2" t="s">
        <v>2243</v>
      </c>
      <c r="P471" s="2" t="s">
        <v>2250</v>
      </c>
      <c r="Q471" s="16"/>
      <c r="R471" s="49"/>
      <c r="S471" s="93">
        <f t="shared" si="7"/>
        <v>7</v>
      </c>
    </row>
    <row r="472" spans="1:19" x14ac:dyDescent="0.3">
      <c r="A472" s="5">
        <v>471</v>
      </c>
      <c r="B472" s="2">
        <v>1323471</v>
      </c>
      <c r="C472" s="2" t="s">
        <v>462</v>
      </c>
      <c r="D472" s="20" t="s">
        <v>814</v>
      </c>
      <c r="E472" s="2" t="s">
        <v>1067</v>
      </c>
      <c r="F472" s="26">
        <v>8092374114</v>
      </c>
      <c r="G472" s="26" t="s">
        <v>2081</v>
      </c>
      <c r="H472" s="2" t="s">
        <v>1143</v>
      </c>
      <c r="I472" s="2"/>
      <c r="J472" s="16" t="s">
        <v>8</v>
      </c>
      <c r="K472" s="16"/>
      <c r="L472" s="2" t="s">
        <v>8</v>
      </c>
      <c r="M472" s="16" t="s">
        <v>1625</v>
      </c>
      <c r="N472" s="16">
        <v>7.27</v>
      </c>
      <c r="O472" s="2">
        <v>6.5</v>
      </c>
      <c r="P472" s="2" t="s">
        <v>2290</v>
      </c>
      <c r="Q472" s="16"/>
      <c r="R472" s="49"/>
      <c r="S472" s="93">
        <f t="shared" si="7"/>
        <v>6.8849999999999998</v>
      </c>
    </row>
    <row r="473" spans="1:19" x14ac:dyDescent="0.3">
      <c r="A473" s="5">
        <v>472</v>
      </c>
      <c r="B473" s="2">
        <v>1323472</v>
      </c>
      <c r="C473" s="2" t="s">
        <v>463</v>
      </c>
      <c r="D473" s="15" t="s">
        <v>848</v>
      </c>
      <c r="E473" s="91" t="s">
        <v>891</v>
      </c>
      <c r="F473" s="26">
        <v>8409362879</v>
      </c>
      <c r="G473" s="26" t="s">
        <v>2082</v>
      </c>
      <c r="H473" s="2" t="s">
        <v>1143</v>
      </c>
      <c r="I473" s="2"/>
      <c r="J473" s="16" t="s">
        <v>8</v>
      </c>
      <c r="K473" s="16"/>
      <c r="L473" s="2" t="s">
        <v>926</v>
      </c>
      <c r="M473" s="16">
        <v>6.41</v>
      </c>
      <c r="N473" s="16">
        <v>8.0500000000000007</v>
      </c>
      <c r="O473" s="2">
        <v>7.64</v>
      </c>
      <c r="P473" s="2" t="s">
        <v>2290</v>
      </c>
      <c r="Q473" s="16"/>
      <c r="R473" s="49"/>
      <c r="S473" s="93">
        <f t="shared" si="7"/>
        <v>7.3666666666666671</v>
      </c>
    </row>
    <row r="474" spans="1:19" x14ac:dyDescent="0.3">
      <c r="A474" s="5">
        <v>473</v>
      </c>
      <c r="B474" s="2">
        <v>1323473</v>
      </c>
      <c r="C474" s="2" t="s">
        <v>464</v>
      </c>
      <c r="D474" s="15" t="s">
        <v>849</v>
      </c>
      <c r="E474" s="2" t="s">
        <v>1066</v>
      </c>
      <c r="F474" s="26">
        <v>9234490721</v>
      </c>
      <c r="G474" s="26" t="s">
        <v>2083</v>
      </c>
      <c r="H474" s="2" t="s">
        <v>1143</v>
      </c>
      <c r="I474" s="2"/>
      <c r="J474" s="16" t="s">
        <v>8</v>
      </c>
      <c r="K474" s="16"/>
      <c r="L474" s="2" t="s">
        <v>8</v>
      </c>
      <c r="M474" s="16">
        <v>6.95</v>
      </c>
      <c r="N474" s="16">
        <v>8.23</v>
      </c>
      <c r="O474" s="2" t="s">
        <v>2224</v>
      </c>
      <c r="P474" s="2">
        <v>6.36</v>
      </c>
      <c r="Q474" s="16"/>
      <c r="R474" s="49"/>
      <c r="S474" s="93">
        <f t="shared" si="7"/>
        <v>7.18</v>
      </c>
    </row>
    <row r="475" spans="1:19" x14ac:dyDescent="0.3">
      <c r="A475" s="5">
        <v>474</v>
      </c>
      <c r="B475" s="2">
        <v>1323474</v>
      </c>
      <c r="C475" s="2" t="s">
        <v>465</v>
      </c>
      <c r="D475" s="15" t="s">
        <v>850</v>
      </c>
      <c r="E475" s="2" t="s">
        <v>1065</v>
      </c>
      <c r="F475" s="26">
        <v>9546226164</v>
      </c>
      <c r="G475" s="26" t="s">
        <v>2084</v>
      </c>
      <c r="H475" s="2" t="s">
        <v>1143</v>
      </c>
      <c r="I475" s="2"/>
      <c r="J475" s="16"/>
      <c r="K475" s="16"/>
      <c r="L475" s="2" t="s">
        <v>926</v>
      </c>
      <c r="M475" s="16">
        <v>7.73</v>
      </c>
      <c r="N475" s="16">
        <v>8.4499999999999993</v>
      </c>
      <c r="O475" s="2">
        <v>7.64</v>
      </c>
      <c r="P475" s="2">
        <v>7.64</v>
      </c>
      <c r="Q475" s="16"/>
      <c r="R475" s="49"/>
      <c r="S475" s="93">
        <f t="shared" si="7"/>
        <v>7.8650000000000002</v>
      </c>
    </row>
    <row r="476" spans="1:19" x14ac:dyDescent="0.3">
      <c r="A476" s="5">
        <v>475</v>
      </c>
      <c r="B476" s="2">
        <v>1323475</v>
      </c>
      <c r="C476" s="2" t="s">
        <v>466</v>
      </c>
      <c r="D476" s="15" t="s">
        <v>851</v>
      </c>
      <c r="E476" s="2" t="s">
        <v>1064</v>
      </c>
      <c r="F476" s="26">
        <v>9631765261</v>
      </c>
      <c r="G476" s="26" t="s">
        <v>2085</v>
      </c>
      <c r="H476" s="2" t="s">
        <v>1143</v>
      </c>
      <c r="I476" s="2"/>
      <c r="J476" s="16" t="s">
        <v>1146</v>
      </c>
      <c r="K476" s="16"/>
      <c r="L476" s="2" t="s">
        <v>8</v>
      </c>
      <c r="M476" s="16">
        <v>6.68</v>
      </c>
      <c r="N476" s="16">
        <v>8.32</v>
      </c>
      <c r="O476" s="2">
        <v>7.5</v>
      </c>
      <c r="P476" s="2">
        <v>6.95</v>
      </c>
      <c r="Q476" s="16"/>
      <c r="R476" s="49"/>
      <c r="S476" s="93">
        <f t="shared" si="7"/>
        <v>7.3624999999999998</v>
      </c>
    </row>
    <row r="477" spans="1:19" x14ac:dyDescent="0.3">
      <c r="A477" s="5">
        <v>476</v>
      </c>
      <c r="B477" s="2">
        <v>1323476</v>
      </c>
      <c r="C477" s="2" t="s">
        <v>467</v>
      </c>
      <c r="D477" s="15" t="s">
        <v>828</v>
      </c>
      <c r="E477" s="2" t="s">
        <v>1408</v>
      </c>
      <c r="F477" s="26"/>
      <c r="G477" s="26"/>
      <c r="H477" s="2"/>
      <c r="I477" s="2"/>
      <c r="J477" s="16"/>
      <c r="K477" s="16"/>
      <c r="L477" s="2"/>
      <c r="M477" s="16" t="s">
        <v>1643</v>
      </c>
      <c r="N477" s="16"/>
      <c r="O477" s="2"/>
      <c r="P477" s="2"/>
      <c r="Q477" s="16"/>
      <c r="R477" s="49"/>
      <c r="S477" s="93" t="e">
        <f t="shared" si="7"/>
        <v>#DIV/0!</v>
      </c>
    </row>
    <row r="478" spans="1:19" x14ac:dyDescent="0.3">
      <c r="A478" s="5">
        <v>477</v>
      </c>
      <c r="B478" s="2">
        <v>1323477</v>
      </c>
      <c r="C478" s="2" t="s">
        <v>468</v>
      </c>
      <c r="D478" s="15" t="s">
        <v>852</v>
      </c>
      <c r="E478" s="2" t="s">
        <v>1063</v>
      </c>
      <c r="F478" s="26">
        <v>9122343545</v>
      </c>
      <c r="G478" s="26" t="s">
        <v>2086</v>
      </c>
      <c r="H478" s="2" t="s">
        <v>1143</v>
      </c>
      <c r="I478" s="2"/>
      <c r="J478" s="16" t="s">
        <v>8</v>
      </c>
      <c r="K478" s="16"/>
      <c r="L478" s="2" t="s">
        <v>8</v>
      </c>
      <c r="M478" s="16">
        <v>7.36</v>
      </c>
      <c r="N478" s="16">
        <v>8.73</v>
      </c>
      <c r="O478" s="2">
        <v>7.68</v>
      </c>
      <c r="P478" s="2">
        <v>6.57</v>
      </c>
      <c r="Q478" s="16"/>
      <c r="R478" s="49"/>
      <c r="S478" s="93">
        <f t="shared" si="7"/>
        <v>7.585</v>
      </c>
    </row>
    <row r="479" spans="1:19" x14ac:dyDescent="0.3">
      <c r="A479" s="5">
        <v>478</v>
      </c>
      <c r="B479" s="2">
        <v>1323478</v>
      </c>
      <c r="C479" s="2" t="s">
        <v>469</v>
      </c>
      <c r="D479" s="15" t="s">
        <v>853</v>
      </c>
      <c r="E479" s="2" t="s">
        <v>668</v>
      </c>
      <c r="F479" s="26">
        <v>7255821123</v>
      </c>
      <c r="G479" s="26" t="s">
        <v>2087</v>
      </c>
      <c r="H479" s="2" t="s">
        <v>1143</v>
      </c>
      <c r="I479" s="2"/>
      <c r="J479" s="16" t="s">
        <v>8</v>
      </c>
      <c r="K479" s="16"/>
      <c r="L479" s="2" t="s">
        <v>8</v>
      </c>
      <c r="M479" s="16" t="s">
        <v>1632</v>
      </c>
      <c r="N479" s="16">
        <v>7.91</v>
      </c>
      <c r="O479" s="2">
        <v>7.07</v>
      </c>
      <c r="P479" s="2" t="s">
        <v>2291</v>
      </c>
      <c r="Q479" s="16"/>
      <c r="R479" s="49"/>
      <c r="S479" s="93">
        <f t="shared" si="7"/>
        <v>7.49</v>
      </c>
    </row>
    <row r="480" spans="1:19" x14ac:dyDescent="0.3">
      <c r="A480" s="5">
        <v>479</v>
      </c>
      <c r="B480" s="2">
        <v>1323479</v>
      </c>
      <c r="C480" s="2" t="s">
        <v>470</v>
      </c>
      <c r="D480" s="15" t="s">
        <v>854</v>
      </c>
      <c r="E480" s="2" t="s">
        <v>1062</v>
      </c>
      <c r="F480" s="26">
        <v>9006618001</v>
      </c>
      <c r="G480" s="26" t="s">
        <v>2088</v>
      </c>
      <c r="H480" s="2" t="s">
        <v>1143</v>
      </c>
      <c r="I480" s="2"/>
      <c r="J480" s="16" t="s">
        <v>8</v>
      </c>
      <c r="K480" s="16"/>
      <c r="L480" s="2" t="s">
        <v>8</v>
      </c>
      <c r="M480" s="16">
        <v>7.05</v>
      </c>
      <c r="N480" s="16">
        <v>8.4499999999999993</v>
      </c>
      <c r="O480" s="2">
        <v>7.23</v>
      </c>
      <c r="P480" s="2">
        <v>6.18</v>
      </c>
      <c r="Q480" s="16"/>
      <c r="R480" s="49"/>
      <c r="S480" s="93">
        <f t="shared" si="7"/>
        <v>7.2275</v>
      </c>
    </row>
    <row r="481" spans="1:19" x14ac:dyDescent="0.3">
      <c r="A481" s="5">
        <v>480</v>
      </c>
      <c r="B481" s="2">
        <v>1323480</v>
      </c>
      <c r="C481" s="2" t="s">
        <v>471</v>
      </c>
      <c r="D481" s="15" t="s">
        <v>855</v>
      </c>
      <c r="E481" s="2" t="s">
        <v>1061</v>
      </c>
      <c r="F481" s="26">
        <v>7739240267</v>
      </c>
      <c r="G481" s="26" t="s">
        <v>2089</v>
      </c>
      <c r="H481" s="2" t="s">
        <v>1144</v>
      </c>
      <c r="I481" s="2"/>
      <c r="J481" s="16" t="s">
        <v>1145</v>
      </c>
      <c r="K481" s="16"/>
      <c r="L481" s="2" t="s">
        <v>9</v>
      </c>
      <c r="M481" s="16">
        <v>7.45</v>
      </c>
      <c r="N481" s="16">
        <v>8.18</v>
      </c>
      <c r="O481" s="2">
        <v>8.57</v>
      </c>
      <c r="P481" s="2">
        <v>6.77</v>
      </c>
      <c r="Q481" s="16"/>
      <c r="R481" s="49"/>
      <c r="S481" s="93">
        <f t="shared" si="7"/>
        <v>7.7424999999999997</v>
      </c>
    </row>
    <row r="482" spans="1:19" x14ac:dyDescent="0.3">
      <c r="A482" s="5">
        <v>481</v>
      </c>
      <c r="B482" s="2">
        <v>1323481</v>
      </c>
      <c r="C482" s="2" t="s">
        <v>472</v>
      </c>
      <c r="D482" s="15" t="s">
        <v>856</v>
      </c>
      <c r="E482" s="2" t="s">
        <v>1060</v>
      </c>
      <c r="F482" s="26">
        <v>7091943675</v>
      </c>
      <c r="G482" s="26" t="s">
        <v>2090</v>
      </c>
      <c r="H482" s="2" t="s">
        <v>1144</v>
      </c>
      <c r="I482" s="2"/>
      <c r="J482" s="16" t="s">
        <v>1145</v>
      </c>
      <c r="K482" s="16"/>
      <c r="L482" s="2" t="s">
        <v>8</v>
      </c>
      <c r="M482" s="16">
        <v>7.14</v>
      </c>
      <c r="N482" s="16">
        <v>8.5500000000000007</v>
      </c>
      <c r="O482" s="2">
        <v>8.52</v>
      </c>
      <c r="P482" s="2">
        <v>7.64</v>
      </c>
      <c r="Q482" s="16"/>
      <c r="R482" s="49"/>
      <c r="S482" s="93">
        <f t="shared" si="7"/>
        <v>7.9625000000000004</v>
      </c>
    </row>
    <row r="483" spans="1:19" x14ac:dyDescent="0.3">
      <c r="A483" s="5">
        <v>482</v>
      </c>
      <c r="B483" s="2">
        <v>1323482</v>
      </c>
      <c r="C483" s="2" t="s">
        <v>473</v>
      </c>
      <c r="D483" s="18" t="s">
        <v>857</v>
      </c>
      <c r="E483" s="2" t="s">
        <v>1059</v>
      </c>
      <c r="F483" s="26">
        <v>8292227646</v>
      </c>
      <c r="G483" s="26" t="s">
        <v>2091</v>
      </c>
      <c r="H483" s="2" t="s">
        <v>1144</v>
      </c>
      <c r="I483" s="2"/>
      <c r="J483" s="16" t="s">
        <v>1145</v>
      </c>
      <c r="K483" s="16"/>
      <c r="L483" s="2" t="s">
        <v>8</v>
      </c>
      <c r="M483" s="16">
        <v>6</v>
      </c>
      <c r="N483" s="16" t="s">
        <v>1691</v>
      </c>
      <c r="O483" s="2" t="s">
        <v>954</v>
      </c>
      <c r="P483" s="2" t="s">
        <v>2250</v>
      </c>
      <c r="Q483" s="16"/>
      <c r="R483" s="49"/>
      <c r="S483" s="93">
        <f t="shared" si="7"/>
        <v>6</v>
      </c>
    </row>
    <row r="484" spans="1:19" x14ac:dyDescent="0.3">
      <c r="A484" s="5">
        <v>483</v>
      </c>
      <c r="B484" s="2">
        <v>1323483</v>
      </c>
      <c r="C484" s="2" t="s">
        <v>474</v>
      </c>
      <c r="D484" s="21" t="s">
        <v>858</v>
      </c>
      <c r="E484" s="2" t="s">
        <v>1058</v>
      </c>
      <c r="F484" s="26">
        <v>9319280335</v>
      </c>
      <c r="G484" s="26" t="s">
        <v>2092</v>
      </c>
      <c r="H484" s="2" t="s">
        <v>1144</v>
      </c>
      <c r="I484" s="2"/>
      <c r="J484" s="16" t="s">
        <v>1145</v>
      </c>
      <c r="K484" s="16"/>
      <c r="L484" s="2" t="s">
        <v>8</v>
      </c>
      <c r="M484" s="16">
        <v>6.59</v>
      </c>
      <c r="N484" s="16">
        <v>8.32</v>
      </c>
      <c r="O484" s="2">
        <v>8.14</v>
      </c>
      <c r="P484" s="2">
        <v>6.25</v>
      </c>
      <c r="Q484" s="16"/>
      <c r="R484" s="49"/>
      <c r="S484" s="93">
        <f t="shared" si="7"/>
        <v>7.3250000000000002</v>
      </c>
    </row>
    <row r="485" spans="1:19" x14ac:dyDescent="0.3">
      <c r="A485" s="5">
        <v>484</v>
      </c>
      <c r="B485" s="2">
        <v>1323484</v>
      </c>
      <c r="C485" s="2" t="s">
        <v>475</v>
      </c>
      <c r="D485" s="21" t="s">
        <v>859</v>
      </c>
      <c r="E485" s="2" t="s">
        <v>1057</v>
      </c>
      <c r="F485" s="26">
        <v>8424877541</v>
      </c>
      <c r="G485" s="26" t="s">
        <v>2093</v>
      </c>
      <c r="H485" s="2" t="s">
        <v>1144</v>
      </c>
      <c r="I485" s="2"/>
      <c r="J485" s="16" t="s">
        <v>1145</v>
      </c>
      <c r="K485" s="16"/>
      <c r="L485" s="2" t="s">
        <v>8</v>
      </c>
      <c r="M485" s="16">
        <v>7.27</v>
      </c>
      <c r="N485" s="16">
        <v>8.68</v>
      </c>
      <c r="O485" s="2">
        <v>8.11</v>
      </c>
      <c r="P485" s="2">
        <v>8</v>
      </c>
      <c r="Q485" s="16"/>
      <c r="R485" s="49"/>
      <c r="S485" s="93">
        <f t="shared" si="7"/>
        <v>8.0150000000000006</v>
      </c>
    </row>
    <row r="486" spans="1:19" x14ac:dyDescent="0.3">
      <c r="A486" s="5">
        <v>485</v>
      </c>
      <c r="B486" s="2">
        <v>1323485</v>
      </c>
      <c r="C486" s="2" t="s">
        <v>476</v>
      </c>
      <c r="D486" s="21"/>
      <c r="E486" s="2"/>
      <c r="F486" s="26"/>
      <c r="G486" s="26"/>
      <c r="H486" s="2"/>
      <c r="I486" s="2"/>
      <c r="J486" s="16"/>
      <c r="K486" s="16"/>
      <c r="L486" s="2"/>
      <c r="M486" s="16"/>
      <c r="N486" s="16"/>
      <c r="O486" s="2"/>
      <c r="P486" s="2"/>
      <c r="Q486" s="16"/>
      <c r="R486" s="49"/>
      <c r="S486" s="93" t="e">
        <f t="shared" si="7"/>
        <v>#DIV/0!</v>
      </c>
    </row>
    <row r="487" spans="1:19" x14ac:dyDescent="0.3">
      <c r="A487" s="5">
        <v>486</v>
      </c>
      <c r="B487" s="2">
        <v>1323486</v>
      </c>
      <c r="C487" s="2" t="s">
        <v>477</v>
      </c>
      <c r="D487" s="21"/>
      <c r="E487" s="2"/>
      <c r="F487" s="26"/>
      <c r="G487" s="26"/>
      <c r="H487" s="2"/>
      <c r="I487" s="2"/>
      <c r="J487" s="16"/>
      <c r="K487" s="16"/>
      <c r="L487" s="2"/>
      <c r="M487" s="16"/>
      <c r="N487" s="16"/>
      <c r="O487" s="2"/>
      <c r="P487" s="2"/>
      <c r="Q487" s="16"/>
      <c r="R487" s="49"/>
      <c r="S487" s="93" t="e">
        <f t="shared" si="7"/>
        <v>#DIV/0!</v>
      </c>
    </row>
    <row r="488" spans="1:19" x14ac:dyDescent="0.3">
      <c r="A488" s="5">
        <v>487</v>
      </c>
      <c r="B488" s="2">
        <v>1323487</v>
      </c>
      <c r="C488" s="2" t="s">
        <v>478</v>
      </c>
      <c r="D488" s="2" t="s">
        <v>860</v>
      </c>
      <c r="E488" s="2" t="s">
        <v>1056</v>
      </c>
      <c r="F488" s="26">
        <v>9801195421</v>
      </c>
      <c r="G488" s="26" t="s">
        <v>2094</v>
      </c>
      <c r="H488" s="2" t="s">
        <v>1144</v>
      </c>
      <c r="I488" s="2"/>
      <c r="J488" s="16" t="s">
        <v>1145</v>
      </c>
      <c r="K488" s="16"/>
      <c r="L488" s="2" t="s">
        <v>6</v>
      </c>
      <c r="M488" s="16">
        <v>7.27</v>
      </c>
      <c r="N488" s="16">
        <v>8.32</v>
      </c>
      <c r="O488" s="2">
        <v>9</v>
      </c>
      <c r="P488" s="2">
        <v>8.5500000000000007</v>
      </c>
      <c r="Q488" s="16"/>
      <c r="R488" s="49"/>
      <c r="S488" s="93">
        <f t="shared" si="7"/>
        <v>8.2850000000000001</v>
      </c>
    </row>
    <row r="489" spans="1:19" x14ac:dyDescent="0.3">
      <c r="A489" s="5">
        <v>488</v>
      </c>
      <c r="B489" s="2">
        <v>1323488</v>
      </c>
      <c r="C489" s="2" t="s">
        <v>479</v>
      </c>
      <c r="D489" s="2" t="s">
        <v>861</v>
      </c>
      <c r="E489" s="2" t="s">
        <v>1055</v>
      </c>
      <c r="F489" s="26">
        <v>6202471286</v>
      </c>
      <c r="G489" s="26" t="s">
        <v>2095</v>
      </c>
      <c r="H489" s="2" t="s">
        <v>1144</v>
      </c>
      <c r="I489" s="2"/>
      <c r="J489" s="16" t="s">
        <v>1146</v>
      </c>
      <c r="K489" s="16"/>
      <c r="L489" s="2" t="s">
        <v>8</v>
      </c>
      <c r="M489" s="16">
        <v>6.7</v>
      </c>
      <c r="N489" s="16">
        <v>8.27</v>
      </c>
      <c r="O489" s="2">
        <v>8.23</v>
      </c>
      <c r="P489" s="2">
        <v>8.18</v>
      </c>
      <c r="Q489" s="16"/>
      <c r="R489" s="49"/>
      <c r="S489" s="93">
        <f t="shared" si="7"/>
        <v>7.8449999999999998</v>
      </c>
    </row>
    <row r="490" spans="1:19" x14ac:dyDescent="0.3">
      <c r="A490" s="5">
        <v>489</v>
      </c>
      <c r="B490" s="2">
        <v>1323489</v>
      </c>
      <c r="C490" s="2" t="s">
        <v>480</v>
      </c>
      <c r="D490" s="2" t="s">
        <v>862</v>
      </c>
      <c r="E490" s="2" t="s">
        <v>1054</v>
      </c>
      <c r="F490" s="26">
        <v>9279505828</v>
      </c>
      <c r="G490" s="26" t="s">
        <v>2096</v>
      </c>
      <c r="H490" s="2" t="s">
        <v>1144</v>
      </c>
      <c r="I490" s="2"/>
      <c r="J490" s="16" t="s">
        <v>1146</v>
      </c>
      <c r="K490" s="16"/>
      <c r="L490" s="2" t="s">
        <v>8</v>
      </c>
      <c r="M490" s="16" t="s">
        <v>1636</v>
      </c>
      <c r="N490" s="16">
        <v>7.23</v>
      </c>
      <c r="O490" s="2">
        <v>7.18</v>
      </c>
      <c r="P490" s="2">
        <v>6.27</v>
      </c>
      <c r="Q490" s="16"/>
      <c r="R490" s="49"/>
      <c r="S490" s="93">
        <f t="shared" si="7"/>
        <v>6.8933333333333335</v>
      </c>
    </row>
    <row r="491" spans="1:19" x14ac:dyDescent="0.3">
      <c r="A491" s="5">
        <v>490</v>
      </c>
      <c r="B491" s="2">
        <v>1323490</v>
      </c>
      <c r="C491" s="2" t="s">
        <v>481</v>
      </c>
      <c r="D491" s="2" t="s">
        <v>863</v>
      </c>
      <c r="E491" s="2" t="s">
        <v>1053</v>
      </c>
      <c r="F491" s="26">
        <v>7903949959</v>
      </c>
      <c r="G491" s="26" t="s">
        <v>2097</v>
      </c>
      <c r="H491" s="2" t="s">
        <v>1144</v>
      </c>
      <c r="I491" s="2"/>
      <c r="J491" s="16" t="s">
        <v>1145</v>
      </c>
      <c r="K491" s="16"/>
      <c r="L491" s="2" t="s">
        <v>9</v>
      </c>
      <c r="M491" s="16">
        <v>6.73</v>
      </c>
      <c r="N491" s="16">
        <v>8.5500000000000007</v>
      </c>
      <c r="O491" s="2">
        <v>8.4499999999999993</v>
      </c>
      <c r="P491" s="2">
        <v>8.0500000000000007</v>
      </c>
      <c r="Q491" s="16"/>
      <c r="R491" s="49"/>
      <c r="S491" s="93">
        <f t="shared" si="7"/>
        <v>7.9450000000000003</v>
      </c>
    </row>
    <row r="492" spans="1:19" x14ac:dyDescent="0.3">
      <c r="A492" s="5">
        <v>491</v>
      </c>
      <c r="B492" s="2">
        <v>1323491</v>
      </c>
      <c r="C492" s="2" t="s">
        <v>482</v>
      </c>
      <c r="D492" s="21" t="s">
        <v>864</v>
      </c>
      <c r="E492" s="2" t="s">
        <v>995</v>
      </c>
      <c r="F492" s="26">
        <v>7645989653</v>
      </c>
      <c r="G492" s="26" t="s">
        <v>2098</v>
      </c>
      <c r="H492" s="2" t="s">
        <v>1144</v>
      </c>
      <c r="I492" s="2"/>
      <c r="J492" s="16" t="s">
        <v>1146</v>
      </c>
      <c r="K492" s="16"/>
      <c r="L492" s="2" t="s">
        <v>9</v>
      </c>
      <c r="M492" s="16">
        <v>6.5</v>
      </c>
      <c r="N492" s="16">
        <v>7.73</v>
      </c>
      <c r="O492" s="2">
        <v>7.41</v>
      </c>
      <c r="P492" s="2">
        <v>6.98</v>
      </c>
      <c r="Q492" s="16"/>
      <c r="R492" s="49"/>
      <c r="S492" s="93">
        <f t="shared" si="7"/>
        <v>7.1550000000000002</v>
      </c>
    </row>
    <row r="493" spans="1:19" x14ac:dyDescent="0.3">
      <c r="A493" s="5">
        <v>492</v>
      </c>
      <c r="B493" s="2">
        <v>1323492</v>
      </c>
      <c r="C493" s="2" t="s">
        <v>483</v>
      </c>
      <c r="D493" s="21" t="s">
        <v>865</v>
      </c>
      <c r="E493" s="2" t="s">
        <v>1052</v>
      </c>
      <c r="F493" s="26">
        <v>7562956966</v>
      </c>
      <c r="G493" s="26" t="s">
        <v>2099</v>
      </c>
      <c r="H493" s="2" t="s">
        <v>1144</v>
      </c>
      <c r="I493" s="2"/>
      <c r="J493" s="16" t="s">
        <v>8</v>
      </c>
      <c r="K493" s="16"/>
      <c r="L493" s="2" t="s">
        <v>8</v>
      </c>
      <c r="M493" s="16">
        <v>6.02</v>
      </c>
      <c r="N493" s="16">
        <v>7.82</v>
      </c>
      <c r="O493" s="2">
        <v>7.93</v>
      </c>
      <c r="P493" s="2">
        <v>8.27</v>
      </c>
      <c r="Q493" s="16"/>
      <c r="R493" s="49"/>
      <c r="S493" s="93">
        <f t="shared" si="7"/>
        <v>7.51</v>
      </c>
    </row>
    <row r="494" spans="1:19" x14ac:dyDescent="0.3">
      <c r="A494" s="5">
        <v>493</v>
      </c>
      <c r="B494" s="2">
        <v>1323493</v>
      </c>
      <c r="C494" s="2" t="s">
        <v>484</v>
      </c>
      <c r="D494" s="21" t="s">
        <v>866</v>
      </c>
      <c r="E494" s="2" t="s">
        <v>1051</v>
      </c>
      <c r="F494" s="26">
        <v>6204989704</v>
      </c>
      <c r="G494" s="26" t="s">
        <v>2100</v>
      </c>
      <c r="H494" s="2" t="s">
        <v>1144</v>
      </c>
      <c r="I494" s="2"/>
      <c r="J494" s="16"/>
      <c r="K494" s="16"/>
      <c r="L494" s="2" t="s">
        <v>8</v>
      </c>
      <c r="M494" s="16" t="s">
        <v>954</v>
      </c>
      <c r="N494" s="16" t="s">
        <v>1692</v>
      </c>
      <c r="O494" s="2">
        <v>6.05</v>
      </c>
      <c r="P494" s="2" t="s">
        <v>2292</v>
      </c>
      <c r="Q494" s="16"/>
      <c r="R494" s="49"/>
      <c r="S494" s="93">
        <f t="shared" si="7"/>
        <v>6.05</v>
      </c>
    </row>
    <row r="495" spans="1:19" x14ac:dyDescent="0.3">
      <c r="A495" s="5">
        <v>494</v>
      </c>
      <c r="B495" s="2">
        <v>1323494</v>
      </c>
      <c r="C495" s="2" t="s">
        <v>608</v>
      </c>
      <c r="D495" s="21" t="s">
        <v>867</v>
      </c>
      <c r="E495" s="2" t="s">
        <v>1050</v>
      </c>
      <c r="F495" s="26">
        <v>9279993918</v>
      </c>
      <c r="G495" s="26" t="s">
        <v>2101</v>
      </c>
      <c r="H495" s="2" t="s">
        <v>1144</v>
      </c>
      <c r="I495" s="2"/>
      <c r="J495" s="16" t="s">
        <v>1145</v>
      </c>
      <c r="K495" s="16"/>
      <c r="L495" s="2" t="s">
        <v>6</v>
      </c>
      <c r="M495" s="16" t="s">
        <v>958</v>
      </c>
      <c r="N495" s="16" t="s">
        <v>958</v>
      </c>
      <c r="O495" s="2">
        <v>7.55</v>
      </c>
      <c r="P495" s="2">
        <v>7.05</v>
      </c>
      <c r="Q495" s="16"/>
      <c r="R495" s="49"/>
      <c r="S495" s="93">
        <f t="shared" si="7"/>
        <v>7.3</v>
      </c>
    </row>
    <row r="496" spans="1:19" x14ac:dyDescent="0.3">
      <c r="A496" s="5">
        <v>495</v>
      </c>
      <c r="B496" s="2">
        <v>1323495</v>
      </c>
      <c r="C496" s="2" t="s">
        <v>485</v>
      </c>
      <c r="D496" s="21" t="s">
        <v>868</v>
      </c>
      <c r="E496" s="2" t="s">
        <v>1049</v>
      </c>
      <c r="F496" s="26">
        <v>9122150300</v>
      </c>
      <c r="G496" s="26" t="s">
        <v>2102</v>
      </c>
      <c r="H496" s="2" t="s">
        <v>1144</v>
      </c>
      <c r="I496" s="2"/>
      <c r="J496" s="16" t="s">
        <v>1146</v>
      </c>
      <c r="K496" s="16"/>
      <c r="L496" s="2" t="s">
        <v>8</v>
      </c>
      <c r="M496" s="16" t="s">
        <v>1630</v>
      </c>
      <c r="N496" s="16">
        <v>6.05</v>
      </c>
      <c r="O496" s="2" t="s">
        <v>2208</v>
      </c>
      <c r="P496" s="2">
        <v>6.16</v>
      </c>
      <c r="Q496" s="16"/>
      <c r="R496" s="49"/>
      <c r="S496" s="93">
        <f t="shared" si="7"/>
        <v>6.1050000000000004</v>
      </c>
    </row>
    <row r="497" spans="1:19" x14ac:dyDescent="0.3">
      <c r="A497" s="5">
        <v>496</v>
      </c>
      <c r="B497" s="2">
        <v>1323496</v>
      </c>
      <c r="C497" s="2" t="s">
        <v>486</v>
      </c>
      <c r="D497" s="21"/>
      <c r="E497" s="2"/>
      <c r="F497" s="26"/>
      <c r="G497" s="26"/>
      <c r="H497" s="2"/>
      <c r="I497" s="2"/>
      <c r="J497" s="16"/>
      <c r="K497" s="16"/>
      <c r="L497" s="2"/>
      <c r="M497" s="16"/>
      <c r="N497" s="16"/>
      <c r="O497" s="2"/>
      <c r="P497" s="2"/>
      <c r="Q497" s="16"/>
      <c r="R497" s="49"/>
      <c r="S497" s="93" t="e">
        <f t="shared" si="7"/>
        <v>#DIV/0!</v>
      </c>
    </row>
    <row r="498" spans="1:19" x14ac:dyDescent="0.3">
      <c r="A498" s="5">
        <v>497</v>
      </c>
      <c r="B498" s="2">
        <v>1323497</v>
      </c>
      <c r="C498" s="2" t="s">
        <v>487</v>
      </c>
      <c r="D498" s="21" t="s">
        <v>1571</v>
      </c>
      <c r="E498" s="2" t="s">
        <v>1409</v>
      </c>
      <c r="F498" s="26"/>
      <c r="G498" s="26"/>
      <c r="H498" s="2"/>
      <c r="I498" s="2"/>
      <c r="J498" s="16"/>
      <c r="K498" s="16"/>
      <c r="L498" s="2"/>
      <c r="M498" s="16" t="s">
        <v>1643</v>
      </c>
      <c r="N498" s="16"/>
      <c r="O498" s="2"/>
      <c r="P498" s="2"/>
      <c r="Q498" s="16"/>
      <c r="R498" s="49"/>
      <c r="S498" s="93" t="e">
        <f t="shared" si="7"/>
        <v>#DIV/0!</v>
      </c>
    </row>
    <row r="499" spans="1:19" x14ac:dyDescent="0.3">
      <c r="A499" s="5">
        <v>498</v>
      </c>
      <c r="B499" s="2">
        <v>1323498</v>
      </c>
      <c r="C499" s="2" t="s">
        <v>488</v>
      </c>
      <c r="D499" s="21" t="s">
        <v>869</v>
      </c>
      <c r="E499" s="2" t="s">
        <v>1048</v>
      </c>
      <c r="F499" s="26">
        <v>8538932685</v>
      </c>
      <c r="G499" s="26" t="s">
        <v>2103</v>
      </c>
      <c r="H499" s="2" t="s">
        <v>1144</v>
      </c>
      <c r="I499" s="2"/>
      <c r="J499" s="16" t="s">
        <v>1145</v>
      </c>
      <c r="K499" s="16"/>
      <c r="L499" s="2" t="s">
        <v>8</v>
      </c>
      <c r="M499" s="16">
        <v>6.75</v>
      </c>
      <c r="N499" s="16">
        <v>6.82</v>
      </c>
      <c r="O499" s="2">
        <v>7.05</v>
      </c>
      <c r="P499" s="2">
        <v>7.23</v>
      </c>
      <c r="Q499" s="16"/>
      <c r="R499" s="49"/>
      <c r="S499" s="93">
        <f t="shared" si="7"/>
        <v>6.9625000000000004</v>
      </c>
    </row>
    <row r="500" spans="1:19" x14ac:dyDescent="0.3">
      <c r="A500" s="5">
        <v>499</v>
      </c>
      <c r="B500" s="2">
        <v>1323499</v>
      </c>
      <c r="C500" s="2" t="s">
        <v>489</v>
      </c>
      <c r="D500" s="21" t="s">
        <v>870</v>
      </c>
      <c r="E500" s="2" t="s">
        <v>1047</v>
      </c>
      <c r="F500" s="26">
        <v>9155109016</v>
      </c>
      <c r="G500" s="26" t="s">
        <v>2104</v>
      </c>
      <c r="H500" s="2" t="s">
        <v>1144</v>
      </c>
      <c r="I500" s="2"/>
      <c r="J500" s="16" t="s">
        <v>1146</v>
      </c>
      <c r="K500" s="16"/>
      <c r="L500" s="2" t="s">
        <v>8</v>
      </c>
      <c r="M500" s="16">
        <v>6.45</v>
      </c>
      <c r="N500" s="16">
        <v>7.27</v>
      </c>
      <c r="O500" s="2">
        <v>6.73</v>
      </c>
      <c r="P500" s="2">
        <v>7.41</v>
      </c>
      <c r="Q500" s="16"/>
      <c r="R500" s="49"/>
      <c r="S500" s="93">
        <f t="shared" si="7"/>
        <v>6.9649999999999999</v>
      </c>
    </row>
    <row r="501" spans="1:19" x14ac:dyDescent="0.3">
      <c r="A501" s="5">
        <v>500</v>
      </c>
      <c r="B501" s="2">
        <v>1323500</v>
      </c>
      <c r="C501" s="2" t="s">
        <v>490</v>
      </c>
      <c r="D501" s="2" t="s">
        <v>871</v>
      </c>
      <c r="E501" s="2" t="s">
        <v>1410</v>
      </c>
      <c r="F501" s="26">
        <v>8228050057</v>
      </c>
      <c r="G501" s="26" t="s">
        <v>2105</v>
      </c>
      <c r="H501" s="2" t="s">
        <v>1144</v>
      </c>
      <c r="I501" s="2"/>
      <c r="J501" s="16" t="s">
        <v>1145</v>
      </c>
      <c r="K501" s="16"/>
      <c r="L501" s="2" t="s">
        <v>8</v>
      </c>
      <c r="M501" s="16">
        <v>5.89</v>
      </c>
      <c r="N501" s="16" t="s">
        <v>1676</v>
      </c>
      <c r="O501" s="2">
        <v>6.82</v>
      </c>
      <c r="P501" s="2">
        <v>6.09</v>
      </c>
      <c r="Q501" s="16"/>
      <c r="R501" s="49"/>
      <c r="S501" s="93">
        <f t="shared" si="7"/>
        <v>6.2666666666666666</v>
      </c>
    </row>
    <row r="502" spans="1:19" x14ac:dyDescent="0.3">
      <c r="A502" s="5">
        <v>501</v>
      </c>
      <c r="B502" s="2">
        <v>1323501</v>
      </c>
      <c r="C502" s="2" t="s">
        <v>940</v>
      </c>
      <c r="D502" s="2"/>
      <c r="E502" s="2"/>
      <c r="F502" s="26"/>
      <c r="G502" s="26"/>
      <c r="H502" s="2"/>
      <c r="I502" s="2"/>
      <c r="J502" s="16"/>
      <c r="K502" s="16"/>
      <c r="L502" s="2"/>
      <c r="M502" s="16"/>
      <c r="N502" s="16"/>
      <c r="O502" s="2"/>
      <c r="P502" s="2"/>
      <c r="Q502" s="16"/>
      <c r="R502" s="49"/>
      <c r="S502" s="93" t="e">
        <f t="shared" si="7"/>
        <v>#DIV/0!</v>
      </c>
    </row>
    <row r="503" spans="1:19" x14ac:dyDescent="0.3">
      <c r="A503" s="5">
        <v>502</v>
      </c>
      <c r="B503" s="2">
        <v>1323502</v>
      </c>
      <c r="C503" s="2" t="s">
        <v>491</v>
      </c>
      <c r="D503" s="2" t="s">
        <v>872</v>
      </c>
      <c r="E503" s="2" t="s">
        <v>1046</v>
      </c>
      <c r="F503" s="26">
        <v>9863002078</v>
      </c>
      <c r="G503" s="26" t="s">
        <v>2106</v>
      </c>
      <c r="H503" s="2" t="s">
        <v>1144</v>
      </c>
      <c r="I503" s="2"/>
      <c r="J503" s="16" t="s">
        <v>1145</v>
      </c>
      <c r="K503" s="16"/>
      <c r="L503" s="2" t="s">
        <v>6</v>
      </c>
      <c r="M503" s="16">
        <v>7.18</v>
      </c>
      <c r="N503" s="16">
        <v>6.55</v>
      </c>
      <c r="O503" s="2">
        <v>7.77</v>
      </c>
      <c r="P503" s="2">
        <v>7.86</v>
      </c>
      <c r="Q503" s="16"/>
      <c r="R503" s="49"/>
      <c r="S503" s="93">
        <f t="shared" si="7"/>
        <v>7.34</v>
      </c>
    </row>
    <row r="504" spans="1:19" x14ac:dyDescent="0.3">
      <c r="A504" s="5">
        <v>503</v>
      </c>
      <c r="B504" s="2">
        <v>1323503</v>
      </c>
      <c r="C504" s="2" t="s">
        <v>492</v>
      </c>
      <c r="D504" s="21" t="s">
        <v>722</v>
      </c>
      <c r="E504" s="2" t="s">
        <v>1045</v>
      </c>
      <c r="F504" s="26">
        <v>9507168442</v>
      </c>
      <c r="G504" s="26" t="s">
        <v>2107</v>
      </c>
      <c r="H504" s="2" t="s">
        <v>1144</v>
      </c>
      <c r="I504" s="2"/>
      <c r="J504" s="16" t="s">
        <v>1145</v>
      </c>
      <c r="K504" s="16"/>
      <c r="L504" s="2" t="s">
        <v>9</v>
      </c>
      <c r="M504" s="16" t="s">
        <v>1637</v>
      </c>
      <c r="N504" s="16" t="s">
        <v>1693</v>
      </c>
      <c r="O504" s="2">
        <v>6.32</v>
      </c>
      <c r="P504" s="2" t="s">
        <v>2286</v>
      </c>
      <c r="Q504" s="16"/>
      <c r="R504" s="49"/>
      <c r="S504" s="93">
        <f t="shared" si="7"/>
        <v>6.32</v>
      </c>
    </row>
    <row r="505" spans="1:19" x14ac:dyDescent="0.3">
      <c r="A505" s="5">
        <v>504</v>
      </c>
      <c r="B505" s="2">
        <v>1323504</v>
      </c>
      <c r="C505" s="2" t="s">
        <v>493</v>
      </c>
      <c r="D505" s="21" t="s">
        <v>828</v>
      </c>
      <c r="E505" s="2" t="s">
        <v>1044</v>
      </c>
      <c r="F505" s="26">
        <v>9608869655</v>
      </c>
      <c r="G505" s="26" t="s">
        <v>2108</v>
      </c>
      <c r="H505" s="2" t="s">
        <v>1144</v>
      </c>
      <c r="I505" s="2"/>
      <c r="J505" s="16" t="s">
        <v>1145</v>
      </c>
      <c r="K505" s="16"/>
      <c r="L505" s="2" t="s">
        <v>9</v>
      </c>
      <c r="M505" s="16">
        <v>7.05</v>
      </c>
      <c r="N505" s="16">
        <v>7.09</v>
      </c>
      <c r="O505" s="2">
        <v>7.32</v>
      </c>
      <c r="P505" s="2">
        <v>6.7</v>
      </c>
      <c r="Q505" s="16"/>
      <c r="R505" s="49"/>
      <c r="S505" s="93">
        <f t="shared" si="7"/>
        <v>7.04</v>
      </c>
    </row>
    <row r="506" spans="1:19" x14ac:dyDescent="0.3">
      <c r="A506" s="5">
        <v>505</v>
      </c>
      <c r="B506" s="2">
        <v>1323505</v>
      </c>
      <c r="C506" s="2" t="s">
        <v>494</v>
      </c>
      <c r="D506" s="21" t="s">
        <v>873</v>
      </c>
      <c r="E506" s="2" t="s">
        <v>1043</v>
      </c>
      <c r="F506" s="26">
        <v>9135028219</v>
      </c>
      <c r="G506" s="26" t="s">
        <v>2109</v>
      </c>
      <c r="H506" s="2" t="s">
        <v>1144</v>
      </c>
      <c r="I506" s="2"/>
      <c r="J506" s="16" t="s">
        <v>1145</v>
      </c>
      <c r="K506" s="16"/>
      <c r="L506" s="2" t="s">
        <v>8</v>
      </c>
      <c r="M506" s="16" t="s">
        <v>1652</v>
      </c>
      <c r="N506" s="16" t="s">
        <v>1664</v>
      </c>
      <c r="O506" s="2">
        <v>6.14</v>
      </c>
      <c r="P506" s="2" t="s">
        <v>2272</v>
      </c>
      <c r="Q506" s="16"/>
      <c r="R506" s="49"/>
      <c r="S506" s="93">
        <f t="shared" si="7"/>
        <v>6.14</v>
      </c>
    </row>
    <row r="507" spans="1:19" x14ac:dyDescent="0.3">
      <c r="A507" s="5">
        <v>506</v>
      </c>
      <c r="B507" s="2">
        <v>1323506</v>
      </c>
      <c r="C507" s="2" t="s">
        <v>495</v>
      </c>
      <c r="D507" s="21" t="s">
        <v>817</v>
      </c>
      <c r="E507" s="2" t="s">
        <v>1042</v>
      </c>
      <c r="F507" s="26">
        <v>6204585280</v>
      </c>
      <c r="G507" s="26" t="s">
        <v>2110</v>
      </c>
      <c r="H507" s="2" t="s">
        <v>1144</v>
      </c>
      <c r="I507" s="2"/>
      <c r="J507" s="16" t="s">
        <v>1145</v>
      </c>
      <c r="K507" s="16"/>
      <c r="L507" s="2" t="s">
        <v>6</v>
      </c>
      <c r="M507" s="16" t="s">
        <v>1625</v>
      </c>
      <c r="N507" s="16">
        <v>6.32</v>
      </c>
      <c r="O507" s="2">
        <v>6.73</v>
      </c>
      <c r="P507" s="2">
        <v>6.41</v>
      </c>
      <c r="Q507" s="16"/>
      <c r="R507" s="49"/>
      <c r="S507" s="93">
        <f t="shared" si="7"/>
        <v>6.4866666666666672</v>
      </c>
    </row>
    <row r="508" spans="1:19" x14ac:dyDescent="0.3">
      <c r="A508" s="5">
        <v>507</v>
      </c>
      <c r="B508" s="2">
        <v>1323507</v>
      </c>
      <c r="C508" s="2" t="s">
        <v>496</v>
      </c>
      <c r="D508" s="21" t="s">
        <v>874</v>
      </c>
      <c r="E508" s="2" t="s">
        <v>1041</v>
      </c>
      <c r="F508" s="26">
        <v>6203664486</v>
      </c>
      <c r="G508" s="26" t="s">
        <v>2111</v>
      </c>
      <c r="H508" s="2" t="s">
        <v>1144</v>
      </c>
      <c r="I508" s="2"/>
      <c r="J508" s="16" t="s">
        <v>1146</v>
      </c>
      <c r="K508" s="16"/>
      <c r="L508" s="2" t="s">
        <v>9</v>
      </c>
      <c r="M508" s="16" t="s">
        <v>1637</v>
      </c>
      <c r="N508" s="16">
        <v>6.95</v>
      </c>
      <c r="O508" s="2" t="s">
        <v>2208</v>
      </c>
      <c r="P508" s="2">
        <v>8.41</v>
      </c>
      <c r="Q508" s="16"/>
      <c r="R508" s="49"/>
      <c r="S508" s="93">
        <f t="shared" si="7"/>
        <v>7.68</v>
      </c>
    </row>
    <row r="509" spans="1:19" x14ac:dyDescent="0.3">
      <c r="A509" s="5">
        <v>508</v>
      </c>
      <c r="B509" s="2">
        <v>1323508</v>
      </c>
      <c r="C509" s="2" t="s">
        <v>497</v>
      </c>
      <c r="D509" s="2" t="s">
        <v>875</v>
      </c>
      <c r="E509" s="2" t="s">
        <v>1040</v>
      </c>
      <c r="F509" s="26">
        <v>8708382951</v>
      </c>
      <c r="G509" s="26" t="s">
        <v>2112</v>
      </c>
      <c r="H509" s="2" t="s">
        <v>1141</v>
      </c>
      <c r="I509" s="2"/>
      <c r="J509" s="16"/>
      <c r="K509" s="16"/>
      <c r="L509" s="2" t="s">
        <v>927</v>
      </c>
      <c r="M509" s="16">
        <v>6.39</v>
      </c>
      <c r="N509" s="16">
        <v>6.8</v>
      </c>
      <c r="O509" s="2">
        <v>6.32</v>
      </c>
      <c r="P509" s="2">
        <v>6.59</v>
      </c>
      <c r="Q509" s="16"/>
      <c r="R509" s="49"/>
      <c r="S509" s="93">
        <f t="shared" si="7"/>
        <v>6.5249999999999995</v>
      </c>
    </row>
    <row r="510" spans="1:19" x14ac:dyDescent="0.3">
      <c r="A510" s="5">
        <v>509</v>
      </c>
      <c r="B510" s="2">
        <v>1323509</v>
      </c>
      <c r="C510" s="2" t="s">
        <v>498</v>
      </c>
      <c r="D510" s="21" t="s">
        <v>876</v>
      </c>
      <c r="E510" s="2" t="s">
        <v>1039</v>
      </c>
      <c r="F510" s="26">
        <v>7258876546</v>
      </c>
      <c r="G510" s="26" t="s">
        <v>2113</v>
      </c>
      <c r="H510" s="2" t="s">
        <v>1144</v>
      </c>
      <c r="I510" s="2"/>
      <c r="J510" s="16" t="s">
        <v>1145</v>
      </c>
      <c r="K510" s="16"/>
      <c r="L510" s="2" t="s">
        <v>9</v>
      </c>
      <c r="M510" s="16" t="s">
        <v>1637</v>
      </c>
      <c r="N510" s="16">
        <v>7.11</v>
      </c>
      <c r="O510" s="2">
        <v>6.66</v>
      </c>
      <c r="P510" s="2">
        <v>7.32</v>
      </c>
      <c r="Q510" s="16"/>
      <c r="R510" s="49"/>
      <c r="S510" s="93">
        <f t="shared" si="7"/>
        <v>7.03</v>
      </c>
    </row>
    <row r="511" spans="1:19" x14ac:dyDescent="0.3">
      <c r="A511" s="5">
        <v>510</v>
      </c>
      <c r="B511" s="2">
        <v>1323510</v>
      </c>
      <c r="C511" s="2" t="s">
        <v>499</v>
      </c>
      <c r="D511" s="21" t="s">
        <v>877</v>
      </c>
      <c r="E511" s="2" t="s">
        <v>1038</v>
      </c>
      <c r="F511" s="26">
        <v>9162460464</v>
      </c>
      <c r="G511" s="26" t="s">
        <v>2114</v>
      </c>
      <c r="H511" s="2" t="s">
        <v>1144</v>
      </c>
      <c r="I511" s="2"/>
      <c r="J511" s="16" t="s">
        <v>1145</v>
      </c>
      <c r="K511" s="16"/>
      <c r="L511" s="2" t="s">
        <v>9</v>
      </c>
      <c r="M511" s="16" t="s">
        <v>1653</v>
      </c>
      <c r="N511" s="16">
        <v>6.27</v>
      </c>
      <c r="O511" s="2">
        <v>7.18</v>
      </c>
      <c r="P511" s="2" t="s">
        <v>2279</v>
      </c>
      <c r="Q511" s="16"/>
      <c r="R511" s="49"/>
      <c r="S511" s="93">
        <f t="shared" si="7"/>
        <v>6.7249999999999996</v>
      </c>
    </row>
    <row r="512" spans="1:19" x14ac:dyDescent="0.3">
      <c r="A512" s="5">
        <v>511</v>
      </c>
      <c r="B512" s="2">
        <v>1323511</v>
      </c>
      <c r="C512" s="2" t="s">
        <v>500</v>
      </c>
      <c r="D512" s="15" t="s">
        <v>878</v>
      </c>
      <c r="E512" s="2" t="s">
        <v>1037</v>
      </c>
      <c r="F512" s="26">
        <v>6203439558</v>
      </c>
      <c r="G512" s="26" t="s">
        <v>2115</v>
      </c>
      <c r="H512" s="2" t="s">
        <v>1144</v>
      </c>
      <c r="I512" s="2"/>
      <c r="J512" s="16" t="s">
        <v>1146</v>
      </c>
      <c r="K512" s="16"/>
      <c r="L512" s="2" t="s">
        <v>9</v>
      </c>
      <c r="M512" s="16">
        <v>6.09</v>
      </c>
      <c r="N512" s="16">
        <v>7.5</v>
      </c>
      <c r="O512" s="2">
        <v>7.09</v>
      </c>
      <c r="P512" s="2" t="s">
        <v>2293</v>
      </c>
      <c r="Q512" s="16"/>
      <c r="R512" s="49"/>
      <c r="S512" s="93">
        <f t="shared" si="7"/>
        <v>6.8933333333333335</v>
      </c>
    </row>
    <row r="513" spans="1:19" x14ac:dyDescent="0.3">
      <c r="A513" s="5">
        <v>512</v>
      </c>
      <c r="B513" s="2">
        <v>1323512</v>
      </c>
      <c r="C513" s="2" t="s">
        <v>501</v>
      </c>
      <c r="D513" s="21"/>
      <c r="E513" s="2"/>
      <c r="F513" s="26"/>
      <c r="G513" s="26"/>
      <c r="H513" s="2"/>
      <c r="I513" s="2"/>
      <c r="J513" s="16"/>
      <c r="K513" s="16"/>
      <c r="L513" s="2"/>
      <c r="M513" s="16"/>
      <c r="N513" s="16"/>
      <c r="O513" s="2"/>
      <c r="P513" s="2"/>
      <c r="Q513" s="16"/>
      <c r="R513" s="49"/>
      <c r="S513" s="93" t="e">
        <f t="shared" si="7"/>
        <v>#DIV/0!</v>
      </c>
    </row>
    <row r="514" spans="1:19" x14ac:dyDescent="0.3">
      <c r="A514" s="5">
        <v>513</v>
      </c>
      <c r="B514" s="2">
        <v>1323513</v>
      </c>
      <c r="C514" s="2" t="s">
        <v>502</v>
      </c>
      <c r="D514" s="15" t="s">
        <v>879</v>
      </c>
      <c r="E514" s="2" t="s">
        <v>1411</v>
      </c>
      <c r="F514" s="26"/>
      <c r="G514" s="26"/>
      <c r="H514" s="2" t="s">
        <v>1141</v>
      </c>
      <c r="I514" s="2"/>
      <c r="J514" s="16"/>
      <c r="K514" s="16"/>
      <c r="L514" s="2" t="s">
        <v>9</v>
      </c>
      <c r="M514" s="16" t="s">
        <v>1625</v>
      </c>
      <c r="N514" s="16" t="s">
        <v>1694</v>
      </c>
      <c r="O514" s="2"/>
      <c r="P514" s="2"/>
      <c r="Q514" s="16"/>
      <c r="R514" s="49"/>
      <c r="S514" s="93" t="e">
        <f t="shared" ref="S514:S577" si="8">AVERAGE(M514:P514)</f>
        <v>#DIV/0!</v>
      </c>
    </row>
    <row r="515" spans="1:19" x14ac:dyDescent="0.3">
      <c r="A515" s="5">
        <v>514</v>
      </c>
      <c r="B515" s="2">
        <v>1323514</v>
      </c>
      <c r="C515" s="2" t="s">
        <v>503</v>
      </c>
      <c r="D515" s="15" t="s">
        <v>880</v>
      </c>
      <c r="E515" s="2" t="s">
        <v>1036</v>
      </c>
      <c r="F515" s="26">
        <v>7091252472</v>
      </c>
      <c r="G515" s="26" t="s">
        <v>2116</v>
      </c>
      <c r="H515" s="2" t="s">
        <v>1144</v>
      </c>
      <c r="I515" s="2"/>
      <c r="J515" s="16" t="s">
        <v>1146</v>
      </c>
      <c r="K515" s="16"/>
      <c r="L515" s="2" t="s">
        <v>9</v>
      </c>
      <c r="M515" s="16" t="s">
        <v>1654</v>
      </c>
      <c r="N515" s="16">
        <v>6.55</v>
      </c>
      <c r="O515" s="2">
        <v>6.5</v>
      </c>
      <c r="P515" s="2">
        <v>6.2</v>
      </c>
      <c r="Q515" s="16"/>
      <c r="R515" s="49"/>
      <c r="S515" s="93">
        <f t="shared" si="8"/>
        <v>6.416666666666667</v>
      </c>
    </row>
    <row r="516" spans="1:19" x14ac:dyDescent="0.3">
      <c r="A516" s="5">
        <v>515</v>
      </c>
      <c r="B516" s="2">
        <v>1323515</v>
      </c>
      <c r="C516" s="2" t="s">
        <v>504</v>
      </c>
      <c r="D516" s="21" t="s">
        <v>881</v>
      </c>
      <c r="E516" s="2" t="s">
        <v>1035</v>
      </c>
      <c r="F516" s="26">
        <v>9570124597</v>
      </c>
      <c r="G516" s="26" t="s">
        <v>2117</v>
      </c>
      <c r="H516" s="2" t="s">
        <v>1144</v>
      </c>
      <c r="I516" s="2"/>
      <c r="J516" s="16"/>
      <c r="K516" s="16"/>
      <c r="L516" s="2" t="s">
        <v>6</v>
      </c>
      <c r="M516" s="16" t="s">
        <v>1630</v>
      </c>
      <c r="N516" s="16">
        <v>7</v>
      </c>
      <c r="O516" s="2">
        <v>6.3</v>
      </c>
      <c r="P516" s="2" t="s">
        <v>2272</v>
      </c>
      <c r="Q516" s="16"/>
      <c r="R516" s="49"/>
      <c r="S516" s="93">
        <f t="shared" si="8"/>
        <v>6.65</v>
      </c>
    </row>
    <row r="517" spans="1:19" x14ac:dyDescent="0.3">
      <c r="A517" s="5">
        <v>516</v>
      </c>
      <c r="B517" s="2">
        <v>1323516</v>
      </c>
      <c r="C517" s="2" t="s">
        <v>505</v>
      </c>
      <c r="D517" s="21" t="s">
        <v>882</v>
      </c>
      <c r="E517" s="2" t="s">
        <v>1034</v>
      </c>
      <c r="F517" s="26">
        <v>7634878755</v>
      </c>
      <c r="G517" s="26" t="s">
        <v>2118</v>
      </c>
      <c r="H517" s="2" t="s">
        <v>1144</v>
      </c>
      <c r="I517" s="2"/>
      <c r="J517" s="16" t="s">
        <v>1145</v>
      </c>
      <c r="K517" s="16"/>
      <c r="L517" s="2" t="s">
        <v>8</v>
      </c>
      <c r="M517" s="16">
        <v>7.09</v>
      </c>
      <c r="N517" s="16">
        <v>7.91</v>
      </c>
      <c r="O517" s="2">
        <v>7.86</v>
      </c>
      <c r="P517" s="2">
        <v>7.02</v>
      </c>
      <c r="Q517" s="16"/>
      <c r="R517" s="49"/>
      <c r="S517" s="93">
        <f t="shared" si="8"/>
        <v>7.47</v>
      </c>
    </row>
    <row r="518" spans="1:19" x14ac:dyDescent="0.3">
      <c r="A518" s="5">
        <v>517</v>
      </c>
      <c r="B518" s="2">
        <v>1323517</v>
      </c>
      <c r="C518" s="2" t="s">
        <v>506</v>
      </c>
      <c r="D518" s="15" t="s">
        <v>883</v>
      </c>
      <c r="E518" s="2" t="s">
        <v>1033</v>
      </c>
      <c r="F518" s="26">
        <v>7856908716</v>
      </c>
      <c r="G518" s="26" t="s">
        <v>2119</v>
      </c>
      <c r="H518" s="2" t="s">
        <v>1144</v>
      </c>
      <c r="I518" s="2"/>
      <c r="J518" s="16" t="s">
        <v>1145</v>
      </c>
      <c r="K518" s="16"/>
      <c r="L518" s="2" t="s">
        <v>9</v>
      </c>
      <c r="M518" s="16">
        <v>7.45</v>
      </c>
      <c r="N518" s="16">
        <v>8.73</v>
      </c>
      <c r="O518" s="2">
        <v>8.64</v>
      </c>
      <c r="P518" s="2">
        <v>8.18</v>
      </c>
      <c r="Q518" s="16"/>
      <c r="R518" s="49"/>
      <c r="S518" s="93">
        <f t="shared" si="8"/>
        <v>8.25</v>
      </c>
    </row>
    <row r="519" spans="1:19" x14ac:dyDescent="0.3">
      <c r="A519" s="5">
        <v>518</v>
      </c>
      <c r="B519" s="2">
        <v>1323518</v>
      </c>
      <c r="C519" s="2" t="s">
        <v>507</v>
      </c>
      <c r="D519" s="15" t="s">
        <v>884</v>
      </c>
      <c r="E519" s="2" t="s">
        <v>826</v>
      </c>
      <c r="F519" s="26">
        <v>9508886867</v>
      </c>
      <c r="G519" s="26" t="s">
        <v>2120</v>
      </c>
      <c r="H519" s="2" t="s">
        <v>1144</v>
      </c>
      <c r="I519" s="2"/>
      <c r="J519" s="16" t="s">
        <v>1145</v>
      </c>
      <c r="K519" s="16"/>
      <c r="L519" s="2" t="s">
        <v>9</v>
      </c>
      <c r="M519" s="16">
        <v>7.27</v>
      </c>
      <c r="N519" s="16">
        <v>8.77</v>
      </c>
      <c r="O519" s="2">
        <v>8.14</v>
      </c>
      <c r="P519" s="2" t="s">
        <v>2279</v>
      </c>
      <c r="Q519" s="16"/>
      <c r="R519" s="49"/>
      <c r="S519" s="93">
        <f t="shared" si="8"/>
        <v>8.06</v>
      </c>
    </row>
    <row r="520" spans="1:19" x14ac:dyDescent="0.3">
      <c r="A520" s="5">
        <v>519</v>
      </c>
      <c r="B520" s="2">
        <v>1323519</v>
      </c>
      <c r="C520" s="2" t="s">
        <v>508</v>
      </c>
      <c r="D520" s="21" t="s">
        <v>885</v>
      </c>
      <c r="E520" s="2" t="s">
        <v>1032</v>
      </c>
      <c r="F520" s="26">
        <v>9341596138</v>
      </c>
      <c r="G520" s="26" t="s">
        <v>2121</v>
      </c>
      <c r="H520" s="2" t="s">
        <v>1144</v>
      </c>
      <c r="I520" s="2"/>
      <c r="J520" s="16" t="s">
        <v>1146</v>
      </c>
      <c r="K520" s="16"/>
      <c r="L520" s="2" t="s">
        <v>9</v>
      </c>
      <c r="M520" s="16">
        <v>5.86</v>
      </c>
      <c r="N520" s="16">
        <v>6.7</v>
      </c>
      <c r="O520" s="2" t="s">
        <v>2218</v>
      </c>
      <c r="P520" s="2" t="s">
        <v>2279</v>
      </c>
      <c r="Q520" s="16"/>
      <c r="R520" s="49"/>
      <c r="S520" s="93">
        <f t="shared" si="8"/>
        <v>6.28</v>
      </c>
    </row>
    <row r="521" spans="1:19" x14ac:dyDescent="0.3">
      <c r="A521" s="5">
        <v>520</v>
      </c>
      <c r="B521" s="2">
        <v>1323520</v>
      </c>
      <c r="C521" s="2" t="s">
        <v>509</v>
      </c>
      <c r="D521" s="21" t="s">
        <v>886</v>
      </c>
      <c r="E521" s="2" t="s">
        <v>1031</v>
      </c>
      <c r="F521" s="26">
        <v>7371067176</v>
      </c>
      <c r="G521" s="26" t="s">
        <v>2122</v>
      </c>
      <c r="H521" s="2" t="s">
        <v>1144</v>
      </c>
      <c r="I521" s="2"/>
      <c r="J521" s="16" t="s">
        <v>1145</v>
      </c>
      <c r="K521" s="16"/>
      <c r="L521" s="2" t="s">
        <v>6</v>
      </c>
      <c r="M521" s="16" t="s">
        <v>1630</v>
      </c>
      <c r="N521" s="16" t="s">
        <v>1691</v>
      </c>
      <c r="O521" s="2">
        <v>6.8</v>
      </c>
      <c r="P521" s="2" t="s">
        <v>2283</v>
      </c>
      <c r="Q521" s="16"/>
      <c r="R521" s="49"/>
      <c r="S521" s="93">
        <f t="shared" si="8"/>
        <v>6.8</v>
      </c>
    </row>
    <row r="522" spans="1:19" x14ac:dyDescent="0.3">
      <c r="A522" s="5">
        <v>521</v>
      </c>
      <c r="B522" s="2">
        <v>1323521</v>
      </c>
      <c r="C522" s="2" t="s">
        <v>510</v>
      </c>
      <c r="D522" s="18" t="s">
        <v>887</v>
      </c>
      <c r="E522" s="2" t="s">
        <v>1030</v>
      </c>
      <c r="F522" s="26">
        <v>9546091302</v>
      </c>
      <c r="G522" s="26" t="s">
        <v>2123</v>
      </c>
      <c r="H522" s="2" t="s">
        <v>1144</v>
      </c>
      <c r="I522" s="2"/>
      <c r="J522" s="16" t="s">
        <v>1145</v>
      </c>
      <c r="K522" s="16"/>
      <c r="L522" s="2" t="s">
        <v>8</v>
      </c>
      <c r="M522" s="16">
        <v>5.59</v>
      </c>
      <c r="N522" s="16">
        <v>6.23</v>
      </c>
      <c r="O522" s="2">
        <v>6.91</v>
      </c>
      <c r="P522" s="2" t="s">
        <v>2279</v>
      </c>
      <c r="Q522" s="16"/>
      <c r="R522" s="49"/>
      <c r="S522" s="93">
        <f t="shared" si="8"/>
        <v>6.2433333333333332</v>
      </c>
    </row>
    <row r="523" spans="1:19" x14ac:dyDescent="0.3">
      <c r="A523" s="5">
        <v>522</v>
      </c>
      <c r="B523" s="2">
        <v>1323522</v>
      </c>
      <c r="C523" s="2" t="s">
        <v>511</v>
      </c>
      <c r="D523" s="21" t="s">
        <v>888</v>
      </c>
      <c r="E523" s="2" t="s">
        <v>1029</v>
      </c>
      <c r="F523" s="26">
        <v>7209870360</v>
      </c>
      <c r="G523" s="26" t="s">
        <v>2124</v>
      </c>
      <c r="H523" s="2" t="s">
        <v>1144</v>
      </c>
      <c r="I523" s="2"/>
      <c r="J523" s="16" t="s">
        <v>1146</v>
      </c>
      <c r="K523" s="16"/>
      <c r="L523" s="2" t="s">
        <v>9</v>
      </c>
      <c r="M523" s="16" t="s">
        <v>1625</v>
      </c>
      <c r="N523" s="16">
        <v>6.25</v>
      </c>
      <c r="O523" s="2">
        <v>6.18</v>
      </c>
      <c r="P523" s="2" t="s">
        <v>2283</v>
      </c>
      <c r="Q523" s="16"/>
      <c r="R523" s="49"/>
      <c r="S523" s="93">
        <f t="shared" si="8"/>
        <v>6.2149999999999999</v>
      </c>
    </row>
    <row r="524" spans="1:19" x14ac:dyDescent="0.3">
      <c r="A524" s="5">
        <v>523</v>
      </c>
      <c r="B524" s="2">
        <v>1323523</v>
      </c>
      <c r="C524" s="2" t="s">
        <v>512</v>
      </c>
      <c r="D524" s="15" t="s">
        <v>826</v>
      </c>
      <c r="E524" s="2" t="s">
        <v>1028</v>
      </c>
      <c r="F524" s="26">
        <v>9798642192</v>
      </c>
      <c r="G524" s="26" t="s">
        <v>2125</v>
      </c>
      <c r="H524" s="2" t="s">
        <v>1144</v>
      </c>
      <c r="I524" s="2"/>
      <c r="J524" s="16" t="s">
        <v>1145</v>
      </c>
      <c r="K524" s="16"/>
      <c r="L524" s="2" t="s">
        <v>9</v>
      </c>
      <c r="M524" s="16">
        <v>7</v>
      </c>
      <c r="N524" s="16">
        <v>8.09</v>
      </c>
      <c r="O524" s="2" t="s">
        <v>2218</v>
      </c>
      <c r="P524" s="2">
        <v>7.43</v>
      </c>
      <c r="Q524" s="16"/>
      <c r="R524" s="49"/>
      <c r="S524" s="93">
        <f t="shared" si="8"/>
        <v>7.5066666666666668</v>
      </c>
    </row>
    <row r="525" spans="1:19" x14ac:dyDescent="0.3">
      <c r="A525" s="5">
        <v>524</v>
      </c>
      <c r="B525" s="2">
        <v>1323524</v>
      </c>
      <c r="C525" s="2" t="s">
        <v>513</v>
      </c>
      <c r="D525" s="15" t="s">
        <v>889</v>
      </c>
      <c r="E525" s="2" t="s">
        <v>1027</v>
      </c>
      <c r="F525" s="26">
        <v>8539936156</v>
      </c>
      <c r="G525" s="26" t="s">
        <v>2126</v>
      </c>
      <c r="H525" s="2" t="s">
        <v>1144</v>
      </c>
      <c r="I525" s="2"/>
      <c r="J525" s="16" t="s">
        <v>1145</v>
      </c>
      <c r="K525" s="16"/>
      <c r="L525" s="2" t="s">
        <v>6</v>
      </c>
      <c r="M525" s="16" t="s">
        <v>1655</v>
      </c>
      <c r="N525" s="16">
        <v>6.68</v>
      </c>
      <c r="O525" s="2">
        <v>7.68</v>
      </c>
      <c r="P525" s="2" t="s">
        <v>2294</v>
      </c>
      <c r="Q525" s="16"/>
      <c r="R525" s="49"/>
      <c r="S525" s="93">
        <f t="shared" si="8"/>
        <v>7.18</v>
      </c>
    </row>
    <row r="526" spans="1:19" x14ac:dyDescent="0.3">
      <c r="A526" s="5">
        <v>525</v>
      </c>
      <c r="B526" s="2">
        <v>1323525</v>
      </c>
      <c r="C526" s="2" t="s">
        <v>514</v>
      </c>
      <c r="D526" s="21" t="s">
        <v>890</v>
      </c>
      <c r="E526" s="2" t="s">
        <v>1026</v>
      </c>
      <c r="F526" s="26">
        <v>6201789448</v>
      </c>
      <c r="G526" s="26" t="s">
        <v>2127</v>
      </c>
      <c r="H526" s="2" t="s">
        <v>1144</v>
      </c>
      <c r="I526" s="2"/>
      <c r="J526" s="16" t="s">
        <v>1145</v>
      </c>
      <c r="K526" s="16"/>
      <c r="L526" s="2" t="s">
        <v>8</v>
      </c>
      <c r="M526" s="16">
        <v>6.36</v>
      </c>
      <c r="N526" s="16">
        <v>7.32</v>
      </c>
      <c r="O526" s="2" t="s">
        <v>2218</v>
      </c>
      <c r="P526" s="2" t="s">
        <v>2279</v>
      </c>
      <c r="Q526" s="16"/>
      <c r="R526" s="49"/>
      <c r="S526" s="93">
        <f t="shared" si="8"/>
        <v>6.84</v>
      </c>
    </row>
    <row r="527" spans="1:19" x14ac:dyDescent="0.3">
      <c r="A527" s="5">
        <v>526</v>
      </c>
      <c r="B527" s="2">
        <v>1323526</v>
      </c>
      <c r="C527" s="2" t="s">
        <v>515</v>
      </c>
      <c r="D527" s="21" t="s">
        <v>889</v>
      </c>
      <c r="E527" s="2" t="s">
        <v>1025</v>
      </c>
      <c r="F527" s="26">
        <v>9430826033</v>
      </c>
      <c r="G527" s="26" t="s">
        <v>2128</v>
      </c>
      <c r="H527" s="2" t="s">
        <v>1144</v>
      </c>
      <c r="I527" s="2"/>
      <c r="J527" s="16"/>
      <c r="K527" s="16"/>
      <c r="L527" s="2" t="s">
        <v>9</v>
      </c>
      <c r="M527" s="16">
        <v>7.41</v>
      </c>
      <c r="N527" s="16">
        <v>8.36</v>
      </c>
      <c r="O527" s="2">
        <v>8.5500000000000007</v>
      </c>
      <c r="P527" s="2">
        <v>7.07</v>
      </c>
      <c r="Q527" s="16"/>
      <c r="R527" s="49"/>
      <c r="S527" s="93">
        <f t="shared" si="8"/>
        <v>7.8475000000000001</v>
      </c>
    </row>
    <row r="528" spans="1:19" x14ac:dyDescent="0.3">
      <c r="A528" s="5">
        <v>527</v>
      </c>
      <c r="B528" s="2">
        <v>1323527</v>
      </c>
      <c r="C528" s="2" t="s">
        <v>516</v>
      </c>
      <c r="D528" s="15" t="s">
        <v>891</v>
      </c>
      <c r="E528" s="2" t="s">
        <v>1024</v>
      </c>
      <c r="F528" s="26">
        <v>7061848227</v>
      </c>
      <c r="G528" s="26" t="s">
        <v>2129</v>
      </c>
      <c r="H528" s="2" t="s">
        <v>1144</v>
      </c>
      <c r="I528" s="2"/>
      <c r="J528" s="16" t="s">
        <v>1145</v>
      </c>
      <c r="K528" s="16"/>
      <c r="L528" s="2" t="s">
        <v>9</v>
      </c>
      <c r="M528" s="16">
        <v>7.18</v>
      </c>
      <c r="N528" s="16">
        <v>7.64</v>
      </c>
      <c r="O528" s="2">
        <v>8.41</v>
      </c>
      <c r="P528" s="2">
        <v>6.66</v>
      </c>
      <c r="Q528" s="16"/>
      <c r="R528" s="49"/>
      <c r="S528" s="93">
        <f t="shared" si="8"/>
        <v>7.4725000000000001</v>
      </c>
    </row>
    <row r="529" spans="1:19" x14ac:dyDescent="0.3">
      <c r="A529" s="5">
        <v>528</v>
      </c>
      <c r="B529" s="2">
        <v>1323528</v>
      </c>
      <c r="C529" s="2" t="s">
        <v>517</v>
      </c>
      <c r="D529" s="21" t="s">
        <v>892</v>
      </c>
      <c r="E529" s="2" t="s">
        <v>1023</v>
      </c>
      <c r="F529" s="26">
        <v>6297177725</v>
      </c>
      <c r="G529" s="26" t="s">
        <v>2130</v>
      </c>
      <c r="H529" s="2" t="s">
        <v>1144</v>
      </c>
      <c r="I529" s="2"/>
      <c r="J529" s="16" t="s">
        <v>1145</v>
      </c>
      <c r="K529" s="16"/>
      <c r="L529" s="2" t="s">
        <v>9</v>
      </c>
      <c r="M529" s="16">
        <v>7.5</v>
      </c>
      <c r="N529" s="16">
        <v>7.5</v>
      </c>
      <c r="O529" s="2">
        <v>8.09</v>
      </c>
      <c r="P529" s="2">
        <v>7.34</v>
      </c>
      <c r="Q529" s="16"/>
      <c r="R529" s="49"/>
      <c r="S529" s="93">
        <f t="shared" si="8"/>
        <v>7.6074999999999999</v>
      </c>
    </row>
    <row r="530" spans="1:19" x14ac:dyDescent="0.3">
      <c r="A530" s="5">
        <v>529</v>
      </c>
      <c r="B530" s="2">
        <v>1323529</v>
      </c>
      <c r="C530" s="2" t="s">
        <v>518</v>
      </c>
      <c r="D530" s="21" t="s">
        <v>1130</v>
      </c>
      <c r="E530" s="2" t="s">
        <v>1412</v>
      </c>
      <c r="F530" s="26"/>
      <c r="G530" s="26"/>
      <c r="H530" s="2" t="s">
        <v>1144</v>
      </c>
      <c r="I530" s="2"/>
      <c r="J530" s="16" t="s">
        <v>1145</v>
      </c>
      <c r="K530" s="16"/>
      <c r="L530" s="2"/>
      <c r="M530" s="16" t="s">
        <v>958</v>
      </c>
      <c r="N530" s="16"/>
      <c r="O530" s="2"/>
      <c r="P530" s="2"/>
      <c r="Q530" s="16"/>
      <c r="R530" s="49"/>
      <c r="S530" s="93" t="e">
        <f t="shared" si="8"/>
        <v>#DIV/0!</v>
      </c>
    </row>
    <row r="531" spans="1:19" x14ac:dyDescent="0.3">
      <c r="A531" s="5">
        <v>530</v>
      </c>
      <c r="B531" s="2">
        <v>1323530</v>
      </c>
      <c r="C531" s="2" t="s">
        <v>519</v>
      </c>
      <c r="D531" s="2" t="s">
        <v>1572</v>
      </c>
      <c r="E531" s="2" t="s">
        <v>1413</v>
      </c>
      <c r="F531" s="26"/>
      <c r="G531" s="26"/>
      <c r="H531" s="2"/>
      <c r="I531" s="2"/>
      <c r="J531" s="16"/>
      <c r="K531" s="16"/>
      <c r="L531" s="2"/>
      <c r="M531" s="16" t="s">
        <v>954</v>
      </c>
      <c r="N531" s="16"/>
      <c r="O531" s="2"/>
      <c r="P531" s="2"/>
      <c r="Q531" s="16"/>
      <c r="R531" s="49"/>
      <c r="S531" s="93" t="e">
        <f t="shared" si="8"/>
        <v>#DIV/0!</v>
      </c>
    </row>
    <row r="532" spans="1:19" x14ac:dyDescent="0.3">
      <c r="A532" s="5">
        <v>531</v>
      </c>
      <c r="B532" s="2">
        <v>1323531</v>
      </c>
      <c r="C532" s="2" t="s">
        <v>520</v>
      </c>
      <c r="D532" s="2" t="s">
        <v>1573</v>
      </c>
      <c r="E532" s="2" t="s">
        <v>1022</v>
      </c>
      <c r="F532" s="26">
        <v>8168908950</v>
      </c>
      <c r="G532" s="26" t="s">
        <v>2131</v>
      </c>
      <c r="H532" s="2" t="s">
        <v>1139</v>
      </c>
      <c r="I532" s="2"/>
      <c r="J532" s="16" t="s">
        <v>1146</v>
      </c>
      <c r="K532" s="16"/>
      <c r="L532" s="2" t="s">
        <v>9</v>
      </c>
      <c r="M532" s="16">
        <v>6.59</v>
      </c>
      <c r="N532" s="16">
        <v>7.57</v>
      </c>
      <c r="O532" s="2">
        <v>8.23</v>
      </c>
      <c r="P532" s="2">
        <v>7.41</v>
      </c>
      <c r="Q532" s="16"/>
      <c r="R532" s="49"/>
      <c r="S532" s="93">
        <f t="shared" si="8"/>
        <v>7.45</v>
      </c>
    </row>
    <row r="533" spans="1:19" x14ac:dyDescent="0.3">
      <c r="A533" s="5">
        <v>532</v>
      </c>
      <c r="B533" s="2">
        <v>1323532</v>
      </c>
      <c r="C533" s="2" t="s">
        <v>521</v>
      </c>
      <c r="D533" s="2" t="s">
        <v>893</v>
      </c>
      <c r="E533" s="2" t="s">
        <v>1414</v>
      </c>
      <c r="F533" s="26">
        <v>8084032300</v>
      </c>
      <c r="G533" s="26" t="s">
        <v>2132</v>
      </c>
      <c r="H533" s="2" t="s">
        <v>1144</v>
      </c>
      <c r="I533" s="2"/>
      <c r="J533" s="16" t="s">
        <v>1145</v>
      </c>
      <c r="K533" s="16"/>
      <c r="L533" s="2" t="s">
        <v>6</v>
      </c>
      <c r="M533" s="16">
        <v>6.55</v>
      </c>
      <c r="N533" s="16" t="s">
        <v>1682</v>
      </c>
      <c r="O533" s="2">
        <v>7.09</v>
      </c>
      <c r="P533" s="2">
        <v>6.77</v>
      </c>
      <c r="Q533" s="16"/>
      <c r="R533" s="49"/>
      <c r="S533" s="93">
        <f t="shared" si="8"/>
        <v>6.8033333333333337</v>
      </c>
    </row>
    <row r="534" spans="1:19" x14ac:dyDescent="0.3">
      <c r="A534" s="5">
        <v>533</v>
      </c>
      <c r="B534" s="2">
        <v>1323533</v>
      </c>
      <c r="C534" s="2" t="s">
        <v>522</v>
      </c>
      <c r="D534" s="2" t="s">
        <v>894</v>
      </c>
      <c r="E534" s="2" t="s">
        <v>1021</v>
      </c>
      <c r="F534" s="26">
        <v>9693437352</v>
      </c>
      <c r="G534" s="26" t="s">
        <v>2133</v>
      </c>
      <c r="H534" s="2" t="s">
        <v>1144</v>
      </c>
      <c r="I534" s="2"/>
      <c r="J534" s="16" t="s">
        <v>1145</v>
      </c>
      <c r="K534" s="16"/>
      <c r="L534" s="2" t="s">
        <v>9</v>
      </c>
      <c r="M534" s="16">
        <v>6</v>
      </c>
      <c r="N534" s="16">
        <v>7.05</v>
      </c>
      <c r="O534" s="2" t="s">
        <v>2218</v>
      </c>
      <c r="P534" s="2" t="s">
        <v>2279</v>
      </c>
      <c r="Q534" s="16"/>
      <c r="R534" s="49"/>
      <c r="S534" s="93">
        <f t="shared" si="8"/>
        <v>6.5250000000000004</v>
      </c>
    </row>
    <row r="535" spans="1:19" x14ac:dyDescent="0.3">
      <c r="A535" s="5">
        <v>534</v>
      </c>
      <c r="B535" s="2">
        <v>1323534</v>
      </c>
      <c r="C535" s="2" t="s">
        <v>523</v>
      </c>
      <c r="D535" s="15" t="s">
        <v>895</v>
      </c>
      <c r="E535" s="2" t="s">
        <v>1020</v>
      </c>
      <c r="F535" s="26">
        <v>7296005904</v>
      </c>
      <c r="G535" s="26" t="s">
        <v>2134</v>
      </c>
      <c r="H535" s="2" t="s">
        <v>1144</v>
      </c>
      <c r="I535" s="2"/>
      <c r="J535" s="16" t="s">
        <v>1146</v>
      </c>
      <c r="K535" s="16"/>
      <c r="L535" s="2" t="s">
        <v>8</v>
      </c>
      <c r="M535" s="16" t="s">
        <v>1625</v>
      </c>
      <c r="N535" s="16">
        <v>6.59</v>
      </c>
      <c r="O535" s="2" t="s">
        <v>2218</v>
      </c>
      <c r="P535" s="2">
        <v>6.7</v>
      </c>
      <c r="Q535" s="16"/>
      <c r="R535" s="49"/>
      <c r="S535" s="93">
        <f t="shared" si="8"/>
        <v>6.6449999999999996</v>
      </c>
    </row>
    <row r="536" spans="1:19" x14ac:dyDescent="0.3">
      <c r="A536" s="5">
        <v>535</v>
      </c>
      <c r="B536" s="2">
        <v>1323535</v>
      </c>
      <c r="C536" s="2" t="s">
        <v>524</v>
      </c>
      <c r="D536" s="15" t="s">
        <v>896</v>
      </c>
      <c r="E536" s="2" t="s">
        <v>1019</v>
      </c>
      <c r="F536" s="26">
        <v>8292743446</v>
      </c>
      <c r="G536" s="26" t="s">
        <v>2135</v>
      </c>
      <c r="H536" s="2" t="s">
        <v>1144</v>
      </c>
      <c r="I536" s="2"/>
      <c r="J536" s="16" t="s">
        <v>1146</v>
      </c>
      <c r="K536" s="16"/>
      <c r="L536" s="2" t="s">
        <v>9</v>
      </c>
      <c r="M536" s="16">
        <v>7.11</v>
      </c>
      <c r="N536" s="16">
        <v>8.32</v>
      </c>
      <c r="O536" s="2">
        <v>9.14</v>
      </c>
      <c r="P536" s="2">
        <v>8.5500000000000007</v>
      </c>
      <c r="Q536" s="16"/>
      <c r="R536" s="49"/>
      <c r="S536" s="93">
        <f t="shared" si="8"/>
        <v>8.2800000000000011</v>
      </c>
    </row>
    <row r="537" spans="1:19" x14ac:dyDescent="0.3">
      <c r="A537" s="5">
        <v>536</v>
      </c>
      <c r="B537" s="2">
        <v>1323536</v>
      </c>
      <c r="C537" s="2" t="s">
        <v>525</v>
      </c>
      <c r="D537" s="2" t="s">
        <v>897</v>
      </c>
      <c r="E537" s="2" t="s">
        <v>1018</v>
      </c>
      <c r="F537" s="26">
        <v>9341158897</v>
      </c>
      <c r="G537" s="26" t="s">
        <v>2136</v>
      </c>
      <c r="H537" s="2" t="s">
        <v>1144</v>
      </c>
      <c r="I537" s="2"/>
      <c r="J537" s="16" t="s">
        <v>1146</v>
      </c>
      <c r="K537" s="16"/>
      <c r="L537" s="2" t="s">
        <v>8</v>
      </c>
      <c r="M537" s="16" t="s">
        <v>1630</v>
      </c>
      <c r="N537" s="16">
        <v>6.91</v>
      </c>
      <c r="O537" s="2" t="s">
        <v>2218</v>
      </c>
      <c r="P537" s="2">
        <v>7</v>
      </c>
      <c r="Q537" s="16"/>
      <c r="R537" s="49"/>
      <c r="S537" s="93">
        <f t="shared" si="8"/>
        <v>6.9550000000000001</v>
      </c>
    </row>
    <row r="538" spans="1:19" x14ac:dyDescent="0.3">
      <c r="A538" s="5">
        <v>537</v>
      </c>
      <c r="B538" s="2">
        <v>1323537</v>
      </c>
      <c r="C538" s="2" t="s">
        <v>526</v>
      </c>
      <c r="D538" s="15" t="s">
        <v>1574</v>
      </c>
      <c r="E538" s="2" t="s">
        <v>1017</v>
      </c>
      <c r="F538" s="26">
        <v>6006606057</v>
      </c>
      <c r="G538" s="26" t="s">
        <v>2137</v>
      </c>
      <c r="H538" s="2" t="s">
        <v>1139</v>
      </c>
      <c r="I538" s="2"/>
      <c r="J538" s="16" t="s">
        <v>1146</v>
      </c>
      <c r="K538" s="16"/>
      <c r="L538" s="2" t="s">
        <v>9</v>
      </c>
      <c r="M538" s="16">
        <v>6.75</v>
      </c>
      <c r="N538" s="16" t="s">
        <v>1676</v>
      </c>
      <c r="O538" s="2" t="s">
        <v>2208</v>
      </c>
      <c r="P538" s="2">
        <v>7</v>
      </c>
      <c r="Q538" s="16"/>
      <c r="R538" s="49"/>
      <c r="S538" s="93">
        <f t="shared" si="8"/>
        <v>6.875</v>
      </c>
    </row>
    <row r="539" spans="1:19" x14ac:dyDescent="0.3">
      <c r="A539" s="5">
        <v>538</v>
      </c>
      <c r="B539" s="2">
        <v>1323538</v>
      </c>
      <c r="C539" s="2" t="s">
        <v>527</v>
      </c>
      <c r="D539" s="2" t="s">
        <v>799</v>
      </c>
      <c r="E539" s="2" t="s">
        <v>1016</v>
      </c>
      <c r="F539" s="26">
        <v>7367880969</v>
      </c>
      <c r="G539" s="26" t="s">
        <v>2138</v>
      </c>
      <c r="H539" s="2" t="s">
        <v>1144</v>
      </c>
      <c r="I539" s="2"/>
      <c r="J539" s="16" t="s">
        <v>1146</v>
      </c>
      <c r="K539" s="16"/>
      <c r="L539" s="2" t="s">
        <v>9</v>
      </c>
      <c r="M539" s="16">
        <v>5.7</v>
      </c>
      <c r="N539" s="16">
        <v>6.64</v>
      </c>
      <c r="O539" s="2" t="s">
        <v>2218</v>
      </c>
      <c r="P539" s="2" t="s">
        <v>2250</v>
      </c>
      <c r="Q539" s="16"/>
      <c r="R539" s="49"/>
      <c r="S539" s="93">
        <f t="shared" si="8"/>
        <v>6.17</v>
      </c>
    </row>
    <row r="540" spans="1:19" x14ac:dyDescent="0.3">
      <c r="A540" s="5">
        <v>539</v>
      </c>
      <c r="B540" s="2">
        <v>1323539</v>
      </c>
      <c r="C540" s="2" t="s">
        <v>528</v>
      </c>
      <c r="D540" s="15" t="s">
        <v>789</v>
      </c>
      <c r="E540" s="2" t="s">
        <v>1015</v>
      </c>
      <c r="F540" s="26">
        <v>9060437828</v>
      </c>
      <c r="G540" s="26" t="s">
        <v>2139</v>
      </c>
      <c r="H540" s="2" t="s">
        <v>1144</v>
      </c>
      <c r="I540" s="2"/>
      <c r="J540" s="16" t="s">
        <v>1146</v>
      </c>
      <c r="K540" s="16"/>
      <c r="L540" s="2" t="s">
        <v>8</v>
      </c>
      <c r="M540" s="16">
        <v>5.82</v>
      </c>
      <c r="N540" s="16">
        <v>6.68</v>
      </c>
      <c r="O540" s="2">
        <v>7.68</v>
      </c>
      <c r="P540" s="2">
        <v>7.57</v>
      </c>
      <c r="Q540" s="16"/>
      <c r="R540" s="49"/>
      <c r="S540" s="93">
        <f t="shared" si="8"/>
        <v>6.9375</v>
      </c>
    </row>
    <row r="541" spans="1:19" x14ac:dyDescent="0.3">
      <c r="A541" s="5">
        <v>540</v>
      </c>
      <c r="B541" s="2">
        <v>1323540</v>
      </c>
      <c r="C541" s="2" t="s">
        <v>529</v>
      </c>
      <c r="D541" s="15" t="s">
        <v>898</v>
      </c>
      <c r="E541" s="2" t="s">
        <v>1014</v>
      </c>
      <c r="F541" s="26">
        <v>7667234759</v>
      </c>
      <c r="G541" s="26" t="s">
        <v>2140</v>
      </c>
      <c r="H541" s="2" t="s">
        <v>1144</v>
      </c>
      <c r="I541" s="2"/>
      <c r="J541" s="16"/>
      <c r="K541" s="16"/>
      <c r="L541" s="2" t="s">
        <v>8</v>
      </c>
      <c r="M541" s="16" t="s">
        <v>954</v>
      </c>
      <c r="N541" s="16" t="s">
        <v>1664</v>
      </c>
      <c r="O541" s="2" t="s">
        <v>2218</v>
      </c>
      <c r="P541" s="2" t="s">
        <v>2283</v>
      </c>
      <c r="Q541" s="16"/>
      <c r="R541" s="49"/>
      <c r="S541" s="93" t="e">
        <f t="shared" si="8"/>
        <v>#DIV/0!</v>
      </c>
    </row>
    <row r="542" spans="1:19" x14ac:dyDescent="0.3">
      <c r="A542" s="5">
        <v>541</v>
      </c>
      <c r="B542" s="2">
        <v>1323541</v>
      </c>
      <c r="C542" s="2" t="s">
        <v>530</v>
      </c>
      <c r="D542" s="15" t="s">
        <v>899</v>
      </c>
      <c r="E542" s="2" t="s">
        <v>1013</v>
      </c>
      <c r="F542" s="26">
        <v>9125516505</v>
      </c>
      <c r="G542" s="26" t="s">
        <v>2141</v>
      </c>
      <c r="H542" s="2" t="s">
        <v>1144</v>
      </c>
      <c r="I542" s="2"/>
      <c r="J542" s="16" t="s">
        <v>1145</v>
      </c>
      <c r="K542" s="16"/>
      <c r="L542" s="2" t="s">
        <v>6</v>
      </c>
      <c r="M542" s="16" t="s">
        <v>1630</v>
      </c>
      <c r="N542" s="16">
        <v>6.45</v>
      </c>
      <c r="O542" s="2">
        <v>7.89</v>
      </c>
      <c r="P542" s="2" t="s">
        <v>2279</v>
      </c>
      <c r="Q542" s="16"/>
      <c r="R542" s="49"/>
      <c r="S542" s="93">
        <f t="shared" si="8"/>
        <v>7.17</v>
      </c>
    </row>
    <row r="543" spans="1:19" x14ac:dyDescent="0.3">
      <c r="A543" s="5">
        <v>542</v>
      </c>
      <c r="B543" s="2">
        <v>1323542</v>
      </c>
      <c r="C543" s="2" t="s">
        <v>531</v>
      </c>
      <c r="D543" s="2" t="s">
        <v>900</v>
      </c>
      <c r="E543" s="91" t="s">
        <v>1415</v>
      </c>
      <c r="F543" s="26"/>
      <c r="G543" s="26"/>
      <c r="H543" s="2"/>
      <c r="I543" s="2"/>
      <c r="J543" s="16"/>
      <c r="K543" s="16"/>
      <c r="L543" s="2" t="s">
        <v>8</v>
      </c>
      <c r="M543" s="16" t="s">
        <v>1637</v>
      </c>
      <c r="N543" s="16" t="s">
        <v>1695</v>
      </c>
      <c r="O543" s="2"/>
      <c r="P543" s="2"/>
      <c r="Q543" s="16"/>
      <c r="R543" s="49"/>
      <c r="S543" s="93" t="e">
        <f t="shared" si="8"/>
        <v>#DIV/0!</v>
      </c>
    </row>
    <row r="544" spans="1:19" x14ac:dyDescent="0.3">
      <c r="A544" s="5">
        <v>543</v>
      </c>
      <c r="B544" s="2">
        <v>1323543</v>
      </c>
      <c r="C544" s="2" t="s">
        <v>532</v>
      </c>
      <c r="D544" s="2" t="s">
        <v>899</v>
      </c>
      <c r="E544" s="2" t="s">
        <v>1012</v>
      </c>
      <c r="F544" s="26">
        <v>6203738413</v>
      </c>
      <c r="G544" s="26" t="s">
        <v>2142</v>
      </c>
      <c r="H544" s="2" t="s">
        <v>1144</v>
      </c>
      <c r="I544" s="2"/>
      <c r="J544" s="16" t="s">
        <v>1145</v>
      </c>
      <c r="K544" s="16"/>
      <c r="L544" s="2" t="s">
        <v>6</v>
      </c>
      <c r="M544" s="16">
        <v>6.57</v>
      </c>
      <c r="N544" s="16">
        <v>7.23</v>
      </c>
      <c r="O544" s="2">
        <v>7.95</v>
      </c>
      <c r="P544" s="2">
        <v>7.02</v>
      </c>
      <c r="Q544" s="16"/>
      <c r="R544" s="49"/>
      <c r="S544" s="93">
        <f t="shared" si="8"/>
        <v>7.1924999999999999</v>
      </c>
    </row>
    <row r="545" spans="1:19" x14ac:dyDescent="0.3">
      <c r="A545" s="5">
        <v>544</v>
      </c>
      <c r="B545" s="2">
        <v>1323544</v>
      </c>
      <c r="C545" s="2" t="s">
        <v>533</v>
      </c>
      <c r="D545" s="2" t="s">
        <v>1575</v>
      </c>
      <c r="E545" s="2" t="s">
        <v>1011</v>
      </c>
      <c r="F545" s="26">
        <v>8797175929</v>
      </c>
      <c r="G545" s="26" t="s">
        <v>2143</v>
      </c>
      <c r="H545" s="2" t="s">
        <v>1144</v>
      </c>
      <c r="I545" s="2"/>
      <c r="J545" s="16" t="s">
        <v>1145</v>
      </c>
      <c r="K545" s="16"/>
      <c r="L545" s="2" t="s">
        <v>9</v>
      </c>
      <c r="M545" s="16">
        <v>6.95</v>
      </c>
      <c r="N545" s="16">
        <v>7.95</v>
      </c>
      <c r="O545" s="2">
        <v>8.5500000000000007</v>
      </c>
      <c r="P545" s="2">
        <v>8.09</v>
      </c>
      <c r="Q545" s="16"/>
      <c r="R545" s="49"/>
      <c r="S545" s="93">
        <f t="shared" si="8"/>
        <v>7.8850000000000007</v>
      </c>
    </row>
    <row r="546" spans="1:19" x14ac:dyDescent="0.3">
      <c r="A546" s="5">
        <v>545</v>
      </c>
      <c r="B546" s="2">
        <v>1323545</v>
      </c>
      <c r="C546" s="2" t="s">
        <v>534</v>
      </c>
      <c r="D546" s="2" t="s">
        <v>1576</v>
      </c>
      <c r="E546" s="2" t="s">
        <v>1010</v>
      </c>
      <c r="F546" s="26">
        <v>9142203258</v>
      </c>
      <c r="G546" s="26" t="s">
        <v>2144</v>
      </c>
      <c r="H546" s="2" t="s">
        <v>1144</v>
      </c>
      <c r="I546" s="2"/>
      <c r="J546" s="16"/>
      <c r="K546" s="16"/>
      <c r="L546" s="2" t="s">
        <v>6</v>
      </c>
      <c r="M546" s="16" t="s">
        <v>1656</v>
      </c>
      <c r="N546" s="16" t="s">
        <v>1664</v>
      </c>
      <c r="O546" s="2" t="s">
        <v>2212</v>
      </c>
      <c r="P546" s="2" t="s">
        <v>2279</v>
      </c>
      <c r="Q546" s="16"/>
      <c r="R546" s="49"/>
      <c r="S546" s="93" t="e">
        <f t="shared" si="8"/>
        <v>#DIV/0!</v>
      </c>
    </row>
    <row r="547" spans="1:19" x14ac:dyDescent="0.3">
      <c r="A547" s="5">
        <v>546</v>
      </c>
      <c r="B547" s="2">
        <v>1323546</v>
      </c>
      <c r="C547" s="2" t="s">
        <v>535</v>
      </c>
      <c r="D547" s="2" t="s">
        <v>901</v>
      </c>
      <c r="E547" s="2" t="s">
        <v>1009</v>
      </c>
      <c r="F547" s="26"/>
      <c r="G547" s="26"/>
      <c r="H547" s="2" t="s">
        <v>1144</v>
      </c>
      <c r="I547" s="2"/>
      <c r="J547" s="16"/>
      <c r="K547" s="16"/>
      <c r="L547" s="2" t="s">
        <v>6</v>
      </c>
      <c r="M547" s="16" t="s">
        <v>1657</v>
      </c>
      <c r="N547" s="16" t="s">
        <v>1665</v>
      </c>
      <c r="O547" s="2" t="s">
        <v>954</v>
      </c>
      <c r="P547" s="2"/>
      <c r="Q547" s="16"/>
      <c r="R547" s="49"/>
      <c r="S547" s="93" t="e">
        <f t="shared" si="8"/>
        <v>#DIV/0!</v>
      </c>
    </row>
    <row r="548" spans="1:19" x14ac:dyDescent="0.3">
      <c r="A548" s="5">
        <v>547</v>
      </c>
      <c r="B548" s="2">
        <v>1323547</v>
      </c>
      <c r="C548" s="2" t="s">
        <v>940</v>
      </c>
      <c r="D548" s="2"/>
      <c r="E548" s="2"/>
      <c r="F548" s="26"/>
      <c r="G548" s="26"/>
      <c r="H548" s="2"/>
      <c r="I548" s="2"/>
      <c r="J548" s="16"/>
      <c r="K548" s="16"/>
      <c r="L548" s="2"/>
      <c r="M548" s="16"/>
      <c r="N548" s="16"/>
      <c r="O548" s="2"/>
      <c r="P548" s="2"/>
      <c r="Q548" s="16"/>
      <c r="R548" s="49"/>
      <c r="S548" s="93" t="e">
        <f t="shared" si="8"/>
        <v>#DIV/0!</v>
      </c>
    </row>
    <row r="549" spans="1:19" x14ac:dyDescent="0.3">
      <c r="A549" s="5">
        <v>548</v>
      </c>
      <c r="B549" s="2">
        <v>1323548</v>
      </c>
      <c r="C549" s="2" t="s">
        <v>940</v>
      </c>
      <c r="D549" s="2"/>
      <c r="E549" s="2"/>
      <c r="F549" s="26"/>
      <c r="G549" s="26"/>
      <c r="H549" s="2" t="s">
        <v>1139</v>
      </c>
      <c r="I549" s="2"/>
      <c r="J549" s="16"/>
      <c r="K549" s="16"/>
      <c r="L549" s="2"/>
      <c r="M549" s="16"/>
      <c r="N549" s="16"/>
      <c r="O549" s="2"/>
      <c r="P549" s="2"/>
      <c r="Q549" s="16"/>
      <c r="R549" s="49"/>
      <c r="S549" s="93" t="e">
        <f t="shared" si="8"/>
        <v>#DIV/0!</v>
      </c>
    </row>
    <row r="550" spans="1:19" x14ac:dyDescent="0.3">
      <c r="A550" s="5">
        <v>549</v>
      </c>
      <c r="B550" s="2">
        <v>1323549</v>
      </c>
      <c r="C550" s="2" t="s">
        <v>536</v>
      </c>
      <c r="D550" s="2" t="s">
        <v>1577</v>
      </c>
      <c r="E550" s="2" t="s">
        <v>1008</v>
      </c>
      <c r="F550" s="26">
        <v>7505742841</v>
      </c>
      <c r="G550" s="26" t="s">
        <v>2145</v>
      </c>
      <c r="H550" s="2" t="s">
        <v>1144</v>
      </c>
      <c r="I550" s="2"/>
      <c r="J550" s="16" t="s">
        <v>1146</v>
      </c>
      <c r="K550" s="16"/>
      <c r="L550" s="2" t="s">
        <v>9</v>
      </c>
      <c r="M550" s="16" t="s">
        <v>1658</v>
      </c>
      <c r="N550" s="16" t="s">
        <v>1696</v>
      </c>
      <c r="O550" s="2" t="s">
        <v>954</v>
      </c>
      <c r="P550" s="2" t="s">
        <v>2295</v>
      </c>
      <c r="Q550" s="16"/>
      <c r="R550" s="49"/>
      <c r="S550" s="93" t="e">
        <f t="shared" si="8"/>
        <v>#DIV/0!</v>
      </c>
    </row>
    <row r="551" spans="1:19" x14ac:dyDescent="0.3">
      <c r="A551" s="5">
        <v>550</v>
      </c>
      <c r="B551" s="2">
        <v>1323550</v>
      </c>
      <c r="C551" s="2" t="s">
        <v>537</v>
      </c>
      <c r="D551" s="2" t="s">
        <v>902</v>
      </c>
      <c r="E551" s="2" t="s">
        <v>1007</v>
      </c>
      <c r="F551" s="26">
        <v>6206165729</v>
      </c>
      <c r="G551" s="26" t="s">
        <v>2146</v>
      </c>
      <c r="H551" s="2"/>
      <c r="I551" s="2"/>
      <c r="J551" s="16"/>
      <c r="K551" s="16"/>
      <c r="L551" s="2" t="s">
        <v>9</v>
      </c>
      <c r="M551" s="16" t="s">
        <v>1633</v>
      </c>
      <c r="N551" s="16">
        <v>6.27</v>
      </c>
      <c r="O551" s="2">
        <v>7.75</v>
      </c>
      <c r="P551" s="2" t="s">
        <v>2279</v>
      </c>
      <c r="Q551" s="16"/>
      <c r="R551" s="49"/>
      <c r="S551" s="93">
        <f t="shared" si="8"/>
        <v>7.01</v>
      </c>
    </row>
    <row r="552" spans="1:19" x14ac:dyDescent="0.3">
      <c r="A552" s="5">
        <v>551</v>
      </c>
      <c r="B552" s="2">
        <v>1323551</v>
      </c>
      <c r="C552" s="2" t="s">
        <v>538</v>
      </c>
      <c r="D552" s="2" t="s">
        <v>1578</v>
      </c>
      <c r="E552" s="2" t="s">
        <v>1416</v>
      </c>
      <c r="F552" s="26"/>
      <c r="G552" s="26"/>
      <c r="H552" s="2" t="s">
        <v>1144</v>
      </c>
      <c r="I552" s="2"/>
      <c r="J552" s="16" t="s">
        <v>8</v>
      </c>
      <c r="K552" s="16"/>
      <c r="L552" s="2"/>
      <c r="M552" s="16" t="s">
        <v>954</v>
      </c>
      <c r="N552" s="16"/>
      <c r="O552" s="2"/>
      <c r="P552" s="2"/>
      <c r="Q552" s="16"/>
      <c r="R552" s="49"/>
      <c r="S552" s="93" t="e">
        <f t="shared" si="8"/>
        <v>#DIV/0!</v>
      </c>
    </row>
    <row r="553" spans="1:19" x14ac:dyDescent="0.3">
      <c r="A553" s="5">
        <v>552</v>
      </c>
      <c r="B553" s="2">
        <v>1323552</v>
      </c>
      <c r="C553" s="2" t="s">
        <v>539</v>
      </c>
      <c r="D553" s="2" t="s">
        <v>903</v>
      </c>
      <c r="E553" s="2" t="s">
        <v>1006</v>
      </c>
      <c r="F553" s="26">
        <v>8935816211</v>
      </c>
      <c r="G553" s="26" t="s">
        <v>2147</v>
      </c>
      <c r="H553" s="2" t="s">
        <v>1144</v>
      </c>
      <c r="I553" s="2"/>
      <c r="J553" s="16" t="s">
        <v>8</v>
      </c>
      <c r="K553" s="16"/>
      <c r="L553" s="2" t="s">
        <v>8</v>
      </c>
      <c r="M553" s="16" t="s">
        <v>1630</v>
      </c>
      <c r="N553" s="16" t="s">
        <v>1691</v>
      </c>
      <c r="O553" s="2" t="s">
        <v>2218</v>
      </c>
      <c r="P553" s="2">
        <v>6.18</v>
      </c>
      <c r="Q553" s="16"/>
      <c r="R553" s="49"/>
      <c r="S553" s="93">
        <f t="shared" si="8"/>
        <v>6.18</v>
      </c>
    </row>
    <row r="554" spans="1:19" x14ac:dyDescent="0.3">
      <c r="A554" s="5">
        <v>553</v>
      </c>
      <c r="B554" s="2">
        <v>1323553</v>
      </c>
      <c r="C554" s="2" t="s">
        <v>540</v>
      </c>
      <c r="D554" s="2" t="s">
        <v>1579</v>
      </c>
      <c r="E554" s="2" t="s">
        <v>1005</v>
      </c>
      <c r="F554" s="26">
        <v>6200373626</v>
      </c>
      <c r="G554" s="26" t="s">
        <v>2148</v>
      </c>
      <c r="H554" s="2"/>
      <c r="I554" s="2"/>
      <c r="J554" s="16"/>
      <c r="K554" s="16"/>
      <c r="L554" s="2" t="s">
        <v>8</v>
      </c>
      <c r="M554" s="16" t="s">
        <v>1659</v>
      </c>
      <c r="N554" s="16">
        <v>6.32</v>
      </c>
      <c r="O554" s="2" t="s">
        <v>2244</v>
      </c>
      <c r="P554" s="2" t="s">
        <v>2296</v>
      </c>
      <c r="Q554" s="16"/>
      <c r="R554" s="49"/>
      <c r="S554" s="93">
        <f t="shared" si="8"/>
        <v>6.32</v>
      </c>
    </row>
    <row r="555" spans="1:19" x14ac:dyDescent="0.3">
      <c r="A555" s="5">
        <v>554</v>
      </c>
      <c r="B555" s="2">
        <v>1323554</v>
      </c>
      <c r="C555" s="2" t="s">
        <v>541</v>
      </c>
      <c r="D555" s="2" t="s">
        <v>1580</v>
      </c>
      <c r="E555" s="2" t="s">
        <v>1417</v>
      </c>
      <c r="F555" s="26"/>
      <c r="G555" s="26"/>
      <c r="H555" s="2"/>
      <c r="I555" s="2"/>
      <c r="J555" s="16"/>
      <c r="K555" s="16"/>
      <c r="L555" s="2"/>
      <c r="M555" s="16" t="s">
        <v>958</v>
      </c>
      <c r="N555" s="16" t="s">
        <v>958</v>
      </c>
      <c r="O555" s="2"/>
      <c r="P555" s="2"/>
      <c r="Q555" s="16"/>
      <c r="R555" s="49"/>
      <c r="S555" s="93" t="e">
        <f t="shared" si="8"/>
        <v>#DIV/0!</v>
      </c>
    </row>
    <row r="556" spans="1:19" x14ac:dyDescent="0.3">
      <c r="A556" s="5">
        <v>555</v>
      </c>
      <c r="B556" s="2">
        <v>1323555</v>
      </c>
      <c r="C556" s="2" t="s">
        <v>542</v>
      </c>
      <c r="D556" s="2" t="s">
        <v>904</v>
      </c>
      <c r="E556" s="2" t="s">
        <v>1004</v>
      </c>
      <c r="F556" s="26">
        <v>9835075691</v>
      </c>
      <c r="G556" s="26" t="s">
        <v>2149</v>
      </c>
      <c r="H556" s="2" t="s">
        <v>1144</v>
      </c>
      <c r="I556" s="2"/>
      <c r="J556" s="16" t="s">
        <v>1146</v>
      </c>
      <c r="K556" s="16"/>
      <c r="L556" s="2" t="s">
        <v>9</v>
      </c>
      <c r="M556" s="16">
        <v>6.02</v>
      </c>
      <c r="N556" s="16" t="s">
        <v>1682</v>
      </c>
      <c r="O556" s="2">
        <v>8.14</v>
      </c>
      <c r="P556" s="2">
        <v>7.36</v>
      </c>
      <c r="Q556" s="16"/>
      <c r="R556" s="49"/>
      <c r="S556" s="93">
        <f t="shared" si="8"/>
        <v>7.1733333333333329</v>
      </c>
    </row>
    <row r="557" spans="1:19" x14ac:dyDescent="0.3">
      <c r="A557" s="5">
        <v>556</v>
      </c>
      <c r="B557" s="2">
        <v>1323556</v>
      </c>
      <c r="C557" s="2" t="s">
        <v>543</v>
      </c>
      <c r="D557" s="2" t="s">
        <v>1581</v>
      </c>
      <c r="E557" s="2" t="s">
        <v>1003</v>
      </c>
      <c r="F557" s="26">
        <v>9939786436</v>
      </c>
      <c r="G557" s="26" t="s">
        <v>2150</v>
      </c>
      <c r="H557" s="2" t="s">
        <v>1144</v>
      </c>
      <c r="I557" s="2"/>
      <c r="J557" s="16"/>
      <c r="K557" s="16"/>
      <c r="L557" s="2" t="s">
        <v>6</v>
      </c>
      <c r="M557" s="16">
        <v>6.64</v>
      </c>
      <c r="N557" s="16">
        <v>7.18</v>
      </c>
      <c r="O557" s="2" t="s">
        <v>2214</v>
      </c>
      <c r="P557" s="2">
        <v>6.73</v>
      </c>
      <c r="Q557" s="16"/>
      <c r="R557" s="49"/>
      <c r="S557" s="93">
        <f t="shared" si="8"/>
        <v>6.8500000000000005</v>
      </c>
    </row>
    <row r="558" spans="1:19" x14ac:dyDescent="0.3">
      <c r="A558" s="5">
        <v>557</v>
      </c>
      <c r="B558" s="2">
        <v>1323557</v>
      </c>
      <c r="C558" s="2" t="s">
        <v>940</v>
      </c>
      <c r="D558" s="2"/>
      <c r="E558" s="2"/>
      <c r="F558" s="26"/>
      <c r="G558" s="26"/>
      <c r="H558" s="2"/>
      <c r="I558" s="2"/>
      <c r="J558" s="16"/>
      <c r="K558" s="16"/>
      <c r="L558" s="2"/>
      <c r="M558" s="16"/>
      <c r="N558" s="16"/>
      <c r="O558" s="2"/>
      <c r="P558" s="2"/>
      <c r="Q558" s="16"/>
      <c r="R558" s="49"/>
      <c r="S558" s="93" t="e">
        <f t="shared" si="8"/>
        <v>#DIV/0!</v>
      </c>
    </row>
    <row r="559" spans="1:19" x14ac:dyDescent="0.3">
      <c r="A559" s="5">
        <v>558</v>
      </c>
      <c r="B559" s="2">
        <v>1323558</v>
      </c>
      <c r="C559" s="2" t="s">
        <v>940</v>
      </c>
      <c r="D559" s="2"/>
      <c r="E559" s="2"/>
      <c r="F559" s="26"/>
      <c r="G559" s="26"/>
      <c r="H559" s="2"/>
      <c r="I559" s="2"/>
      <c r="J559" s="16"/>
      <c r="K559" s="16"/>
      <c r="L559" s="2"/>
      <c r="M559" s="16"/>
      <c r="N559" s="16"/>
      <c r="O559" s="2"/>
      <c r="P559" s="2"/>
      <c r="Q559" s="16"/>
      <c r="R559" s="49"/>
      <c r="S559" s="93" t="e">
        <f t="shared" si="8"/>
        <v>#DIV/0!</v>
      </c>
    </row>
    <row r="560" spans="1:19" x14ac:dyDescent="0.3">
      <c r="A560" s="5">
        <v>559</v>
      </c>
      <c r="B560" s="2">
        <v>1323559</v>
      </c>
      <c r="C560" s="2" t="s">
        <v>544</v>
      </c>
      <c r="D560" s="2" t="s">
        <v>905</v>
      </c>
      <c r="E560" s="2" t="s">
        <v>1002</v>
      </c>
      <c r="F560" s="26">
        <v>7519125980</v>
      </c>
      <c r="G560" s="26" t="s">
        <v>2151</v>
      </c>
      <c r="H560" s="2" t="s">
        <v>1144</v>
      </c>
      <c r="I560" s="2"/>
      <c r="J560" s="16" t="s">
        <v>1145</v>
      </c>
      <c r="K560" s="16"/>
      <c r="L560" s="2" t="s">
        <v>9</v>
      </c>
      <c r="M560" s="16">
        <v>6.09</v>
      </c>
      <c r="N560" s="16">
        <v>7.16</v>
      </c>
      <c r="O560" s="2">
        <v>6.8</v>
      </c>
      <c r="P560" s="2">
        <v>6.91</v>
      </c>
      <c r="Q560" s="16"/>
      <c r="R560" s="49"/>
      <c r="S560" s="93">
        <f t="shared" si="8"/>
        <v>6.74</v>
      </c>
    </row>
    <row r="561" spans="1:19" x14ac:dyDescent="0.3">
      <c r="A561" s="5">
        <v>560</v>
      </c>
      <c r="B561" s="2">
        <v>1323560</v>
      </c>
      <c r="C561" s="2" t="s">
        <v>545</v>
      </c>
      <c r="D561" s="2" t="s">
        <v>889</v>
      </c>
      <c r="E561" s="2" t="s">
        <v>1418</v>
      </c>
      <c r="F561" s="26"/>
      <c r="G561" s="26"/>
      <c r="H561" s="2"/>
      <c r="I561" s="2"/>
      <c r="J561" s="16"/>
      <c r="K561" s="16"/>
      <c r="L561" s="2"/>
      <c r="M561" s="16" t="s">
        <v>1643</v>
      </c>
      <c r="N561" s="16" t="s">
        <v>1665</v>
      </c>
      <c r="O561" s="2"/>
      <c r="P561" s="2"/>
      <c r="Q561" s="16"/>
      <c r="R561" s="49"/>
      <c r="S561" s="93" t="e">
        <f t="shared" si="8"/>
        <v>#DIV/0!</v>
      </c>
    </row>
    <row r="562" spans="1:19" x14ac:dyDescent="0.3">
      <c r="A562" s="5">
        <v>561</v>
      </c>
      <c r="B562" s="2">
        <v>1323561</v>
      </c>
      <c r="C562" s="2" t="s">
        <v>546</v>
      </c>
      <c r="D562" s="2" t="s">
        <v>906</v>
      </c>
      <c r="E562" s="2" t="s">
        <v>1001</v>
      </c>
      <c r="F562" s="26">
        <v>9693991667</v>
      </c>
      <c r="G562" s="26" t="s">
        <v>2152</v>
      </c>
      <c r="H562" s="2" t="s">
        <v>1143</v>
      </c>
      <c r="I562" s="2"/>
      <c r="J562" s="16" t="s">
        <v>1145</v>
      </c>
      <c r="K562" s="16"/>
      <c r="L562" s="2" t="s">
        <v>926</v>
      </c>
      <c r="M562" s="16">
        <v>5.7</v>
      </c>
      <c r="N562" s="16">
        <v>7.91</v>
      </c>
      <c r="O562" s="2">
        <v>8.36</v>
      </c>
      <c r="P562" s="2">
        <v>7.73</v>
      </c>
      <c r="Q562" s="16"/>
      <c r="R562" s="49"/>
      <c r="S562" s="93">
        <f t="shared" si="8"/>
        <v>7.4249999999999998</v>
      </c>
    </row>
    <row r="563" spans="1:19" x14ac:dyDescent="0.3">
      <c r="A563" s="5">
        <v>562</v>
      </c>
      <c r="B563" s="2">
        <v>1323562</v>
      </c>
      <c r="C563" s="2" t="s">
        <v>547</v>
      </c>
      <c r="D563" s="2" t="s">
        <v>1582</v>
      </c>
      <c r="E563" s="2" t="s">
        <v>1000</v>
      </c>
      <c r="F563" s="26">
        <v>7206049931</v>
      </c>
      <c r="G563" s="26" t="s">
        <v>2153</v>
      </c>
      <c r="H563" s="2" t="s">
        <v>1138</v>
      </c>
      <c r="I563" s="2"/>
      <c r="J563" s="16" t="s">
        <v>1146</v>
      </c>
      <c r="K563" s="16"/>
      <c r="L563" s="2" t="s">
        <v>9</v>
      </c>
      <c r="M563" s="16">
        <v>6.64</v>
      </c>
      <c r="N563" s="16">
        <v>6.41</v>
      </c>
      <c r="O563" s="2" t="s">
        <v>2245</v>
      </c>
      <c r="P563" s="2">
        <v>6.36</v>
      </c>
      <c r="Q563" s="16"/>
      <c r="R563" s="49"/>
      <c r="S563" s="93">
        <f t="shared" si="8"/>
        <v>6.47</v>
      </c>
    </row>
    <row r="564" spans="1:19" x14ac:dyDescent="0.3">
      <c r="A564" s="5">
        <v>563</v>
      </c>
      <c r="B564" s="2">
        <v>1323563</v>
      </c>
      <c r="C564" s="2" t="s">
        <v>548</v>
      </c>
      <c r="D564" s="2" t="s">
        <v>1583</v>
      </c>
      <c r="E564" s="2" t="s">
        <v>999</v>
      </c>
      <c r="F564" s="26">
        <v>7497840039</v>
      </c>
      <c r="G564" s="26" t="s">
        <v>2154</v>
      </c>
      <c r="H564" s="2" t="s">
        <v>1138</v>
      </c>
      <c r="I564" s="2"/>
      <c r="J564" s="16" t="s">
        <v>1146</v>
      </c>
      <c r="K564" s="16"/>
      <c r="L564" s="2" t="s">
        <v>9</v>
      </c>
      <c r="M564" s="16" t="s">
        <v>958</v>
      </c>
      <c r="N564" s="16" t="s">
        <v>953</v>
      </c>
      <c r="O564" s="2" t="s">
        <v>954</v>
      </c>
      <c r="P564" s="2" t="s">
        <v>2297</v>
      </c>
      <c r="Q564" s="16"/>
      <c r="R564" s="49"/>
      <c r="S564" s="93" t="e">
        <f t="shared" si="8"/>
        <v>#DIV/0!</v>
      </c>
    </row>
    <row r="565" spans="1:19" x14ac:dyDescent="0.3">
      <c r="A565" s="5">
        <v>564</v>
      </c>
      <c r="B565" s="2">
        <v>1323564</v>
      </c>
      <c r="C565" s="2" t="s">
        <v>549</v>
      </c>
      <c r="D565" s="2" t="s">
        <v>1584</v>
      </c>
      <c r="E565" s="2" t="s">
        <v>1419</v>
      </c>
      <c r="F565" s="26"/>
      <c r="G565" s="26"/>
      <c r="H565" s="2"/>
      <c r="I565" s="2"/>
      <c r="J565" s="16"/>
      <c r="K565" s="16"/>
      <c r="L565" s="2" t="s">
        <v>6</v>
      </c>
      <c r="M565" s="16" t="s">
        <v>958</v>
      </c>
      <c r="N565" s="16" t="s">
        <v>958</v>
      </c>
      <c r="O565" s="91"/>
      <c r="P565" s="2"/>
      <c r="Q565" s="16"/>
      <c r="R565" s="49"/>
      <c r="S565" s="93" t="e">
        <f t="shared" si="8"/>
        <v>#DIV/0!</v>
      </c>
    </row>
    <row r="566" spans="1:19" x14ac:dyDescent="0.3">
      <c r="A566" s="5">
        <v>565</v>
      </c>
      <c r="B566" s="2">
        <v>1323565</v>
      </c>
      <c r="C566" s="2" t="s">
        <v>550</v>
      </c>
      <c r="D566" s="2" t="s">
        <v>1585</v>
      </c>
      <c r="E566" s="2" t="s">
        <v>998</v>
      </c>
      <c r="F566" s="26">
        <v>7325066008</v>
      </c>
      <c r="G566" s="26" t="s">
        <v>2155</v>
      </c>
      <c r="H566" s="2" t="s">
        <v>1143</v>
      </c>
      <c r="I566" s="2"/>
      <c r="J566" s="16" t="s">
        <v>1146</v>
      </c>
      <c r="K566" s="16"/>
      <c r="L566" s="2" t="s">
        <v>926</v>
      </c>
      <c r="M566" s="16" t="s">
        <v>1657</v>
      </c>
      <c r="N566" s="16">
        <v>6.32</v>
      </c>
      <c r="O566" s="2">
        <v>6.66</v>
      </c>
      <c r="P566" s="2" t="s">
        <v>2268</v>
      </c>
      <c r="Q566" s="16"/>
      <c r="R566" s="49"/>
      <c r="S566" s="93">
        <f t="shared" si="8"/>
        <v>6.49</v>
      </c>
    </row>
    <row r="567" spans="1:19" x14ac:dyDescent="0.3">
      <c r="A567" s="5">
        <v>566</v>
      </c>
      <c r="B567" s="2">
        <v>1323566</v>
      </c>
      <c r="C567" s="2" t="s">
        <v>551</v>
      </c>
      <c r="D567" s="21" t="s">
        <v>907</v>
      </c>
      <c r="E567" s="2" t="s">
        <v>997</v>
      </c>
      <c r="F567" s="26">
        <v>9835819778</v>
      </c>
      <c r="G567" s="26" t="s">
        <v>2156</v>
      </c>
      <c r="H567" s="2" t="s">
        <v>1143</v>
      </c>
      <c r="I567" s="2"/>
      <c r="J567" s="16" t="s">
        <v>1145</v>
      </c>
      <c r="K567" s="16"/>
      <c r="L567" s="2" t="s">
        <v>6</v>
      </c>
      <c r="M567" s="16">
        <v>8.14</v>
      </c>
      <c r="N567" s="16">
        <v>8.82</v>
      </c>
      <c r="O567" s="2">
        <v>8.64</v>
      </c>
      <c r="P567" s="2">
        <v>9</v>
      </c>
      <c r="Q567" s="16"/>
      <c r="R567" s="49"/>
      <c r="S567" s="93">
        <f t="shared" si="8"/>
        <v>8.65</v>
      </c>
    </row>
    <row r="568" spans="1:19" x14ac:dyDescent="0.3">
      <c r="A568" s="5">
        <v>567</v>
      </c>
      <c r="B568" s="2">
        <v>1323567</v>
      </c>
      <c r="C568" s="2" t="s">
        <v>552</v>
      </c>
      <c r="D568" s="21" t="s">
        <v>1586</v>
      </c>
      <c r="E568" s="2" t="s">
        <v>996</v>
      </c>
      <c r="F568" s="26">
        <v>7369016502</v>
      </c>
      <c r="G568" s="26" t="s">
        <v>2157</v>
      </c>
      <c r="H568" s="2" t="s">
        <v>1143</v>
      </c>
      <c r="I568" s="2"/>
      <c r="J568" s="16" t="s">
        <v>1146</v>
      </c>
      <c r="K568" s="16"/>
      <c r="L568" s="2" t="s">
        <v>926</v>
      </c>
      <c r="M568" s="16" t="s">
        <v>1630</v>
      </c>
      <c r="N568" s="16">
        <v>6.3</v>
      </c>
      <c r="O568" s="2">
        <v>6.41</v>
      </c>
      <c r="P568" s="2">
        <v>6.36</v>
      </c>
      <c r="Q568" s="16"/>
      <c r="R568" s="49"/>
      <c r="S568" s="93">
        <f t="shared" si="8"/>
        <v>6.3566666666666665</v>
      </c>
    </row>
    <row r="569" spans="1:19" x14ac:dyDescent="0.3">
      <c r="A569" s="5">
        <v>568</v>
      </c>
      <c r="B569" s="2">
        <v>1323568</v>
      </c>
      <c r="C569" s="2" t="s">
        <v>553</v>
      </c>
      <c r="D569" s="21" t="s">
        <v>1587</v>
      </c>
      <c r="E569" s="2" t="s">
        <v>1420</v>
      </c>
      <c r="F569" s="26"/>
      <c r="G569" s="26"/>
      <c r="H569" s="2"/>
      <c r="I569" s="2"/>
      <c r="J569" s="16"/>
      <c r="K569" s="16"/>
      <c r="L569" s="2"/>
      <c r="M569" s="16" t="s">
        <v>958</v>
      </c>
      <c r="N569" s="16"/>
      <c r="O569" s="2"/>
      <c r="P569" s="2"/>
      <c r="Q569" s="16"/>
      <c r="R569" s="49"/>
      <c r="S569" s="93" t="e">
        <f t="shared" si="8"/>
        <v>#DIV/0!</v>
      </c>
    </row>
    <row r="570" spans="1:19" x14ac:dyDescent="0.3">
      <c r="A570" s="5">
        <v>569</v>
      </c>
      <c r="B570" s="2">
        <v>1323569</v>
      </c>
      <c r="C570" s="2" t="s">
        <v>554</v>
      </c>
      <c r="D570" s="21" t="s">
        <v>1588</v>
      </c>
      <c r="E570" s="2" t="s">
        <v>1421</v>
      </c>
      <c r="F570" s="26"/>
      <c r="G570" s="26"/>
      <c r="H570" s="2"/>
      <c r="I570" s="2"/>
      <c r="J570" s="16"/>
      <c r="K570" s="16"/>
      <c r="L570" s="2" t="s">
        <v>8</v>
      </c>
      <c r="M570" s="16" t="s">
        <v>958</v>
      </c>
      <c r="N570" s="16" t="s">
        <v>958</v>
      </c>
      <c r="O570" s="2"/>
      <c r="P570" s="2"/>
      <c r="Q570" s="16"/>
      <c r="R570" s="49"/>
      <c r="S570" s="93" t="e">
        <f t="shared" si="8"/>
        <v>#DIV/0!</v>
      </c>
    </row>
    <row r="571" spans="1:19" x14ac:dyDescent="0.3">
      <c r="A571" s="5">
        <v>570</v>
      </c>
      <c r="B571" s="2">
        <v>1323570</v>
      </c>
      <c r="C571" s="2" t="s">
        <v>555</v>
      </c>
      <c r="D571" s="2" t="s">
        <v>1589</v>
      </c>
      <c r="E571" s="2" t="s">
        <v>995</v>
      </c>
      <c r="F571" s="26">
        <v>7763825081</v>
      </c>
      <c r="G571" s="26" t="s">
        <v>2158</v>
      </c>
      <c r="H571" s="2" t="s">
        <v>1143</v>
      </c>
      <c r="I571" s="2"/>
      <c r="J571" s="16" t="s">
        <v>1145</v>
      </c>
      <c r="K571" s="16"/>
      <c r="L571" s="2" t="s">
        <v>6</v>
      </c>
      <c r="M571" s="16">
        <v>5.98</v>
      </c>
      <c r="N571" s="16" t="s">
        <v>1664</v>
      </c>
      <c r="O571" s="2">
        <v>6.8</v>
      </c>
      <c r="P571" s="2">
        <v>6.57</v>
      </c>
      <c r="Q571" s="16"/>
      <c r="R571" s="49"/>
      <c r="S571" s="93">
        <f t="shared" si="8"/>
        <v>6.45</v>
      </c>
    </row>
    <row r="572" spans="1:19" x14ac:dyDescent="0.3">
      <c r="A572" s="5">
        <v>571</v>
      </c>
      <c r="B572" s="2">
        <v>1323571</v>
      </c>
      <c r="C572" s="2" t="s">
        <v>556</v>
      </c>
      <c r="D572" s="21" t="s">
        <v>1590</v>
      </c>
      <c r="E572" s="2" t="s">
        <v>994</v>
      </c>
      <c r="F572" s="26">
        <v>7209093907</v>
      </c>
      <c r="G572" s="26" t="s">
        <v>2159</v>
      </c>
      <c r="H572" s="2" t="s">
        <v>1143</v>
      </c>
      <c r="I572" s="2"/>
      <c r="J572" s="16" t="s">
        <v>1145</v>
      </c>
      <c r="K572" s="16"/>
      <c r="L572" s="2" t="s">
        <v>6</v>
      </c>
      <c r="M572" s="16">
        <v>6.09</v>
      </c>
      <c r="N572" s="16" t="s">
        <v>1664</v>
      </c>
      <c r="O572" s="2">
        <v>6.68</v>
      </c>
      <c r="P572" s="2">
        <v>6.77</v>
      </c>
      <c r="Q572" s="16"/>
      <c r="R572" s="49"/>
      <c r="S572" s="93">
        <f t="shared" si="8"/>
        <v>6.5133333333333328</v>
      </c>
    </row>
    <row r="573" spans="1:19" x14ac:dyDescent="0.3">
      <c r="A573" s="5">
        <v>572</v>
      </c>
      <c r="B573" s="2">
        <v>1323572</v>
      </c>
      <c r="C573" s="2" t="s">
        <v>557</v>
      </c>
      <c r="D573" s="21" t="s">
        <v>908</v>
      </c>
      <c r="E573" s="2" t="s">
        <v>993</v>
      </c>
      <c r="F573" s="26">
        <v>9973349056</v>
      </c>
      <c r="G573" s="26" t="s">
        <v>2160</v>
      </c>
      <c r="H573" s="2" t="s">
        <v>1143</v>
      </c>
      <c r="I573" s="2"/>
      <c r="J573" s="16" t="s">
        <v>1145</v>
      </c>
      <c r="K573" s="16"/>
      <c r="L573" s="2" t="s">
        <v>6</v>
      </c>
      <c r="M573" s="16">
        <v>5.8</v>
      </c>
      <c r="N573" s="16">
        <v>7.64</v>
      </c>
      <c r="O573" s="2">
        <v>7.77</v>
      </c>
      <c r="P573" s="2">
        <v>7.11</v>
      </c>
      <c r="Q573" s="16"/>
      <c r="R573" s="49"/>
      <c r="S573" s="93">
        <f t="shared" si="8"/>
        <v>7.08</v>
      </c>
    </row>
    <row r="574" spans="1:19" x14ac:dyDescent="0.3">
      <c r="A574" s="5">
        <v>573</v>
      </c>
      <c r="B574" s="2">
        <v>1323573</v>
      </c>
      <c r="C574" s="2" t="s">
        <v>558</v>
      </c>
      <c r="D574" s="21" t="s">
        <v>1591</v>
      </c>
      <c r="E574" s="2" t="s">
        <v>992</v>
      </c>
      <c r="F574" s="26">
        <v>9152189667</v>
      </c>
      <c r="G574" s="26" t="s">
        <v>2161</v>
      </c>
      <c r="H574" s="2" t="s">
        <v>1138</v>
      </c>
      <c r="I574" s="2"/>
      <c r="J574" s="16" t="s">
        <v>8</v>
      </c>
      <c r="K574" s="16"/>
      <c r="L574" s="2" t="s">
        <v>9</v>
      </c>
      <c r="M574" s="16">
        <v>6.18</v>
      </c>
      <c r="N574" s="16">
        <v>6.32</v>
      </c>
      <c r="O574" s="2" t="s">
        <v>2208</v>
      </c>
      <c r="P574" s="2">
        <v>7.48</v>
      </c>
      <c r="Q574" s="16"/>
      <c r="R574" s="49"/>
      <c r="S574" s="93">
        <f t="shared" si="8"/>
        <v>6.66</v>
      </c>
    </row>
    <row r="575" spans="1:19" x14ac:dyDescent="0.3">
      <c r="A575" s="5">
        <v>574</v>
      </c>
      <c r="B575" s="2">
        <v>1323574</v>
      </c>
      <c r="C575" s="2" t="s">
        <v>603</v>
      </c>
      <c r="D575" s="21" t="s">
        <v>1592</v>
      </c>
      <c r="E575" s="2" t="s">
        <v>991</v>
      </c>
      <c r="F575" s="26">
        <v>6287212742</v>
      </c>
      <c r="G575" s="26" t="s">
        <v>2162</v>
      </c>
      <c r="H575" s="2" t="s">
        <v>1138</v>
      </c>
      <c r="I575" s="2"/>
      <c r="J575" s="16" t="s">
        <v>1145</v>
      </c>
      <c r="K575" s="16"/>
      <c r="L575" s="2" t="s">
        <v>9</v>
      </c>
      <c r="M575" s="16">
        <v>6.68</v>
      </c>
      <c r="N575" s="16">
        <v>7.36</v>
      </c>
      <c r="O575" s="2">
        <v>8.14</v>
      </c>
      <c r="P575" s="2">
        <v>7.3</v>
      </c>
      <c r="Q575" s="16"/>
      <c r="R575" s="49"/>
      <c r="S575" s="93">
        <f t="shared" si="8"/>
        <v>7.37</v>
      </c>
    </row>
    <row r="576" spans="1:19" x14ac:dyDescent="0.3">
      <c r="A576" s="5">
        <v>575</v>
      </c>
      <c r="B576" s="2">
        <v>1323575</v>
      </c>
      <c r="C576" s="2" t="s">
        <v>604</v>
      </c>
      <c r="D576" s="21" t="s">
        <v>1593</v>
      </c>
      <c r="E576" s="2" t="s">
        <v>990</v>
      </c>
      <c r="F576" s="26">
        <v>9815007067</v>
      </c>
      <c r="G576" s="26" t="s">
        <v>2163</v>
      </c>
      <c r="H576" s="2" t="s">
        <v>1138</v>
      </c>
      <c r="I576" s="2"/>
      <c r="J576" s="16" t="s">
        <v>1145</v>
      </c>
      <c r="K576" s="16"/>
      <c r="L576" s="2" t="s">
        <v>9</v>
      </c>
      <c r="M576" s="16">
        <v>8.64</v>
      </c>
      <c r="N576" s="16">
        <v>8.82</v>
      </c>
      <c r="O576" s="2">
        <v>9</v>
      </c>
      <c r="P576" s="2">
        <v>8.9499999999999993</v>
      </c>
      <c r="Q576" s="16"/>
      <c r="R576" s="49"/>
      <c r="S576" s="93">
        <f t="shared" si="8"/>
        <v>8.8524999999999991</v>
      </c>
    </row>
    <row r="577" spans="1:19" x14ac:dyDescent="0.3">
      <c r="A577" s="5">
        <v>576</v>
      </c>
      <c r="B577" s="2">
        <v>1323576</v>
      </c>
      <c r="C577" s="2" t="s">
        <v>559</v>
      </c>
      <c r="D577" s="21" t="s">
        <v>1004</v>
      </c>
      <c r="E577" s="2" t="s">
        <v>989</v>
      </c>
      <c r="F577" s="26">
        <v>8252685962</v>
      </c>
      <c r="G577" s="26" t="s">
        <v>2164</v>
      </c>
      <c r="H577" s="2" t="s">
        <v>1143</v>
      </c>
      <c r="I577" s="2"/>
      <c r="J577" s="16" t="s">
        <v>1145</v>
      </c>
      <c r="K577" s="16"/>
      <c r="L577" s="2" t="s">
        <v>8</v>
      </c>
      <c r="M577" s="16">
        <v>5.98</v>
      </c>
      <c r="N577" s="16" t="s">
        <v>1664</v>
      </c>
      <c r="O577" s="2">
        <v>6.5</v>
      </c>
      <c r="P577" s="2" t="s">
        <v>2281</v>
      </c>
      <c r="Q577" s="16"/>
      <c r="R577" s="49"/>
      <c r="S577" s="93">
        <f t="shared" si="8"/>
        <v>6.24</v>
      </c>
    </row>
    <row r="578" spans="1:19" x14ac:dyDescent="0.3">
      <c r="A578" s="5">
        <v>577</v>
      </c>
      <c r="B578" s="2">
        <v>1323577</v>
      </c>
      <c r="C578" s="2" t="s">
        <v>560</v>
      </c>
      <c r="D578" s="21" t="s">
        <v>1594</v>
      </c>
      <c r="E578" s="2" t="s">
        <v>988</v>
      </c>
      <c r="F578" s="26">
        <v>8709482086</v>
      </c>
      <c r="G578" s="26" t="s">
        <v>2165</v>
      </c>
      <c r="H578" s="2" t="s">
        <v>1143</v>
      </c>
      <c r="I578" s="2"/>
      <c r="J578" s="16" t="s">
        <v>1145</v>
      </c>
      <c r="K578" s="16"/>
      <c r="L578" s="2" t="s">
        <v>8</v>
      </c>
      <c r="M578" s="16" t="s">
        <v>1636</v>
      </c>
      <c r="N578" s="16">
        <v>6.48</v>
      </c>
      <c r="O578" s="2">
        <v>6.45</v>
      </c>
      <c r="P578" s="2">
        <v>7.02</v>
      </c>
      <c r="Q578" s="16"/>
      <c r="R578" s="49"/>
      <c r="S578" s="93">
        <f t="shared" ref="S578:S631" si="9">AVERAGE(M578:P578)</f>
        <v>6.6499999999999995</v>
      </c>
    </row>
    <row r="579" spans="1:19" x14ac:dyDescent="0.3">
      <c r="A579" s="5">
        <v>578</v>
      </c>
      <c r="B579" s="2">
        <v>1323578</v>
      </c>
      <c r="C579" s="2" t="s">
        <v>561</v>
      </c>
      <c r="D579" s="21" t="s">
        <v>848</v>
      </c>
      <c r="E579" s="2" t="s">
        <v>987</v>
      </c>
      <c r="F579" s="26">
        <v>8581883424</v>
      </c>
      <c r="G579" s="26" t="s">
        <v>2166</v>
      </c>
      <c r="H579" s="2" t="s">
        <v>1143</v>
      </c>
      <c r="I579" s="2"/>
      <c r="J579" s="16" t="s">
        <v>1146</v>
      </c>
      <c r="K579" s="16"/>
      <c r="L579" s="2" t="s">
        <v>926</v>
      </c>
      <c r="M579" s="16" t="s">
        <v>1657</v>
      </c>
      <c r="N579" s="16" t="s">
        <v>1676</v>
      </c>
      <c r="O579" s="2">
        <v>6.32</v>
      </c>
      <c r="P579" s="2">
        <v>7.64</v>
      </c>
      <c r="Q579" s="16"/>
      <c r="R579" s="49"/>
      <c r="S579" s="93">
        <f t="shared" si="9"/>
        <v>6.98</v>
      </c>
    </row>
    <row r="580" spans="1:19" x14ac:dyDescent="0.3">
      <c r="A580" s="5">
        <v>579</v>
      </c>
      <c r="B580" s="2">
        <v>1323579</v>
      </c>
      <c r="C580" s="2" t="s">
        <v>940</v>
      </c>
      <c r="D580" s="21"/>
      <c r="E580" s="2"/>
      <c r="F580" s="26"/>
      <c r="G580" s="26"/>
      <c r="H580" s="2"/>
      <c r="I580" s="2"/>
      <c r="J580" s="16"/>
      <c r="K580" s="16"/>
      <c r="L580" s="2"/>
      <c r="M580" s="16"/>
      <c r="N580" s="16"/>
      <c r="O580" s="2"/>
      <c r="P580" s="2"/>
      <c r="Q580" s="16"/>
      <c r="R580" s="49"/>
      <c r="S580" s="93" t="e">
        <f t="shared" si="9"/>
        <v>#DIV/0!</v>
      </c>
    </row>
    <row r="581" spans="1:19" x14ac:dyDescent="0.3">
      <c r="A581" s="5">
        <v>580</v>
      </c>
      <c r="B581" s="2">
        <v>1323580</v>
      </c>
      <c r="C581" s="2" t="s">
        <v>562</v>
      </c>
      <c r="D581" s="2" t="s">
        <v>828</v>
      </c>
      <c r="E581" s="2" t="s">
        <v>986</v>
      </c>
      <c r="F581" s="26">
        <v>6203701013</v>
      </c>
      <c r="G581" s="26" t="s">
        <v>2167</v>
      </c>
      <c r="H581" s="2" t="s">
        <v>1143</v>
      </c>
      <c r="I581" s="2"/>
      <c r="J581" s="16" t="s">
        <v>1145</v>
      </c>
      <c r="K581" s="16"/>
      <c r="L581" s="2" t="s">
        <v>6</v>
      </c>
      <c r="M581" s="16">
        <v>7.7</v>
      </c>
      <c r="N581" s="16">
        <v>8.5500000000000007</v>
      </c>
      <c r="O581" s="2">
        <v>7.86</v>
      </c>
      <c r="P581" s="2">
        <v>8.27</v>
      </c>
      <c r="Q581" s="16"/>
      <c r="R581" s="49"/>
      <c r="S581" s="93">
        <f t="shared" si="9"/>
        <v>8.0949999999999989</v>
      </c>
    </row>
    <row r="582" spans="1:19" x14ac:dyDescent="0.3">
      <c r="A582" s="5">
        <v>581</v>
      </c>
      <c r="B582" s="2">
        <v>1323581</v>
      </c>
      <c r="C582" s="2" t="s">
        <v>563</v>
      </c>
      <c r="D582" s="21" t="s">
        <v>1595</v>
      </c>
      <c r="E582" s="2" t="s">
        <v>985</v>
      </c>
      <c r="F582" s="26">
        <v>6207867590</v>
      </c>
      <c r="G582" s="26" t="s">
        <v>2168</v>
      </c>
      <c r="H582" s="2" t="s">
        <v>1143</v>
      </c>
      <c r="I582" s="2"/>
      <c r="J582" s="16" t="s">
        <v>1145</v>
      </c>
      <c r="K582" s="16"/>
      <c r="L582" s="2" t="s">
        <v>6</v>
      </c>
      <c r="M582" s="16">
        <v>5.93</v>
      </c>
      <c r="N582" s="16">
        <v>7.05</v>
      </c>
      <c r="O582" s="2">
        <v>7.41</v>
      </c>
      <c r="P582" s="2">
        <v>7.59</v>
      </c>
      <c r="Q582" s="16"/>
      <c r="R582" s="49"/>
      <c r="S582" s="93">
        <f t="shared" si="9"/>
        <v>6.9950000000000001</v>
      </c>
    </row>
    <row r="583" spans="1:19" x14ac:dyDescent="0.3">
      <c r="A583" s="5">
        <v>582</v>
      </c>
      <c r="B583" s="2">
        <v>1323582</v>
      </c>
      <c r="C583" s="2" t="s">
        <v>564</v>
      </c>
      <c r="D583" s="21" t="s">
        <v>799</v>
      </c>
      <c r="E583" s="2" t="s">
        <v>984</v>
      </c>
      <c r="F583" s="26">
        <v>7488467280</v>
      </c>
      <c r="G583" s="26" t="s">
        <v>2169</v>
      </c>
      <c r="H583" s="2" t="s">
        <v>1143</v>
      </c>
      <c r="I583" s="2"/>
      <c r="J583" s="16" t="s">
        <v>1145</v>
      </c>
      <c r="K583" s="16"/>
      <c r="L583" s="2" t="s">
        <v>6</v>
      </c>
      <c r="M583" s="16">
        <v>5.59</v>
      </c>
      <c r="N583" s="16">
        <v>7.45</v>
      </c>
      <c r="O583" s="2" t="s">
        <v>2246</v>
      </c>
      <c r="P583" s="2">
        <v>6.95</v>
      </c>
      <c r="Q583" s="16"/>
      <c r="R583" s="49"/>
      <c r="S583" s="93">
        <f t="shared" si="9"/>
        <v>6.6633333333333331</v>
      </c>
    </row>
    <row r="584" spans="1:19" x14ac:dyDescent="0.3">
      <c r="A584" s="5">
        <v>583</v>
      </c>
      <c r="B584" s="2">
        <v>1323583</v>
      </c>
      <c r="C584" s="2" t="s">
        <v>565</v>
      </c>
      <c r="D584" s="21" t="s">
        <v>1596</v>
      </c>
      <c r="E584" s="2" t="s">
        <v>983</v>
      </c>
      <c r="F584" s="26">
        <v>6299996489</v>
      </c>
      <c r="G584" s="26" t="s">
        <v>2170</v>
      </c>
      <c r="H584" s="2" t="s">
        <v>1143</v>
      </c>
      <c r="I584" s="2"/>
      <c r="J584" s="16" t="s">
        <v>1145</v>
      </c>
      <c r="K584" s="16"/>
      <c r="L584" s="2" t="s">
        <v>6</v>
      </c>
      <c r="M584" s="16">
        <v>6.68</v>
      </c>
      <c r="N584" s="16">
        <v>8.09</v>
      </c>
      <c r="O584" s="2">
        <v>8.0500000000000007</v>
      </c>
      <c r="P584" s="2">
        <v>8.36</v>
      </c>
      <c r="Q584" s="16"/>
      <c r="R584" s="49"/>
      <c r="S584" s="93">
        <f t="shared" si="9"/>
        <v>7.7949999999999999</v>
      </c>
    </row>
    <row r="585" spans="1:19" x14ac:dyDescent="0.3">
      <c r="A585" s="5">
        <v>584</v>
      </c>
      <c r="B585" s="2">
        <v>1323584</v>
      </c>
      <c r="C585" s="2" t="s">
        <v>566</v>
      </c>
      <c r="D585" s="21" t="s">
        <v>1597</v>
      </c>
      <c r="E585" s="2" t="s">
        <v>982</v>
      </c>
      <c r="F585" s="26">
        <v>9350452011</v>
      </c>
      <c r="G585" s="26" t="s">
        <v>2171</v>
      </c>
      <c r="H585" s="2" t="s">
        <v>1138</v>
      </c>
      <c r="I585" s="2"/>
      <c r="J585" s="16" t="s">
        <v>1146</v>
      </c>
      <c r="K585" s="16"/>
      <c r="L585" s="2" t="s">
        <v>9</v>
      </c>
      <c r="M585" s="16">
        <v>8.59</v>
      </c>
      <c r="N585" s="16">
        <v>9.27</v>
      </c>
      <c r="O585" s="2">
        <v>9.59</v>
      </c>
      <c r="P585" s="2">
        <v>9.41</v>
      </c>
      <c r="Q585" s="16"/>
      <c r="R585" s="49"/>
      <c r="S585" s="93">
        <f t="shared" si="9"/>
        <v>9.2149999999999999</v>
      </c>
    </row>
    <row r="586" spans="1:19" x14ac:dyDescent="0.3">
      <c r="A586" s="5">
        <v>585</v>
      </c>
      <c r="B586" s="2">
        <v>1323585</v>
      </c>
      <c r="C586" s="2" t="s">
        <v>940</v>
      </c>
      <c r="D586" s="21"/>
      <c r="E586" s="2"/>
      <c r="F586" s="26"/>
      <c r="G586" s="26"/>
      <c r="H586" s="2" t="s">
        <v>1138</v>
      </c>
      <c r="I586" s="2"/>
      <c r="J586" s="16" t="s">
        <v>1145</v>
      </c>
      <c r="K586" s="16"/>
      <c r="L586" s="2"/>
      <c r="M586" s="16"/>
      <c r="N586" s="16"/>
      <c r="O586" s="2"/>
      <c r="P586" s="2"/>
      <c r="Q586" s="16"/>
      <c r="R586" s="49"/>
      <c r="S586" s="93" t="e">
        <f t="shared" si="9"/>
        <v>#DIV/0!</v>
      </c>
    </row>
    <row r="587" spans="1:19" x14ac:dyDescent="0.3">
      <c r="A587" s="5">
        <v>586</v>
      </c>
      <c r="B587" s="2">
        <v>1323586</v>
      </c>
      <c r="C587" s="2" t="s">
        <v>567</v>
      </c>
      <c r="D587" s="2" t="s">
        <v>1598</v>
      </c>
      <c r="E587" s="2" t="s">
        <v>668</v>
      </c>
      <c r="F587" s="26">
        <v>8053486046</v>
      </c>
      <c r="G587" s="26" t="s">
        <v>2172</v>
      </c>
      <c r="H587" s="2" t="s">
        <v>1143</v>
      </c>
      <c r="I587" s="2"/>
      <c r="J587" s="16" t="s">
        <v>1145</v>
      </c>
      <c r="K587" s="16"/>
      <c r="L587" s="2" t="s">
        <v>9</v>
      </c>
      <c r="M587" s="16">
        <v>6.59</v>
      </c>
      <c r="N587" s="16" t="s">
        <v>1664</v>
      </c>
      <c r="O587" s="2" t="s">
        <v>953</v>
      </c>
      <c r="P587" s="2" t="s">
        <v>2256</v>
      </c>
      <c r="Q587" s="16"/>
      <c r="R587" s="49"/>
      <c r="S587" s="93">
        <f t="shared" si="9"/>
        <v>6.59</v>
      </c>
    </row>
    <row r="588" spans="1:19" x14ac:dyDescent="0.3">
      <c r="A588" s="5">
        <v>587</v>
      </c>
      <c r="B588" s="2">
        <v>1323587</v>
      </c>
      <c r="C588" s="2" t="s">
        <v>568</v>
      </c>
      <c r="D588" s="21" t="s">
        <v>909</v>
      </c>
      <c r="E588" s="2" t="s">
        <v>981</v>
      </c>
      <c r="F588" s="26">
        <v>8797869992</v>
      </c>
      <c r="G588" s="26" t="s">
        <v>2173</v>
      </c>
      <c r="H588" s="2" t="s">
        <v>1143</v>
      </c>
      <c r="I588" s="2"/>
      <c r="J588" s="16" t="s">
        <v>1145</v>
      </c>
      <c r="K588" s="16"/>
      <c r="L588" s="2" t="s">
        <v>6</v>
      </c>
      <c r="M588" s="16">
        <v>6.91</v>
      </c>
      <c r="N588" s="16">
        <v>8.68</v>
      </c>
      <c r="O588" s="2">
        <v>8.77</v>
      </c>
      <c r="P588" s="2">
        <v>8.09</v>
      </c>
      <c r="Q588" s="16"/>
      <c r="R588" s="49"/>
      <c r="S588" s="93">
        <f t="shared" si="9"/>
        <v>8.1125000000000007</v>
      </c>
    </row>
    <row r="589" spans="1:19" x14ac:dyDescent="0.3">
      <c r="A589" s="5">
        <v>588</v>
      </c>
      <c r="B589" s="2">
        <v>1323588</v>
      </c>
      <c r="C589" s="2" t="s">
        <v>569</v>
      </c>
      <c r="D589" s="21" t="s">
        <v>1599</v>
      </c>
      <c r="E589" s="2" t="s">
        <v>980</v>
      </c>
      <c r="F589" s="26">
        <v>6206913925</v>
      </c>
      <c r="G589" s="26" t="s">
        <v>2174</v>
      </c>
      <c r="H589" s="2"/>
      <c r="I589" s="2"/>
      <c r="J589" s="16"/>
      <c r="K589" s="16"/>
      <c r="L589" s="2" t="s">
        <v>6</v>
      </c>
      <c r="M589" s="16">
        <v>5.8</v>
      </c>
      <c r="N589" s="16">
        <v>8.41</v>
      </c>
      <c r="O589" s="2">
        <v>8.9499999999999993</v>
      </c>
      <c r="P589" s="2">
        <v>8.59</v>
      </c>
      <c r="Q589" s="16"/>
      <c r="R589" s="49"/>
      <c r="S589" s="93">
        <f t="shared" si="9"/>
        <v>7.9375</v>
      </c>
    </row>
    <row r="590" spans="1:19" x14ac:dyDescent="0.3">
      <c r="A590" s="5">
        <v>589</v>
      </c>
      <c r="B590" s="2">
        <v>1323589</v>
      </c>
      <c r="C590" s="2" t="s">
        <v>940</v>
      </c>
      <c r="D590" s="21" t="s">
        <v>1600</v>
      </c>
      <c r="E590" s="2" t="s">
        <v>1166</v>
      </c>
      <c r="F590" s="26"/>
      <c r="G590" s="26"/>
      <c r="H590" s="2"/>
      <c r="I590" s="2"/>
      <c r="J590" s="16"/>
      <c r="K590" s="16"/>
      <c r="L590" s="2"/>
      <c r="M590" s="16" t="s">
        <v>958</v>
      </c>
      <c r="N590" s="16"/>
      <c r="O590" s="2"/>
      <c r="P590" s="2"/>
      <c r="Q590" s="16"/>
      <c r="R590" s="49"/>
      <c r="S590" s="93" t="e">
        <f t="shared" si="9"/>
        <v>#DIV/0!</v>
      </c>
    </row>
    <row r="591" spans="1:19" x14ac:dyDescent="0.3">
      <c r="A591" s="5">
        <v>590</v>
      </c>
      <c r="B591" s="2">
        <v>1323590</v>
      </c>
      <c r="C591" s="2" t="s">
        <v>570</v>
      </c>
      <c r="D591" s="2" t="s">
        <v>1601</v>
      </c>
      <c r="E591" s="2" t="s">
        <v>979</v>
      </c>
      <c r="F591" s="26">
        <v>7015717185</v>
      </c>
      <c r="G591" s="26" t="s">
        <v>2175</v>
      </c>
      <c r="H591" s="2" t="s">
        <v>1138</v>
      </c>
      <c r="I591" s="2"/>
      <c r="J591" s="16" t="s">
        <v>1146</v>
      </c>
      <c r="K591" s="16"/>
      <c r="L591" s="2" t="s">
        <v>9</v>
      </c>
      <c r="M591" s="16">
        <v>7.41</v>
      </c>
      <c r="N591" s="16">
        <v>8.02</v>
      </c>
      <c r="O591" s="2">
        <v>7.68</v>
      </c>
      <c r="P591" s="2">
        <v>7.32</v>
      </c>
      <c r="Q591" s="16"/>
      <c r="R591" s="49"/>
      <c r="S591" s="93">
        <f t="shared" si="9"/>
        <v>7.6074999999999999</v>
      </c>
    </row>
    <row r="592" spans="1:19" x14ac:dyDescent="0.3">
      <c r="A592" s="5">
        <v>591</v>
      </c>
      <c r="B592" s="2">
        <v>1323591</v>
      </c>
      <c r="C592" s="2" t="s">
        <v>940</v>
      </c>
      <c r="D592" s="21" t="s">
        <v>640</v>
      </c>
      <c r="E592" s="2" t="s">
        <v>1422</v>
      </c>
      <c r="F592" s="26"/>
      <c r="G592" s="26"/>
      <c r="H592" s="2"/>
      <c r="I592" s="2"/>
      <c r="J592" s="16"/>
      <c r="K592" s="16"/>
      <c r="L592" s="2" t="s">
        <v>9</v>
      </c>
      <c r="M592" s="16" t="s">
        <v>958</v>
      </c>
      <c r="N592" s="16"/>
      <c r="O592" s="2"/>
      <c r="P592" s="2"/>
      <c r="Q592" s="16"/>
      <c r="R592" s="49"/>
      <c r="S592" s="93" t="e">
        <f t="shared" si="9"/>
        <v>#DIV/0!</v>
      </c>
    </row>
    <row r="593" spans="1:19" x14ac:dyDescent="0.3">
      <c r="A593" s="5">
        <v>592</v>
      </c>
      <c r="B593" s="2">
        <v>1323592</v>
      </c>
      <c r="C593" s="2" t="s">
        <v>940</v>
      </c>
      <c r="D593" s="2" t="s">
        <v>1602</v>
      </c>
      <c r="E593" s="2" t="s">
        <v>1305</v>
      </c>
      <c r="F593" s="26"/>
      <c r="G593" s="26"/>
      <c r="H593" s="2"/>
      <c r="I593" s="2"/>
      <c r="J593" s="16"/>
      <c r="K593" s="16"/>
      <c r="L593" s="2"/>
      <c r="M593" s="16" t="s">
        <v>958</v>
      </c>
      <c r="N593" s="16"/>
      <c r="O593" s="2"/>
      <c r="P593" s="2"/>
      <c r="Q593" s="16"/>
      <c r="R593" s="49"/>
      <c r="S593" s="93" t="e">
        <f t="shared" si="9"/>
        <v>#DIV/0!</v>
      </c>
    </row>
    <row r="594" spans="1:19" x14ac:dyDescent="0.3">
      <c r="A594" s="5">
        <v>593</v>
      </c>
      <c r="B594" s="2">
        <v>1323593</v>
      </c>
      <c r="C594" s="2" t="s">
        <v>940</v>
      </c>
      <c r="D594" s="2"/>
      <c r="E594" s="2"/>
      <c r="F594" s="26"/>
      <c r="G594" s="26"/>
      <c r="H594" s="2"/>
      <c r="I594" s="2"/>
      <c r="J594" s="16"/>
      <c r="K594" s="16"/>
      <c r="L594" s="2"/>
      <c r="M594" s="16"/>
      <c r="N594" s="16"/>
      <c r="O594" s="2"/>
      <c r="P594" s="2"/>
      <c r="Q594" s="16"/>
      <c r="R594" s="49"/>
      <c r="S594" s="93" t="e">
        <f t="shared" si="9"/>
        <v>#DIV/0!</v>
      </c>
    </row>
    <row r="595" spans="1:19" x14ac:dyDescent="0.3">
      <c r="A595" s="5">
        <v>594</v>
      </c>
      <c r="B595" s="2">
        <v>1323594</v>
      </c>
      <c r="C595" s="2" t="s">
        <v>940</v>
      </c>
      <c r="D595" s="2" t="s">
        <v>1603</v>
      </c>
      <c r="E595" s="2" t="s">
        <v>1049</v>
      </c>
      <c r="F595" s="26"/>
      <c r="G595" s="26"/>
      <c r="H595" s="2"/>
      <c r="I595" s="2"/>
      <c r="J595" s="16"/>
      <c r="K595" s="16"/>
      <c r="L595" s="2"/>
      <c r="M595" s="16" t="s">
        <v>958</v>
      </c>
      <c r="N595" s="16"/>
      <c r="O595" s="2"/>
      <c r="P595" s="2"/>
      <c r="Q595" s="16"/>
      <c r="R595" s="49"/>
      <c r="S595" s="93" t="e">
        <f t="shared" si="9"/>
        <v>#DIV/0!</v>
      </c>
    </row>
    <row r="596" spans="1:19" x14ac:dyDescent="0.3">
      <c r="A596" s="5">
        <v>595</v>
      </c>
      <c r="B596" s="2">
        <v>1323595</v>
      </c>
      <c r="C596" s="2" t="s">
        <v>940</v>
      </c>
      <c r="D596" s="2"/>
      <c r="E596" s="2"/>
      <c r="F596" s="26"/>
      <c r="G596" s="26"/>
      <c r="H596" s="2"/>
      <c r="I596" s="2"/>
      <c r="J596" s="16"/>
      <c r="K596" s="16"/>
      <c r="L596" s="2"/>
      <c r="M596" s="16"/>
      <c r="N596" s="16"/>
      <c r="O596" s="2"/>
      <c r="P596" s="2"/>
      <c r="Q596" s="16"/>
      <c r="R596" s="49"/>
      <c r="S596" s="93" t="e">
        <f t="shared" si="9"/>
        <v>#DIV/0!</v>
      </c>
    </row>
    <row r="597" spans="1:19" x14ac:dyDescent="0.3">
      <c r="A597" s="5">
        <v>596</v>
      </c>
      <c r="B597" s="2">
        <v>1323596</v>
      </c>
      <c r="C597" s="2" t="s">
        <v>940</v>
      </c>
      <c r="D597" s="2" t="s">
        <v>1604</v>
      </c>
      <c r="E597" s="2" t="s">
        <v>1082</v>
      </c>
      <c r="F597" s="26"/>
      <c r="G597" s="26"/>
      <c r="H597" s="2"/>
      <c r="I597" s="2"/>
      <c r="J597" s="16"/>
      <c r="K597" s="16"/>
      <c r="L597" s="2"/>
      <c r="M597" s="16" t="s">
        <v>954</v>
      </c>
      <c r="N597" s="16"/>
      <c r="O597" s="2"/>
      <c r="P597" s="2"/>
      <c r="Q597" s="16"/>
      <c r="R597" s="49"/>
      <c r="S597" s="93" t="e">
        <f t="shared" si="9"/>
        <v>#DIV/0!</v>
      </c>
    </row>
    <row r="598" spans="1:19" x14ac:dyDescent="0.3">
      <c r="A598" s="5">
        <v>597</v>
      </c>
      <c r="B598" s="2">
        <v>1323597</v>
      </c>
      <c r="C598" s="2" t="s">
        <v>571</v>
      </c>
      <c r="D598" s="2" t="s">
        <v>1605</v>
      </c>
      <c r="E598" s="2" t="s">
        <v>978</v>
      </c>
      <c r="F598" s="26">
        <v>6201186871</v>
      </c>
      <c r="G598" s="26" t="s">
        <v>2176</v>
      </c>
      <c r="H598" s="2" t="s">
        <v>1144</v>
      </c>
      <c r="I598" s="2"/>
      <c r="J598" s="16" t="s">
        <v>1145</v>
      </c>
      <c r="K598" s="16"/>
      <c r="L598" s="2" t="s">
        <v>6</v>
      </c>
      <c r="M598" s="16" t="s">
        <v>1655</v>
      </c>
      <c r="N598" s="16" t="s">
        <v>1697</v>
      </c>
      <c r="O598" s="2">
        <v>6.39</v>
      </c>
      <c r="P598" s="2" t="s">
        <v>2279</v>
      </c>
      <c r="Q598" s="16"/>
      <c r="R598" s="49"/>
      <c r="S598" s="93">
        <f t="shared" si="9"/>
        <v>6.39</v>
      </c>
    </row>
    <row r="599" spans="1:19" x14ac:dyDescent="0.3">
      <c r="A599" s="5">
        <v>598</v>
      </c>
      <c r="B599" s="2">
        <v>1323598</v>
      </c>
      <c r="C599" s="2" t="s">
        <v>572</v>
      </c>
      <c r="D599" s="21" t="s">
        <v>1606</v>
      </c>
      <c r="E599" s="2" t="s">
        <v>977</v>
      </c>
      <c r="F599" s="26">
        <v>9034041313</v>
      </c>
      <c r="G599" s="26" t="s">
        <v>2177</v>
      </c>
      <c r="H599" s="2" t="s">
        <v>1140</v>
      </c>
      <c r="I599" s="2"/>
      <c r="J599" s="16" t="s">
        <v>1146</v>
      </c>
      <c r="K599" s="16"/>
      <c r="L599" s="2" t="s">
        <v>926</v>
      </c>
      <c r="M599" s="16">
        <v>6.5</v>
      </c>
      <c r="N599" s="16" t="s">
        <v>1673</v>
      </c>
      <c r="O599" s="2" t="s">
        <v>953</v>
      </c>
      <c r="P599" s="2">
        <v>7.41</v>
      </c>
      <c r="Q599" s="16"/>
      <c r="R599" s="49"/>
      <c r="S599" s="93">
        <f t="shared" si="9"/>
        <v>6.9550000000000001</v>
      </c>
    </row>
    <row r="600" spans="1:19" x14ac:dyDescent="0.3">
      <c r="A600" s="5">
        <v>599</v>
      </c>
      <c r="B600" s="2">
        <v>1323599</v>
      </c>
      <c r="C600" s="2" t="s">
        <v>573</v>
      </c>
      <c r="D600" s="15" t="s">
        <v>1607</v>
      </c>
      <c r="E600" s="2" t="s">
        <v>976</v>
      </c>
      <c r="F600" s="26">
        <v>7369021769</v>
      </c>
      <c r="G600" s="26" t="s">
        <v>2178</v>
      </c>
      <c r="H600" s="2" t="s">
        <v>1144</v>
      </c>
      <c r="I600" s="2"/>
      <c r="J600" s="16" t="s">
        <v>1145</v>
      </c>
      <c r="K600" s="16"/>
      <c r="L600" s="2" t="s">
        <v>6</v>
      </c>
      <c r="M600" s="16">
        <v>5.77</v>
      </c>
      <c r="N600" s="16">
        <v>7.64</v>
      </c>
      <c r="O600" s="2">
        <v>7.41</v>
      </c>
      <c r="P600" s="2">
        <v>6.8</v>
      </c>
      <c r="Q600" s="16"/>
      <c r="R600" s="49"/>
      <c r="S600" s="93">
        <f t="shared" si="9"/>
        <v>6.9050000000000002</v>
      </c>
    </row>
    <row r="601" spans="1:19" x14ac:dyDescent="0.3">
      <c r="A601" s="5">
        <v>600</v>
      </c>
      <c r="B601" s="2">
        <v>1323600</v>
      </c>
      <c r="C601" s="2" t="s">
        <v>574</v>
      </c>
      <c r="D601" s="21" t="s">
        <v>910</v>
      </c>
      <c r="E601" s="2" t="s">
        <v>975</v>
      </c>
      <c r="F601" s="26">
        <v>8307696109</v>
      </c>
      <c r="G601" s="26" t="s">
        <v>2179</v>
      </c>
      <c r="H601" s="2" t="s">
        <v>1140</v>
      </c>
      <c r="I601" s="2"/>
      <c r="J601" s="16" t="s">
        <v>1146</v>
      </c>
      <c r="K601" s="16"/>
      <c r="L601" s="2" t="s">
        <v>926</v>
      </c>
      <c r="M601" s="16" t="s">
        <v>1625</v>
      </c>
      <c r="N601" s="16">
        <v>6.45</v>
      </c>
      <c r="O601" s="2">
        <v>6.59</v>
      </c>
      <c r="P601" s="2">
        <v>7.23</v>
      </c>
      <c r="Q601" s="16"/>
      <c r="R601" s="49"/>
      <c r="S601" s="93">
        <f t="shared" si="9"/>
        <v>6.7566666666666668</v>
      </c>
    </row>
    <row r="602" spans="1:19" x14ac:dyDescent="0.3">
      <c r="A602" s="5">
        <v>601</v>
      </c>
      <c r="B602" s="2">
        <v>1323601</v>
      </c>
      <c r="C602" s="2" t="s">
        <v>575</v>
      </c>
      <c r="D602" s="15" t="s">
        <v>911</v>
      </c>
      <c r="E602" s="2" t="s">
        <v>974</v>
      </c>
      <c r="F602" s="26">
        <v>7696164510</v>
      </c>
      <c r="G602" s="26" t="s">
        <v>2180</v>
      </c>
      <c r="H602" s="2" t="s">
        <v>1140</v>
      </c>
      <c r="I602" s="2"/>
      <c r="J602" s="16" t="s">
        <v>1145</v>
      </c>
      <c r="K602" s="16"/>
      <c r="L602" s="2" t="s">
        <v>926</v>
      </c>
      <c r="M602" s="16">
        <v>5.89</v>
      </c>
      <c r="N602" s="16" t="s">
        <v>1662</v>
      </c>
      <c r="O602" s="2" t="s">
        <v>2208</v>
      </c>
      <c r="P602" s="2">
        <v>6.86</v>
      </c>
      <c r="Q602" s="16"/>
      <c r="R602" s="49"/>
      <c r="S602" s="93">
        <f t="shared" si="9"/>
        <v>6.375</v>
      </c>
    </row>
    <row r="603" spans="1:19" x14ac:dyDescent="0.3">
      <c r="A603" s="5">
        <v>602</v>
      </c>
      <c r="B603" s="2">
        <v>1323602</v>
      </c>
      <c r="C603" s="2" t="s">
        <v>576</v>
      </c>
      <c r="D603" s="15" t="s">
        <v>912</v>
      </c>
      <c r="E603" s="2" t="s">
        <v>973</v>
      </c>
      <c r="F603" s="26">
        <v>7488949019</v>
      </c>
      <c r="G603" s="26" t="s">
        <v>2181</v>
      </c>
      <c r="H603" s="2" t="s">
        <v>1144</v>
      </c>
      <c r="I603" s="2"/>
      <c r="J603" s="16" t="s">
        <v>1145</v>
      </c>
      <c r="K603" s="16"/>
      <c r="L603" s="2" t="s">
        <v>6</v>
      </c>
      <c r="M603" s="16" t="s">
        <v>1656</v>
      </c>
      <c r="N603" s="16">
        <v>6.73</v>
      </c>
      <c r="O603" s="2">
        <v>7.07</v>
      </c>
      <c r="P603" s="2">
        <v>6.05</v>
      </c>
      <c r="Q603" s="16"/>
      <c r="R603" s="49"/>
      <c r="S603" s="93">
        <f t="shared" si="9"/>
        <v>6.6166666666666671</v>
      </c>
    </row>
    <row r="604" spans="1:19" x14ac:dyDescent="0.3">
      <c r="A604" s="5">
        <v>603</v>
      </c>
      <c r="B604" s="2">
        <v>1323603</v>
      </c>
      <c r="C604" s="2" t="s">
        <v>577</v>
      </c>
      <c r="D604" s="21" t="s">
        <v>843</v>
      </c>
      <c r="E604" s="2" t="s">
        <v>878</v>
      </c>
      <c r="F604" s="26">
        <v>9334302561</v>
      </c>
      <c r="G604" s="26" t="s">
        <v>2182</v>
      </c>
      <c r="H604" s="2" t="s">
        <v>1144</v>
      </c>
      <c r="I604" s="2"/>
      <c r="J604" s="16" t="s">
        <v>1145</v>
      </c>
      <c r="K604" s="16"/>
      <c r="L604" s="2" t="s">
        <v>9</v>
      </c>
      <c r="M604" s="16">
        <v>7.77</v>
      </c>
      <c r="N604" s="16">
        <v>8.36</v>
      </c>
      <c r="O604" s="2" t="s">
        <v>2208</v>
      </c>
      <c r="P604" s="2">
        <v>7.93</v>
      </c>
      <c r="Q604" s="16"/>
      <c r="R604" s="49"/>
      <c r="S604" s="93">
        <f t="shared" si="9"/>
        <v>8.02</v>
      </c>
    </row>
    <row r="605" spans="1:19" x14ac:dyDescent="0.3">
      <c r="A605" s="5">
        <v>604</v>
      </c>
      <c r="B605" s="2">
        <v>1323604</v>
      </c>
      <c r="C605" s="2" t="s">
        <v>578</v>
      </c>
      <c r="D605" s="21" t="s">
        <v>827</v>
      </c>
      <c r="E605" s="2" t="s">
        <v>972</v>
      </c>
      <c r="F605" s="26">
        <v>8950407643</v>
      </c>
      <c r="G605" s="26" t="s">
        <v>2183</v>
      </c>
      <c r="H605" s="2" t="s">
        <v>1140</v>
      </c>
      <c r="I605" s="2"/>
      <c r="J605" s="16" t="s">
        <v>1146</v>
      </c>
      <c r="K605" s="16"/>
      <c r="L605" s="2" t="s">
        <v>926</v>
      </c>
      <c r="M605" s="16" t="s">
        <v>1632</v>
      </c>
      <c r="N605" s="16">
        <v>7.59</v>
      </c>
      <c r="O605" s="2" t="s">
        <v>2208</v>
      </c>
      <c r="P605" s="2">
        <v>7.64</v>
      </c>
      <c r="Q605" s="16"/>
      <c r="R605" s="49"/>
      <c r="S605" s="93">
        <f t="shared" si="9"/>
        <v>7.6150000000000002</v>
      </c>
    </row>
    <row r="606" spans="1:19" x14ac:dyDescent="0.3">
      <c r="A606" s="5">
        <v>605</v>
      </c>
      <c r="B606" s="2">
        <v>1323605</v>
      </c>
      <c r="C606" s="2" t="s">
        <v>605</v>
      </c>
      <c r="D606" s="15" t="s">
        <v>1608</v>
      </c>
      <c r="E606" s="2" t="s">
        <v>1423</v>
      </c>
      <c r="F606" s="26">
        <v>7739464983</v>
      </c>
      <c r="G606" s="26" t="s">
        <v>2184</v>
      </c>
      <c r="H606" s="2" t="s">
        <v>1140</v>
      </c>
      <c r="I606" s="2"/>
      <c r="J606" s="16" t="s">
        <v>1145</v>
      </c>
      <c r="K606" s="16"/>
      <c r="L606" s="2" t="s">
        <v>6</v>
      </c>
      <c r="M606" s="16">
        <v>7.68</v>
      </c>
      <c r="N606" s="16">
        <v>9</v>
      </c>
      <c r="O606" s="2" t="s">
        <v>2208</v>
      </c>
      <c r="P606" s="2">
        <v>8.14</v>
      </c>
      <c r="Q606" s="16"/>
      <c r="R606" s="49"/>
      <c r="S606" s="93">
        <f t="shared" si="9"/>
        <v>8.2733333333333334</v>
      </c>
    </row>
    <row r="607" spans="1:19" x14ac:dyDescent="0.3">
      <c r="A607" s="5">
        <v>606</v>
      </c>
      <c r="B607" s="2">
        <v>1323606</v>
      </c>
      <c r="C607" s="2" t="s">
        <v>579</v>
      </c>
      <c r="D607" s="15" t="s">
        <v>1609</v>
      </c>
      <c r="E607" s="2" t="s">
        <v>971</v>
      </c>
      <c r="F607" s="26">
        <v>7488386835</v>
      </c>
      <c r="G607" s="26" t="s">
        <v>2185</v>
      </c>
      <c r="H607" s="2" t="s">
        <v>1144</v>
      </c>
      <c r="I607" s="2"/>
      <c r="J607" s="16" t="s">
        <v>1145</v>
      </c>
      <c r="K607" s="16"/>
      <c r="L607" s="2" t="s">
        <v>6</v>
      </c>
      <c r="M607" s="16">
        <v>5.75</v>
      </c>
      <c r="N607" s="16" t="s">
        <v>1677</v>
      </c>
      <c r="O607" s="2">
        <v>7.32</v>
      </c>
      <c r="P607" s="2" t="s">
        <v>2253</v>
      </c>
      <c r="Q607" s="16"/>
      <c r="R607" s="49"/>
      <c r="S607" s="93">
        <f t="shared" si="9"/>
        <v>6.5350000000000001</v>
      </c>
    </row>
    <row r="608" spans="1:19" x14ac:dyDescent="0.3">
      <c r="A608" s="5">
        <v>607</v>
      </c>
      <c r="B608" s="2">
        <v>1323607</v>
      </c>
      <c r="C608" s="2" t="s">
        <v>580</v>
      </c>
      <c r="D608" s="21" t="s">
        <v>1610</v>
      </c>
      <c r="E608" s="2" t="s">
        <v>970</v>
      </c>
      <c r="F608" s="26">
        <v>7324010867</v>
      </c>
      <c r="G608" s="26" t="s">
        <v>2186</v>
      </c>
      <c r="H608" s="2" t="s">
        <v>1144</v>
      </c>
      <c r="I608" s="2"/>
      <c r="J608" s="16" t="s">
        <v>1145</v>
      </c>
      <c r="K608" s="16"/>
      <c r="L608" s="2" t="s">
        <v>6</v>
      </c>
      <c r="M608" s="16">
        <v>7</v>
      </c>
      <c r="N608" s="16">
        <v>8.0500000000000007</v>
      </c>
      <c r="O608" s="2">
        <v>9.0500000000000007</v>
      </c>
      <c r="P608" s="2">
        <v>7.36</v>
      </c>
      <c r="Q608" s="16"/>
      <c r="R608" s="49"/>
      <c r="S608" s="93">
        <f t="shared" si="9"/>
        <v>7.8650000000000002</v>
      </c>
    </row>
    <row r="609" spans="1:19" x14ac:dyDescent="0.3">
      <c r="A609" s="5">
        <v>608</v>
      </c>
      <c r="B609" s="2">
        <v>1323608</v>
      </c>
      <c r="C609" s="2" t="s">
        <v>581</v>
      </c>
      <c r="D609" s="21" t="s">
        <v>913</v>
      </c>
      <c r="E609" s="2" t="s">
        <v>969</v>
      </c>
      <c r="F609" s="26">
        <v>9306312328</v>
      </c>
      <c r="G609" s="26" t="s">
        <v>2187</v>
      </c>
      <c r="H609" s="2" t="s">
        <v>1140</v>
      </c>
      <c r="I609" s="2"/>
      <c r="J609" s="16" t="s">
        <v>1146</v>
      </c>
      <c r="K609" s="16"/>
      <c r="L609" s="2" t="s">
        <v>926</v>
      </c>
      <c r="M609" s="16">
        <v>6.2</v>
      </c>
      <c r="N609" s="16" t="s">
        <v>1687</v>
      </c>
      <c r="O609" s="2" t="s">
        <v>2247</v>
      </c>
      <c r="P609" s="2">
        <v>7.05</v>
      </c>
      <c r="Q609" s="16"/>
      <c r="R609" s="49"/>
      <c r="S609" s="93">
        <f t="shared" si="9"/>
        <v>6.625</v>
      </c>
    </row>
    <row r="610" spans="1:19" x14ac:dyDescent="0.3">
      <c r="A610" s="5">
        <v>609</v>
      </c>
      <c r="B610" s="2">
        <v>1323609</v>
      </c>
      <c r="C610" s="2" t="s">
        <v>582</v>
      </c>
      <c r="D610" s="18" t="s">
        <v>1611</v>
      </c>
      <c r="E610" s="2" t="s">
        <v>968</v>
      </c>
      <c r="F610" s="26">
        <v>8210055718</v>
      </c>
      <c r="G610" s="26" t="s">
        <v>2188</v>
      </c>
      <c r="H610" s="2" t="s">
        <v>1144</v>
      </c>
      <c r="I610" s="2"/>
      <c r="J610" s="16" t="s">
        <v>8</v>
      </c>
      <c r="K610" s="16"/>
      <c r="L610" s="2" t="s">
        <v>8</v>
      </c>
      <c r="M610" s="16">
        <v>5.93</v>
      </c>
      <c r="N610" s="16">
        <v>7.18</v>
      </c>
      <c r="O610" s="2">
        <v>7.34</v>
      </c>
      <c r="P610" s="2" t="s">
        <v>2253</v>
      </c>
      <c r="Q610" s="16"/>
      <c r="R610" s="49"/>
      <c r="S610" s="93">
        <f t="shared" si="9"/>
        <v>6.8166666666666664</v>
      </c>
    </row>
    <row r="611" spans="1:19" x14ac:dyDescent="0.3">
      <c r="A611" s="5">
        <v>610</v>
      </c>
      <c r="B611" s="2">
        <v>1323610</v>
      </c>
      <c r="C611" s="2" t="s">
        <v>583</v>
      </c>
      <c r="D611" s="21" t="s">
        <v>914</v>
      </c>
      <c r="E611" s="2" t="s">
        <v>967</v>
      </c>
      <c r="F611" s="26">
        <v>7988730695</v>
      </c>
      <c r="G611" s="26" t="s">
        <v>2189</v>
      </c>
      <c r="H611" s="2" t="s">
        <v>1140</v>
      </c>
      <c r="I611" s="2"/>
      <c r="J611" s="16" t="s">
        <v>1145</v>
      </c>
      <c r="K611" s="16"/>
      <c r="L611" s="2" t="s">
        <v>926</v>
      </c>
      <c r="M611" s="16">
        <v>7.64</v>
      </c>
      <c r="N611" s="16">
        <v>8.32</v>
      </c>
      <c r="O611" s="2" t="s">
        <v>2208</v>
      </c>
      <c r="P611" s="2">
        <v>7.55</v>
      </c>
      <c r="Q611" s="16"/>
      <c r="R611" s="49"/>
      <c r="S611" s="93">
        <f t="shared" si="9"/>
        <v>7.8366666666666669</v>
      </c>
    </row>
    <row r="612" spans="1:19" x14ac:dyDescent="0.3">
      <c r="A612" s="5">
        <v>611</v>
      </c>
      <c r="B612" s="2">
        <v>1323611</v>
      </c>
      <c r="C612" s="2" t="s">
        <v>584</v>
      </c>
      <c r="D612" s="15" t="s">
        <v>915</v>
      </c>
      <c r="E612" s="2" t="s">
        <v>966</v>
      </c>
      <c r="F612" s="26">
        <v>7494976713</v>
      </c>
      <c r="G612" s="26" t="s">
        <v>2190</v>
      </c>
      <c r="H612" s="2" t="s">
        <v>1140</v>
      </c>
      <c r="I612" s="2"/>
      <c r="J612" s="16" t="s">
        <v>1146</v>
      </c>
      <c r="K612" s="16"/>
      <c r="L612" s="2" t="s">
        <v>926</v>
      </c>
      <c r="M612" s="16">
        <v>6.75</v>
      </c>
      <c r="N612" s="16">
        <v>6.91</v>
      </c>
      <c r="O612" s="2">
        <v>6.23</v>
      </c>
      <c r="P612" s="2">
        <v>6.14</v>
      </c>
      <c r="Q612" s="16"/>
      <c r="R612" s="49"/>
      <c r="S612" s="93">
        <f t="shared" si="9"/>
        <v>6.5075000000000003</v>
      </c>
    </row>
    <row r="613" spans="1:19" x14ac:dyDescent="0.3">
      <c r="A613" s="5">
        <v>612</v>
      </c>
      <c r="B613" s="2">
        <v>1323612</v>
      </c>
      <c r="C613" s="2" t="s">
        <v>585</v>
      </c>
      <c r="D613" s="15" t="s">
        <v>916</v>
      </c>
      <c r="E613" s="2" t="s">
        <v>965</v>
      </c>
      <c r="F613" s="26">
        <v>8084003826</v>
      </c>
      <c r="G613" s="26" t="s">
        <v>2191</v>
      </c>
      <c r="H613" s="2" t="s">
        <v>1144</v>
      </c>
      <c r="I613" s="2"/>
      <c r="J613" s="16" t="s">
        <v>1145</v>
      </c>
      <c r="K613" s="16"/>
      <c r="L613" s="2" t="s">
        <v>6</v>
      </c>
      <c r="M613" s="16" t="s">
        <v>1630</v>
      </c>
      <c r="N613" s="16">
        <v>6.8</v>
      </c>
      <c r="O613" s="2">
        <v>6.05</v>
      </c>
      <c r="P613" s="2">
        <v>6.05</v>
      </c>
      <c r="Q613" s="16"/>
      <c r="R613" s="49"/>
      <c r="S613" s="93">
        <f t="shared" si="9"/>
        <v>6.3</v>
      </c>
    </row>
    <row r="614" spans="1:19" x14ac:dyDescent="0.3">
      <c r="A614" s="5">
        <v>613</v>
      </c>
      <c r="B614" s="2">
        <v>1323613</v>
      </c>
      <c r="C614" s="2" t="s">
        <v>586</v>
      </c>
      <c r="D614" s="21" t="s">
        <v>1612</v>
      </c>
      <c r="E614" s="2" t="s">
        <v>964</v>
      </c>
      <c r="F614" s="26">
        <v>6204322165</v>
      </c>
      <c r="G614" s="26" t="s">
        <v>2192</v>
      </c>
      <c r="H614" s="2" t="s">
        <v>1144</v>
      </c>
      <c r="I614" s="2"/>
      <c r="J614" s="16" t="s">
        <v>1146</v>
      </c>
      <c r="K614" s="16"/>
      <c r="L614" s="2" t="s">
        <v>9</v>
      </c>
      <c r="M614" s="16" t="s">
        <v>1625</v>
      </c>
      <c r="N614" s="16" t="s">
        <v>1664</v>
      </c>
      <c r="O614" s="2">
        <v>6.05</v>
      </c>
      <c r="P614" s="2" t="s">
        <v>2294</v>
      </c>
      <c r="Q614" s="16"/>
      <c r="R614" s="49"/>
      <c r="S614" s="93">
        <f t="shared" si="9"/>
        <v>6.05</v>
      </c>
    </row>
    <row r="615" spans="1:19" x14ac:dyDescent="0.3">
      <c r="A615" s="5">
        <v>614</v>
      </c>
      <c r="B615" s="2">
        <v>1323614</v>
      </c>
      <c r="C615" s="2" t="s">
        <v>940</v>
      </c>
      <c r="D615" s="2"/>
      <c r="E615" s="2"/>
      <c r="F615" s="26"/>
      <c r="G615" s="26"/>
      <c r="H615" s="2"/>
      <c r="I615" s="2"/>
      <c r="J615" s="16"/>
      <c r="K615" s="16"/>
      <c r="L615" s="2"/>
      <c r="M615" s="16"/>
      <c r="N615" s="16"/>
      <c r="O615" s="2"/>
      <c r="P615" s="2"/>
      <c r="Q615" s="16"/>
      <c r="R615" s="49"/>
      <c r="S615" s="93" t="e">
        <f t="shared" si="9"/>
        <v>#DIV/0!</v>
      </c>
    </row>
    <row r="616" spans="1:19" x14ac:dyDescent="0.3">
      <c r="A616" s="5">
        <v>615</v>
      </c>
      <c r="B616" s="2">
        <v>1323615</v>
      </c>
      <c r="C616" s="2" t="s">
        <v>587</v>
      </c>
      <c r="D616" s="2" t="s">
        <v>917</v>
      </c>
      <c r="E616" s="2" t="s">
        <v>963</v>
      </c>
      <c r="F616" s="26">
        <v>9812275621</v>
      </c>
      <c r="G616" s="26" t="s">
        <v>2193</v>
      </c>
      <c r="H616" s="2" t="s">
        <v>1140</v>
      </c>
      <c r="I616" s="2"/>
      <c r="J616" s="16" t="s">
        <v>1146</v>
      </c>
      <c r="K616" s="16"/>
      <c r="L616" s="2" t="s">
        <v>926</v>
      </c>
      <c r="M616" s="16" t="s">
        <v>1648</v>
      </c>
      <c r="N616" s="16">
        <v>6.32</v>
      </c>
      <c r="O616" s="2">
        <v>6.41</v>
      </c>
      <c r="P616" s="2">
        <v>5.64</v>
      </c>
      <c r="Q616" s="16"/>
      <c r="R616" s="49"/>
      <c r="S616" s="93">
        <f t="shared" si="9"/>
        <v>6.123333333333334</v>
      </c>
    </row>
    <row r="617" spans="1:19" x14ac:dyDescent="0.3">
      <c r="A617" s="5">
        <v>616</v>
      </c>
      <c r="B617" s="2">
        <v>1323616</v>
      </c>
      <c r="C617" s="2" t="s">
        <v>588</v>
      </c>
      <c r="D617" s="15" t="s">
        <v>918</v>
      </c>
      <c r="E617" s="2" t="s">
        <v>962</v>
      </c>
      <c r="F617" s="26">
        <v>7482059043</v>
      </c>
      <c r="G617" s="26" t="s">
        <v>2194</v>
      </c>
      <c r="H617" s="2" t="s">
        <v>1144</v>
      </c>
      <c r="I617" s="2"/>
      <c r="J617" s="16"/>
      <c r="K617" s="16"/>
      <c r="L617" s="2" t="s">
        <v>9</v>
      </c>
      <c r="M617" s="16" t="s">
        <v>1630</v>
      </c>
      <c r="N617" s="16">
        <v>7.18</v>
      </c>
      <c r="O617" s="2">
        <v>6.43</v>
      </c>
      <c r="P617" s="2">
        <v>6.25</v>
      </c>
      <c r="Q617" s="16"/>
      <c r="R617" s="49"/>
      <c r="S617" s="93">
        <f t="shared" si="9"/>
        <v>6.62</v>
      </c>
    </row>
    <row r="618" spans="1:19" x14ac:dyDescent="0.3">
      <c r="A618" s="5">
        <v>617</v>
      </c>
      <c r="B618" s="2">
        <v>1323617</v>
      </c>
      <c r="C618" s="2" t="s">
        <v>589</v>
      </c>
      <c r="D618" s="21" t="s">
        <v>919</v>
      </c>
      <c r="E618" s="2" t="s">
        <v>961</v>
      </c>
      <c r="F618" s="26">
        <v>7324065859</v>
      </c>
      <c r="G618" s="26" t="s">
        <v>2195</v>
      </c>
      <c r="H618" s="2" t="s">
        <v>1144</v>
      </c>
      <c r="I618" s="2"/>
      <c r="J618" s="16" t="s">
        <v>1145</v>
      </c>
      <c r="K618" s="16"/>
      <c r="L618" s="2" t="s">
        <v>9</v>
      </c>
      <c r="M618" s="16">
        <v>5.75</v>
      </c>
      <c r="N618" s="16">
        <v>7.64</v>
      </c>
      <c r="O618" s="2" t="s">
        <v>2208</v>
      </c>
      <c r="P618" s="2">
        <v>7.45</v>
      </c>
      <c r="Q618" s="16"/>
      <c r="R618" s="49"/>
      <c r="S618" s="93">
        <f t="shared" si="9"/>
        <v>6.9466666666666663</v>
      </c>
    </row>
    <row r="619" spans="1:19" x14ac:dyDescent="0.3">
      <c r="A619" s="5">
        <v>618</v>
      </c>
      <c r="B619" s="2">
        <v>1323618</v>
      </c>
      <c r="C619" s="2" t="s">
        <v>590</v>
      </c>
      <c r="D619" s="21" t="s">
        <v>1613</v>
      </c>
      <c r="E619" s="2" t="s">
        <v>960</v>
      </c>
      <c r="F619" s="26">
        <v>9931326380</v>
      </c>
      <c r="G619" s="26" t="s">
        <v>2196</v>
      </c>
      <c r="H619" s="2" t="s">
        <v>1144</v>
      </c>
      <c r="I619" s="2"/>
      <c r="J619" s="16" t="s">
        <v>1146</v>
      </c>
      <c r="K619" s="16"/>
      <c r="L619" s="2" t="s">
        <v>9</v>
      </c>
      <c r="M619" s="16" t="s">
        <v>1630</v>
      </c>
      <c r="N619" s="16">
        <v>7.32</v>
      </c>
      <c r="O619" s="2">
        <v>6.61</v>
      </c>
      <c r="P619" s="2">
        <v>6.14</v>
      </c>
      <c r="Q619" s="16"/>
      <c r="R619" s="49"/>
      <c r="S619" s="93">
        <f t="shared" si="9"/>
        <v>6.69</v>
      </c>
    </row>
    <row r="620" spans="1:19" x14ac:dyDescent="0.3">
      <c r="A620" s="5">
        <v>619</v>
      </c>
      <c r="B620" s="2">
        <v>1323619</v>
      </c>
      <c r="C620" s="2" t="s">
        <v>591</v>
      </c>
      <c r="D620" s="2" t="s">
        <v>1614</v>
      </c>
      <c r="E620" s="2" t="s">
        <v>959</v>
      </c>
      <c r="F620" s="26">
        <v>9693097672</v>
      </c>
      <c r="G620" s="26" t="s">
        <v>2197</v>
      </c>
      <c r="H620" s="2" t="s">
        <v>1144</v>
      </c>
      <c r="I620" s="2"/>
      <c r="J620" s="16" t="s">
        <v>1145</v>
      </c>
      <c r="K620" s="16"/>
      <c r="L620" s="2" t="s">
        <v>6</v>
      </c>
      <c r="M620" s="16">
        <v>6.09</v>
      </c>
      <c r="N620" s="16">
        <v>7.23</v>
      </c>
      <c r="O620" s="2">
        <v>7.23</v>
      </c>
      <c r="P620" s="2">
        <v>6.64</v>
      </c>
      <c r="Q620" s="16"/>
      <c r="R620" s="49"/>
      <c r="S620" s="93">
        <f t="shared" si="9"/>
        <v>6.7975000000000003</v>
      </c>
    </row>
    <row r="621" spans="1:19" x14ac:dyDescent="0.3">
      <c r="A621" s="5">
        <v>620</v>
      </c>
      <c r="B621" s="2">
        <v>1323620</v>
      </c>
      <c r="C621" s="2" t="s">
        <v>592</v>
      </c>
      <c r="D621" s="2" t="s">
        <v>920</v>
      </c>
      <c r="E621" s="2" t="s">
        <v>939</v>
      </c>
      <c r="F621" s="26">
        <v>9693666289</v>
      </c>
      <c r="G621" s="26" t="s">
        <v>2198</v>
      </c>
      <c r="H621" s="2" t="s">
        <v>1144</v>
      </c>
      <c r="I621" s="2"/>
      <c r="J621" s="16" t="s">
        <v>1145</v>
      </c>
      <c r="K621" s="16"/>
      <c r="L621" s="2" t="s">
        <v>6</v>
      </c>
      <c r="M621" s="16">
        <v>6.64</v>
      </c>
      <c r="N621" s="16">
        <v>7.27</v>
      </c>
      <c r="O621" s="2" t="s">
        <v>2208</v>
      </c>
      <c r="P621" s="2">
        <v>7.14</v>
      </c>
      <c r="Q621" s="16"/>
      <c r="R621" s="49"/>
      <c r="S621" s="93">
        <f t="shared" si="9"/>
        <v>7.0166666666666666</v>
      </c>
    </row>
    <row r="622" spans="1:19" x14ac:dyDescent="0.3">
      <c r="A622" s="5">
        <v>621</v>
      </c>
      <c r="B622" s="2">
        <v>1323621</v>
      </c>
      <c r="C622" s="2" t="s">
        <v>593</v>
      </c>
      <c r="D622" s="2" t="s">
        <v>921</v>
      </c>
      <c r="E622" s="2" t="s">
        <v>938</v>
      </c>
      <c r="F622" s="26">
        <v>7856912248</v>
      </c>
      <c r="G622" s="26" t="s">
        <v>2199</v>
      </c>
      <c r="H622" s="2" t="s">
        <v>1144</v>
      </c>
      <c r="I622" s="2"/>
      <c r="J622" s="16" t="s">
        <v>1145</v>
      </c>
      <c r="K622" s="16"/>
      <c r="L622" s="2" t="s">
        <v>6</v>
      </c>
      <c r="M622" s="16" t="s">
        <v>953</v>
      </c>
      <c r="N622" s="16" t="s">
        <v>953</v>
      </c>
      <c r="O622" s="2" t="s">
        <v>2208</v>
      </c>
      <c r="P622" s="2" t="s">
        <v>2298</v>
      </c>
      <c r="Q622" s="16"/>
      <c r="R622" s="49"/>
      <c r="S622" s="93" t="e">
        <f t="shared" si="9"/>
        <v>#DIV/0!</v>
      </c>
    </row>
    <row r="623" spans="1:19" x14ac:dyDescent="0.3">
      <c r="A623" s="5">
        <v>622</v>
      </c>
      <c r="B623" s="2">
        <v>1323622</v>
      </c>
      <c r="C623" s="2" t="s">
        <v>594</v>
      </c>
      <c r="D623" s="2" t="s">
        <v>819</v>
      </c>
      <c r="E623" s="2" t="s">
        <v>937</v>
      </c>
      <c r="F623" s="26">
        <v>6203629407</v>
      </c>
      <c r="G623" s="26" t="s">
        <v>2200</v>
      </c>
      <c r="H623" s="2" t="s">
        <v>1144</v>
      </c>
      <c r="I623" s="2"/>
      <c r="J623" s="16" t="s">
        <v>1146</v>
      </c>
      <c r="K623" s="16"/>
      <c r="L623" s="2" t="s">
        <v>9</v>
      </c>
      <c r="M623" s="16" t="s">
        <v>953</v>
      </c>
      <c r="N623" s="16">
        <v>7.36</v>
      </c>
      <c r="O623" s="2">
        <v>6.27</v>
      </c>
      <c r="P623" s="2">
        <v>6.36</v>
      </c>
      <c r="Q623" s="16"/>
      <c r="R623" s="49"/>
      <c r="S623" s="93">
        <f t="shared" si="9"/>
        <v>6.6633333333333331</v>
      </c>
    </row>
    <row r="624" spans="1:19" x14ac:dyDescent="0.3">
      <c r="A624" s="5">
        <v>623</v>
      </c>
      <c r="B624" s="2">
        <v>1323623</v>
      </c>
      <c r="C624" s="2" t="s">
        <v>595</v>
      </c>
      <c r="D624" s="15" t="s">
        <v>922</v>
      </c>
      <c r="E624" s="2" t="s">
        <v>936</v>
      </c>
      <c r="F624" s="26">
        <v>9334502780</v>
      </c>
      <c r="G624" s="26" t="s">
        <v>2201</v>
      </c>
      <c r="H624" s="2" t="s">
        <v>1144</v>
      </c>
      <c r="I624" s="2"/>
      <c r="J624" s="16" t="s">
        <v>1145</v>
      </c>
      <c r="K624" s="16"/>
      <c r="L624" s="2" t="s">
        <v>6</v>
      </c>
      <c r="M624" s="16" t="s">
        <v>953</v>
      </c>
      <c r="N624" s="16">
        <v>7.59</v>
      </c>
      <c r="O624" s="2">
        <v>7.32</v>
      </c>
      <c r="P624" s="2">
        <v>6.84</v>
      </c>
      <c r="Q624" s="16"/>
      <c r="R624" s="49"/>
      <c r="S624" s="93">
        <f t="shared" si="9"/>
        <v>7.25</v>
      </c>
    </row>
    <row r="625" spans="1:19" x14ac:dyDescent="0.3">
      <c r="A625" s="5">
        <v>624</v>
      </c>
      <c r="B625" s="2">
        <v>1323624</v>
      </c>
      <c r="C625" s="2" t="s">
        <v>596</v>
      </c>
      <c r="D625" s="15" t="s">
        <v>1615</v>
      </c>
      <c r="E625" s="2" t="s">
        <v>935</v>
      </c>
      <c r="F625" s="26">
        <v>7370841237</v>
      </c>
      <c r="G625" s="26" t="s">
        <v>2202</v>
      </c>
      <c r="H625" s="2" t="s">
        <v>1144</v>
      </c>
      <c r="I625" s="2"/>
      <c r="J625" s="16"/>
      <c r="K625" s="16"/>
      <c r="L625" s="2" t="s">
        <v>9</v>
      </c>
      <c r="M625" s="16" t="s">
        <v>954</v>
      </c>
      <c r="N625" s="16" t="s">
        <v>1691</v>
      </c>
      <c r="O625" s="2" t="s">
        <v>2248</v>
      </c>
      <c r="P625" s="2" t="s">
        <v>2250</v>
      </c>
      <c r="Q625" s="16"/>
      <c r="R625" s="49"/>
      <c r="S625" s="93" t="e">
        <f t="shared" si="9"/>
        <v>#DIV/0!</v>
      </c>
    </row>
    <row r="626" spans="1:19" x14ac:dyDescent="0.3">
      <c r="A626" s="5">
        <v>625</v>
      </c>
      <c r="B626" s="2">
        <v>1323625</v>
      </c>
      <c r="C626" s="2" t="s">
        <v>606</v>
      </c>
      <c r="D626" s="2" t="s">
        <v>955</v>
      </c>
      <c r="E626" s="2" t="s">
        <v>934</v>
      </c>
      <c r="F626" s="26">
        <v>8295339214</v>
      </c>
      <c r="G626" s="26" t="s">
        <v>2203</v>
      </c>
      <c r="H626" s="2" t="s">
        <v>1142</v>
      </c>
      <c r="I626" s="2"/>
      <c r="J626" s="16" t="s">
        <v>1146</v>
      </c>
      <c r="K626" s="16"/>
      <c r="L626" s="2" t="s">
        <v>926</v>
      </c>
      <c r="M626" s="16" t="s">
        <v>958</v>
      </c>
      <c r="N626" s="16">
        <v>7.02</v>
      </c>
      <c r="O626" s="2" t="s">
        <v>2220</v>
      </c>
      <c r="P626" s="2">
        <v>6.95</v>
      </c>
      <c r="Q626" s="16"/>
      <c r="R626" s="49"/>
      <c r="S626" s="93">
        <f t="shared" si="9"/>
        <v>6.9849999999999994</v>
      </c>
    </row>
    <row r="627" spans="1:19" x14ac:dyDescent="0.3">
      <c r="A627" s="5">
        <v>626</v>
      </c>
      <c r="B627" s="2">
        <v>1323626</v>
      </c>
      <c r="C627" s="2" t="s">
        <v>597</v>
      </c>
      <c r="D627" s="15" t="s">
        <v>923</v>
      </c>
      <c r="E627" s="2" t="s">
        <v>933</v>
      </c>
      <c r="F627" s="26">
        <v>8809873740</v>
      </c>
      <c r="G627" s="26" t="s">
        <v>2204</v>
      </c>
      <c r="H627" s="2" t="s">
        <v>1144</v>
      </c>
      <c r="I627" s="2"/>
      <c r="J627" s="16" t="s">
        <v>1146</v>
      </c>
      <c r="K627" s="16"/>
      <c r="L627" s="2" t="s">
        <v>9</v>
      </c>
      <c r="M627" s="16" t="s">
        <v>953</v>
      </c>
      <c r="N627" s="16" t="s">
        <v>1698</v>
      </c>
      <c r="O627" s="2" t="s">
        <v>2237</v>
      </c>
      <c r="P627" s="2" t="s">
        <v>2299</v>
      </c>
      <c r="Q627" s="16"/>
      <c r="R627" s="49"/>
      <c r="S627" s="93" t="e">
        <f t="shared" si="9"/>
        <v>#DIV/0!</v>
      </c>
    </row>
    <row r="628" spans="1:19" x14ac:dyDescent="0.3">
      <c r="A628" s="5">
        <v>627</v>
      </c>
      <c r="B628" s="2">
        <v>1323627</v>
      </c>
      <c r="C628" s="2" t="s">
        <v>598</v>
      </c>
      <c r="D628" s="2" t="s">
        <v>924</v>
      </c>
      <c r="E628" s="2" t="s">
        <v>932</v>
      </c>
      <c r="F628" s="26">
        <v>7372886944</v>
      </c>
      <c r="G628" s="26" t="s">
        <v>2205</v>
      </c>
      <c r="H628" s="2" t="s">
        <v>1142</v>
      </c>
      <c r="I628" s="2"/>
      <c r="J628" s="16" t="s">
        <v>1145</v>
      </c>
      <c r="K628" s="16"/>
      <c r="L628" s="2" t="s">
        <v>926</v>
      </c>
      <c r="M628" s="16" t="s">
        <v>1656</v>
      </c>
      <c r="N628" s="16">
        <v>7.55</v>
      </c>
      <c r="O628" s="2">
        <v>7.95</v>
      </c>
      <c r="P628" s="2">
        <v>6.64</v>
      </c>
      <c r="Q628" s="16"/>
      <c r="R628" s="49"/>
      <c r="S628" s="93">
        <f t="shared" si="9"/>
        <v>7.38</v>
      </c>
    </row>
    <row r="629" spans="1:19" x14ac:dyDescent="0.3">
      <c r="A629" s="5">
        <v>628</v>
      </c>
      <c r="B629" s="2">
        <v>1323628</v>
      </c>
      <c r="C629" s="2" t="s">
        <v>609</v>
      </c>
      <c r="D629" s="15" t="s">
        <v>877</v>
      </c>
      <c r="E629" s="2" t="s">
        <v>931</v>
      </c>
      <c r="F629" s="26">
        <v>9546144555</v>
      </c>
      <c r="G629" s="26" t="s">
        <v>2206</v>
      </c>
      <c r="H629" s="2" t="s">
        <v>1142</v>
      </c>
      <c r="I629" s="2"/>
      <c r="J629" s="16" t="s">
        <v>1145</v>
      </c>
      <c r="K629" s="16"/>
      <c r="L629" s="2" t="s">
        <v>926</v>
      </c>
      <c r="M629" s="16" t="s">
        <v>958</v>
      </c>
      <c r="N629" s="16" t="s">
        <v>958</v>
      </c>
      <c r="O629" s="2" t="s">
        <v>2208</v>
      </c>
      <c r="P629" s="2">
        <v>5.86</v>
      </c>
      <c r="Q629" s="16"/>
      <c r="R629" s="49"/>
      <c r="S629" s="93">
        <f t="shared" si="9"/>
        <v>5.86</v>
      </c>
    </row>
    <row r="630" spans="1:19" x14ac:dyDescent="0.3">
      <c r="A630" s="5">
        <v>629</v>
      </c>
      <c r="B630" s="2">
        <v>1323629</v>
      </c>
      <c r="C630" s="2" t="s">
        <v>610</v>
      </c>
      <c r="D630" s="15" t="s">
        <v>925</v>
      </c>
      <c r="E630" s="2" t="s">
        <v>930</v>
      </c>
      <c r="F630" s="26">
        <v>8986219868</v>
      </c>
      <c r="G630" s="26" t="s">
        <v>2207</v>
      </c>
      <c r="H630" s="2" t="s">
        <v>1142</v>
      </c>
      <c r="I630" s="2"/>
      <c r="J630" s="16" t="s">
        <v>1145</v>
      </c>
      <c r="K630" s="16"/>
      <c r="L630" s="2" t="s">
        <v>928</v>
      </c>
      <c r="M630" s="16" t="s">
        <v>958</v>
      </c>
      <c r="N630" s="16" t="s">
        <v>958</v>
      </c>
      <c r="O630" s="2">
        <v>6.48</v>
      </c>
      <c r="P630" s="2">
        <v>5.82</v>
      </c>
      <c r="Q630" s="16"/>
      <c r="R630" s="49"/>
      <c r="S630" s="93">
        <f t="shared" si="9"/>
        <v>6.15</v>
      </c>
    </row>
    <row r="631" spans="1:19" ht="15" thickBot="1" x14ac:dyDescent="0.35">
      <c r="A631" s="6">
        <v>630</v>
      </c>
      <c r="B631" s="7" t="s">
        <v>7</v>
      </c>
      <c r="C631" s="7" t="s">
        <v>7</v>
      </c>
      <c r="D631" s="7"/>
      <c r="E631" s="7"/>
      <c r="F631" s="27"/>
      <c r="G631" s="27"/>
      <c r="H631" s="7" t="s">
        <v>1144</v>
      </c>
      <c r="I631" s="7"/>
      <c r="J631" s="22" t="s">
        <v>1145</v>
      </c>
      <c r="K631" s="22"/>
      <c r="L631" s="22"/>
      <c r="M631" s="22"/>
      <c r="N631" s="22"/>
      <c r="O631" s="7"/>
      <c r="P631" s="7"/>
      <c r="Q631" s="22"/>
      <c r="R631" s="50"/>
      <c r="S631" s="94" t="e">
        <f t="shared" si="9"/>
        <v>#DIV/0!</v>
      </c>
    </row>
  </sheetData>
  <autoFilter ref="P1:P631" xr:uid="{00000000-0001-0000-0100-000000000000}">
    <sortState xmlns:xlrd2="http://schemas.microsoft.com/office/spreadsheetml/2017/richdata2" ref="A2:R631">
      <sortCondition ref="P1:P631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71868-A123-4CB6-A62E-1CAA050F3ED7}">
  <sheetPr codeName="Sheet4"/>
  <dimension ref="A1:H504"/>
  <sheetViews>
    <sheetView workbookViewId="0">
      <selection activeCell="C10" sqref="C10"/>
    </sheetView>
  </sheetViews>
  <sheetFormatPr defaultRowHeight="14.4" x14ac:dyDescent="0.3"/>
  <cols>
    <col min="1" max="1" width="8.88671875" style="37"/>
    <col min="2" max="2" width="11.77734375" bestFit="1" customWidth="1"/>
    <col min="3" max="3" width="32.88671875" bestFit="1" customWidth="1"/>
    <col min="4" max="4" width="30" bestFit="1" customWidth="1"/>
    <col min="5" max="5" width="11" bestFit="1" customWidth="1"/>
    <col min="6" max="6" width="36.21875" bestFit="1" customWidth="1"/>
    <col min="8" max="8" width="8.88671875" style="43"/>
  </cols>
  <sheetData>
    <row r="1" spans="1:8" x14ac:dyDescent="0.3">
      <c r="A1" s="2">
        <v>1323132</v>
      </c>
      <c r="B1" s="2" t="s">
        <v>141</v>
      </c>
      <c r="C1" s="2" t="s">
        <v>681</v>
      </c>
      <c r="D1" s="2" t="s">
        <v>1197</v>
      </c>
      <c r="E1" s="2">
        <v>8813082298</v>
      </c>
      <c r="F1" s="2" t="s">
        <v>1805</v>
      </c>
      <c r="G1" s="2" t="s">
        <v>1139</v>
      </c>
      <c r="H1" s="44">
        <f>VLOOKUP($A1,'BCA-2023-2026'!$B$2:$S$641,18,FALSE)</f>
        <v>9.5225000000000009</v>
      </c>
    </row>
    <row r="2" spans="1:8" x14ac:dyDescent="0.3">
      <c r="A2" s="2">
        <v>1323185</v>
      </c>
      <c r="B2" s="2" t="s">
        <v>192</v>
      </c>
      <c r="C2" s="2" t="s">
        <v>1487</v>
      </c>
      <c r="D2" s="2" t="s">
        <v>1231</v>
      </c>
      <c r="E2" s="2">
        <v>8295537457</v>
      </c>
      <c r="F2" s="2" t="s">
        <v>1850</v>
      </c>
      <c r="G2" s="2" t="s">
        <v>1140</v>
      </c>
      <c r="H2" s="44">
        <f>VLOOKUP($A2,'BCA-2023-2026'!$B$2:$S$641,18,FALSE)</f>
        <v>9.4550000000000001</v>
      </c>
    </row>
    <row r="3" spans="1:8" x14ac:dyDescent="0.3">
      <c r="A3" s="2">
        <v>1323272</v>
      </c>
      <c r="B3" s="2" t="s">
        <v>279</v>
      </c>
      <c r="C3" s="2" t="s">
        <v>739</v>
      </c>
      <c r="D3" s="2" t="s">
        <v>613</v>
      </c>
      <c r="E3" s="2">
        <v>9518694402</v>
      </c>
      <c r="F3" s="2" t="s">
        <v>1928</v>
      </c>
      <c r="G3" s="2" t="s">
        <v>1141</v>
      </c>
      <c r="H3" s="44">
        <f>VLOOKUP($A3,'BCA-2023-2026'!$B$2:$S$641,18,FALSE)</f>
        <v>9.3975000000000009</v>
      </c>
    </row>
    <row r="4" spans="1:8" x14ac:dyDescent="0.3">
      <c r="A4" s="2">
        <v>1323090</v>
      </c>
      <c r="B4" s="2" t="s">
        <v>99</v>
      </c>
      <c r="C4" s="2" t="s">
        <v>659</v>
      </c>
      <c r="D4" s="2" t="s">
        <v>1167</v>
      </c>
      <c r="E4" s="2">
        <v>9416291170</v>
      </c>
      <c r="F4" s="2" t="s">
        <v>1771</v>
      </c>
      <c r="G4" s="2" t="s">
        <v>1139</v>
      </c>
      <c r="H4" s="44">
        <f>VLOOKUP($A4,'BCA-2023-2026'!$B$2:$S$641,18,FALSE)</f>
        <v>9.24</v>
      </c>
    </row>
    <row r="5" spans="1:8" x14ac:dyDescent="0.3">
      <c r="A5" s="2">
        <v>1323044</v>
      </c>
      <c r="B5" s="2" t="s">
        <v>56</v>
      </c>
      <c r="C5" s="2" t="s">
        <v>634</v>
      </c>
      <c r="D5" s="2" t="s">
        <v>1118</v>
      </c>
      <c r="E5" s="2">
        <v>8278476658</v>
      </c>
      <c r="F5" s="2" t="s">
        <v>1733</v>
      </c>
      <c r="G5" s="2" t="s">
        <v>1138</v>
      </c>
      <c r="H5" s="44">
        <f>VLOOKUP($A5,'BCA-2023-2026'!$B$2:$S$641,18,FALSE)</f>
        <v>9.2175000000000011</v>
      </c>
    </row>
    <row r="6" spans="1:8" x14ac:dyDescent="0.3">
      <c r="A6" s="2">
        <v>1323584</v>
      </c>
      <c r="B6" s="2" t="s">
        <v>566</v>
      </c>
      <c r="C6" s="2" t="s">
        <v>1597</v>
      </c>
      <c r="D6" s="2" t="s">
        <v>982</v>
      </c>
      <c r="E6" s="2">
        <v>9350452011</v>
      </c>
      <c r="F6" s="2" t="s">
        <v>2171</v>
      </c>
      <c r="G6" s="2" t="s">
        <v>1138</v>
      </c>
      <c r="H6" s="44">
        <f>VLOOKUP($A6,'BCA-2023-2026'!$B$2:$S$641,18,FALSE)</f>
        <v>9.2149999999999999</v>
      </c>
    </row>
    <row r="7" spans="1:8" x14ac:dyDescent="0.3">
      <c r="A7" s="2">
        <v>1323262</v>
      </c>
      <c r="B7" s="2" t="s">
        <v>269</v>
      </c>
      <c r="C7" s="2" t="s">
        <v>1518</v>
      </c>
      <c r="D7" s="2" t="s">
        <v>1113</v>
      </c>
      <c r="E7" s="2">
        <v>9350441656</v>
      </c>
      <c r="F7" s="2" t="s">
        <v>1919</v>
      </c>
      <c r="G7" s="2" t="s">
        <v>1141</v>
      </c>
      <c r="H7" s="44">
        <f>VLOOKUP($A7,'BCA-2023-2026'!$B$2:$S$641,18,FALSE)</f>
        <v>9.192499999999999</v>
      </c>
    </row>
    <row r="8" spans="1:8" x14ac:dyDescent="0.3">
      <c r="A8" s="2">
        <v>1323153</v>
      </c>
      <c r="B8" s="2" t="s">
        <v>162</v>
      </c>
      <c r="C8" s="2" t="s">
        <v>1474</v>
      </c>
      <c r="D8" s="2" t="s">
        <v>1210</v>
      </c>
      <c r="E8" s="2"/>
      <c r="F8" s="2"/>
      <c r="G8" s="2"/>
      <c r="H8" s="44">
        <f>VLOOKUP($A8,'BCA-2023-2026'!$B$2:$S$641,18,FALSE)</f>
        <v>9.14</v>
      </c>
    </row>
    <row r="9" spans="1:8" x14ac:dyDescent="0.3">
      <c r="A9" s="2">
        <v>1323031</v>
      </c>
      <c r="B9" s="2" t="s">
        <v>44</v>
      </c>
      <c r="C9" s="2" t="s">
        <v>628</v>
      </c>
      <c r="D9" s="2" t="s">
        <v>1107</v>
      </c>
      <c r="E9" s="2">
        <v>7988585307</v>
      </c>
      <c r="F9" s="2" t="s">
        <v>1722</v>
      </c>
      <c r="G9" s="2" t="s">
        <v>1138</v>
      </c>
      <c r="H9" s="44">
        <f>VLOOKUP($A9,'BCA-2023-2026'!$B$2:$S$641,18,FALSE)</f>
        <v>9.1349999999999998</v>
      </c>
    </row>
    <row r="10" spans="1:8" x14ac:dyDescent="0.3">
      <c r="A10" s="2">
        <v>1323193</v>
      </c>
      <c r="B10" s="2" t="s">
        <v>200</v>
      </c>
      <c r="C10" s="2" t="s">
        <v>638</v>
      </c>
      <c r="D10" s="2" t="s">
        <v>1184</v>
      </c>
      <c r="E10" s="2">
        <v>8607129425</v>
      </c>
      <c r="F10" s="2" t="s">
        <v>1858</v>
      </c>
      <c r="G10" s="2" t="s">
        <v>1140</v>
      </c>
      <c r="H10" s="44">
        <f>VLOOKUP($A10,'BCA-2023-2026'!$B$2:$S$641,18,FALSE)</f>
        <v>9.1275000000000013</v>
      </c>
    </row>
    <row r="11" spans="1:8" x14ac:dyDescent="0.3">
      <c r="A11" s="2">
        <v>1323213</v>
      </c>
      <c r="B11" s="2" t="s">
        <v>220</v>
      </c>
      <c r="C11" s="2" t="s">
        <v>715</v>
      </c>
      <c r="D11" s="2" t="s">
        <v>1253</v>
      </c>
      <c r="E11" s="2">
        <v>9350243679</v>
      </c>
      <c r="F11" s="2" t="s">
        <v>1877</v>
      </c>
      <c r="G11" s="2" t="s">
        <v>1140</v>
      </c>
      <c r="H11" s="44">
        <f>VLOOKUP($A11,'BCA-2023-2026'!$B$2:$S$641,18,FALSE)</f>
        <v>9.1150000000000002</v>
      </c>
    </row>
    <row r="12" spans="1:8" x14ac:dyDescent="0.3">
      <c r="A12" s="2">
        <v>1323113</v>
      </c>
      <c r="B12" s="2" t="s">
        <v>122</v>
      </c>
      <c r="C12" s="2" t="s">
        <v>673</v>
      </c>
      <c r="D12" s="2" t="s">
        <v>1183</v>
      </c>
      <c r="E12" s="2">
        <v>9416466539</v>
      </c>
      <c r="F12" s="2" t="s">
        <v>1791</v>
      </c>
      <c r="G12" s="2" t="s">
        <v>1139</v>
      </c>
      <c r="H12" s="44">
        <f>VLOOKUP($A12,'BCA-2023-2026'!$B$2:$S$641,18,FALSE)</f>
        <v>9.1125000000000007</v>
      </c>
    </row>
    <row r="13" spans="1:8" x14ac:dyDescent="0.3">
      <c r="A13" s="2">
        <v>1323130</v>
      </c>
      <c r="B13" s="2" t="s">
        <v>139</v>
      </c>
      <c r="C13" s="2" t="s">
        <v>679</v>
      </c>
      <c r="D13" s="2" t="s">
        <v>1082</v>
      </c>
      <c r="E13" s="2">
        <v>8295770509</v>
      </c>
      <c r="F13" s="2" t="s">
        <v>1803</v>
      </c>
      <c r="G13" s="2" t="s">
        <v>1139</v>
      </c>
      <c r="H13" s="44">
        <f>VLOOKUP($A13,'BCA-2023-2026'!$B$2:$S$641,18,FALSE)</f>
        <v>9.1024999999999991</v>
      </c>
    </row>
    <row r="14" spans="1:8" x14ac:dyDescent="0.3">
      <c r="A14" s="2">
        <v>1323012</v>
      </c>
      <c r="B14" s="2" t="s">
        <v>26</v>
      </c>
      <c r="C14" s="2" t="s">
        <v>1429</v>
      </c>
      <c r="D14" s="2" t="s">
        <v>1094</v>
      </c>
      <c r="E14" s="2">
        <v>7056369950</v>
      </c>
      <c r="F14" s="2" t="s">
        <v>1708</v>
      </c>
      <c r="G14" s="2" t="s">
        <v>1138</v>
      </c>
      <c r="H14" s="44">
        <f>VLOOKUP($A14,'BCA-2023-2026'!$B$2:$S$641,18,FALSE)</f>
        <v>9.09</v>
      </c>
    </row>
    <row r="15" spans="1:8" x14ac:dyDescent="0.3">
      <c r="A15" s="2">
        <v>1323192</v>
      </c>
      <c r="B15" s="2" t="s">
        <v>199</v>
      </c>
      <c r="C15" s="2" t="s">
        <v>708</v>
      </c>
      <c r="D15" s="2" t="s">
        <v>1237</v>
      </c>
      <c r="E15" s="2">
        <v>8607122807</v>
      </c>
      <c r="F15" s="2" t="s">
        <v>1857</v>
      </c>
      <c r="G15" s="2" t="s">
        <v>1140</v>
      </c>
      <c r="H15" s="44">
        <f>VLOOKUP($A15,'BCA-2023-2026'!$B$2:$S$641,18,FALSE)</f>
        <v>9.09</v>
      </c>
    </row>
    <row r="16" spans="1:8" x14ac:dyDescent="0.3">
      <c r="A16" s="2">
        <v>1323172</v>
      </c>
      <c r="B16" s="2" t="s">
        <v>180</v>
      </c>
      <c r="C16" s="2" t="s">
        <v>699</v>
      </c>
      <c r="D16" s="2" t="s">
        <v>963</v>
      </c>
      <c r="E16" s="2">
        <v>7496851238</v>
      </c>
      <c r="F16" s="2" t="s">
        <v>1840</v>
      </c>
      <c r="G16" s="2" t="s">
        <v>1140</v>
      </c>
      <c r="H16" s="44">
        <f>VLOOKUP($A16,'BCA-2023-2026'!$B$2:$S$641,18,FALSE)</f>
        <v>9.08</v>
      </c>
    </row>
    <row r="17" spans="1:8" x14ac:dyDescent="0.3">
      <c r="A17" s="2">
        <v>1323446</v>
      </c>
      <c r="B17" s="2" t="s">
        <v>438</v>
      </c>
      <c r="C17" s="2" t="s">
        <v>825</v>
      </c>
      <c r="D17" s="2" t="s">
        <v>1087</v>
      </c>
      <c r="E17" s="2">
        <v>8708547161</v>
      </c>
      <c r="F17" s="2" t="s">
        <v>2060</v>
      </c>
      <c r="G17" s="2" t="s">
        <v>1143</v>
      </c>
      <c r="H17" s="44">
        <f>VLOOKUP($A17,'BCA-2023-2026'!$B$2:$S$641,18,FALSE)</f>
        <v>9.0633333333333344</v>
      </c>
    </row>
    <row r="18" spans="1:8" x14ac:dyDescent="0.3">
      <c r="A18" s="2">
        <v>1323051</v>
      </c>
      <c r="B18" s="2" t="s">
        <v>63</v>
      </c>
      <c r="C18" s="2" t="s">
        <v>636</v>
      </c>
      <c r="D18" s="2" t="s">
        <v>1124</v>
      </c>
      <c r="E18" s="2">
        <v>8307749948</v>
      </c>
      <c r="F18" s="2" t="s">
        <v>1740</v>
      </c>
      <c r="G18" s="2" t="s">
        <v>1138</v>
      </c>
      <c r="H18" s="44">
        <f>VLOOKUP($A18,'BCA-2023-2026'!$B$2:$S$641,18,FALSE)</f>
        <v>9.01</v>
      </c>
    </row>
    <row r="19" spans="1:8" x14ac:dyDescent="0.3">
      <c r="A19" s="2">
        <v>1323259</v>
      </c>
      <c r="B19" s="2" t="s">
        <v>266</v>
      </c>
      <c r="C19" s="2" t="s">
        <v>735</v>
      </c>
      <c r="D19" s="2" t="s">
        <v>1166</v>
      </c>
      <c r="E19" s="2">
        <v>7988486930</v>
      </c>
      <c r="F19" s="2" t="s">
        <v>1916</v>
      </c>
      <c r="G19" s="2" t="s">
        <v>1141</v>
      </c>
      <c r="H19" s="44">
        <f>VLOOKUP($A19,'BCA-2023-2026'!$B$2:$S$641,18,FALSE)</f>
        <v>8.9875000000000007</v>
      </c>
    </row>
    <row r="20" spans="1:8" x14ac:dyDescent="0.3">
      <c r="A20" s="2">
        <v>1323114</v>
      </c>
      <c r="B20" s="2" t="s">
        <v>123</v>
      </c>
      <c r="C20" s="2" t="s">
        <v>957</v>
      </c>
      <c r="D20" s="2" t="s">
        <v>1184</v>
      </c>
      <c r="E20" s="2">
        <v>9896088313</v>
      </c>
      <c r="F20" s="2" t="s">
        <v>1792</v>
      </c>
      <c r="G20" s="2" t="s">
        <v>1139</v>
      </c>
      <c r="H20" s="44">
        <f>VLOOKUP($A20,'BCA-2023-2026'!$B$2:$S$641,18,FALSE)</f>
        <v>8.9774999999999991</v>
      </c>
    </row>
    <row r="21" spans="1:8" x14ac:dyDescent="0.3">
      <c r="A21" s="2">
        <v>1323409</v>
      </c>
      <c r="B21" s="2" t="s">
        <v>407</v>
      </c>
      <c r="C21" s="2" t="s">
        <v>800</v>
      </c>
      <c r="D21" s="2" t="s">
        <v>1378</v>
      </c>
      <c r="E21" s="2">
        <v>7360847928</v>
      </c>
      <c r="F21" s="2" t="s">
        <v>2033</v>
      </c>
      <c r="G21" s="2" t="s">
        <v>1143</v>
      </c>
      <c r="H21" s="44">
        <f>VLOOKUP($A21,'BCA-2023-2026'!$B$2:$S$641,18,FALSE)</f>
        <v>8.932500000000001</v>
      </c>
    </row>
    <row r="22" spans="1:8" x14ac:dyDescent="0.3">
      <c r="A22" s="2">
        <v>1323142</v>
      </c>
      <c r="B22" s="2" t="s">
        <v>151</v>
      </c>
      <c r="C22" s="2" t="s">
        <v>686</v>
      </c>
      <c r="D22" s="2" t="s">
        <v>1202</v>
      </c>
      <c r="E22" s="2">
        <v>9896535013</v>
      </c>
      <c r="F22" s="2" t="s">
        <v>1814</v>
      </c>
      <c r="G22" s="2" t="s">
        <v>1139</v>
      </c>
      <c r="H22" s="44">
        <f>VLOOKUP($A22,'BCA-2023-2026'!$B$2:$S$641,18,FALSE)</f>
        <v>8.9</v>
      </c>
    </row>
    <row r="23" spans="1:8" x14ac:dyDescent="0.3">
      <c r="A23" s="2">
        <v>1323461</v>
      </c>
      <c r="B23" s="2" t="s">
        <v>453</v>
      </c>
      <c r="C23" s="2" t="s">
        <v>839</v>
      </c>
      <c r="D23" s="2" t="s">
        <v>1076</v>
      </c>
      <c r="E23" s="2">
        <v>7783878548</v>
      </c>
      <c r="F23" s="2" t="s">
        <v>2071</v>
      </c>
      <c r="G23" s="2" t="s">
        <v>1143</v>
      </c>
      <c r="H23" s="44">
        <f>VLOOKUP($A23,'BCA-2023-2026'!$B$2:$S$641,18,FALSE)</f>
        <v>8.8849999999999998</v>
      </c>
    </row>
    <row r="24" spans="1:8" x14ac:dyDescent="0.3">
      <c r="A24" s="2">
        <v>1323178</v>
      </c>
      <c r="B24" s="2" t="s">
        <v>185</v>
      </c>
      <c r="C24" s="2" t="s">
        <v>704</v>
      </c>
      <c r="D24" s="2" t="s">
        <v>1227</v>
      </c>
      <c r="E24" s="2">
        <v>8053438680</v>
      </c>
      <c r="F24" s="2" t="s">
        <v>1845</v>
      </c>
      <c r="G24" s="2" t="s">
        <v>1140</v>
      </c>
      <c r="H24" s="44">
        <f>VLOOKUP($A24,'BCA-2023-2026'!$B$2:$S$641,18,FALSE)</f>
        <v>8.8524999999999991</v>
      </c>
    </row>
    <row r="25" spans="1:8" x14ac:dyDescent="0.3">
      <c r="A25" s="2">
        <v>1323575</v>
      </c>
      <c r="B25" s="2" t="s">
        <v>604</v>
      </c>
      <c r="C25" s="2" t="s">
        <v>1593</v>
      </c>
      <c r="D25" s="2" t="s">
        <v>990</v>
      </c>
      <c r="E25" s="2">
        <v>9815007067</v>
      </c>
      <c r="F25" s="2" t="s">
        <v>2163</v>
      </c>
      <c r="G25" s="2" t="s">
        <v>1138</v>
      </c>
      <c r="H25" s="44">
        <f>VLOOKUP($A25,'BCA-2023-2026'!$B$2:$S$641,18,FALSE)</f>
        <v>8.8524999999999991</v>
      </c>
    </row>
    <row r="26" spans="1:8" x14ac:dyDescent="0.3">
      <c r="A26" s="2">
        <v>1323019</v>
      </c>
      <c r="B26" s="2" t="s">
        <v>33</v>
      </c>
      <c r="C26" s="2" t="s">
        <v>620</v>
      </c>
      <c r="D26" s="2" t="s">
        <v>1099</v>
      </c>
      <c r="E26" s="2">
        <v>7404285548</v>
      </c>
      <c r="F26" s="2" t="s">
        <v>1713</v>
      </c>
      <c r="G26" s="2" t="s">
        <v>1138</v>
      </c>
      <c r="H26" s="44">
        <f>VLOOKUP($A26,'BCA-2023-2026'!$B$2:$S$641,18,FALSE)</f>
        <v>8.8425000000000011</v>
      </c>
    </row>
    <row r="27" spans="1:8" x14ac:dyDescent="0.3">
      <c r="A27" s="2">
        <v>1323157</v>
      </c>
      <c r="B27" s="2" t="s">
        <v>166</v>
      </c>
      <c r="C27" s="2" t="s">
        <v>1476</v>
      </c>
      <c r="D27" s="2" t="s">
        <v>1214</v>
      </c>
      <c r="E27" s="2">
        <v>9992851877</v>
      </c>
      <c r="F27" s="2" t="s">
        <v>1828</v>
      </c>
      <c r="G27" s="2" t="s">
        <v>1139</v>
      </c>
      <c r="H27" s="44">
        <f>VLOOKUP($A27,'BCA-2023-2026'!$B$2:$S$641,18,FALSE)</f>
        <v>8.84</v>
      </c>
    </row>
    <row r="28" spans="1:8" x14ac:dyDescent="0.3">
      <c r="A28" s="2">
        <v>1323077</v>
      </c>
      <c r="B28" s="2" t="s">
        <v>86</v>
      </c>
      <c r="C28" s="2" t="s">
        <v>1448</v>
      </c>
      <c r="D28" s="2" t="s">
        <v>1156</v>
      </c>
      <c r="E28" s="2">
        <v>9153874994</v>
      </c>
      <c r="F28" s="2" t="s">
        <v>1760</v>
      </c>
      <c r="G28" s="2" t="s">
        <v>1138</v>
      </c>
      <c r="H28" s="44">
        <f>VLOOKUP($A28,'BCA-2023-2026'!$B$2:$S$641,18,FALSE)</f>
        <v>8.83</v>
      </c>
    </row>
    <row r="29" spans="1:8" x14ac:dyDescent="0.3">
      <c r="A29" s="2">
        <v>1323143</v>
      </c>
      <c r="B29" s="2" t="s">
        <v>152</v>
      </c>
      <c r="C29" s="2" t="s">
        <v>687</v>
      </c>
      <c r="D29" s="2" t="s">
        <v>1203</v>
      </c>
      <c r="E29" s="2">
        <v>8278112112</v>
      </c>
      <c r="F29" s="2" t="s">
        <v>1815</v>
      </c>
      <c r="G29" s="2" t="s">
        <v>1139</v>
      </c>
      <c r="H29" s="44">
        <f>VLOOKUP($A29,'BCA-2023-2026'!$B$2:$S$641,18,FALSE)</f>
        <v>8.817499999999999</v>
      </c>
    </row>
    <row r="30" spans="1:8" x14ac:dyDescent="0.3">
      <c r="A30" s="2">
        <v>1323005</v>
      </c>
      <c r="B30" s="2" t="s">
        <v>19</v>
      </c>
      <c r="C30" s="2" t="s">
        <v>1426</v>
      </c>
      <c r="D30" s="2" t="s">
        <v>1149</v>
      </c>
      <c r="E30" s="2"/>
      <c r="F30" s="2"/>
      <c r="G30" s="2"/>
      <c r="H30" s="44">
        <f>VLOOKUP($A30,'BCA-2023-2026'!$B$2:$S$641,18,FALSE)</f>
        <v>8.77</v>
      </c>
    </row>
    <row r="31" spans="1:8" x14ac:dyDescent="0.3">
      <c r="A31" s="2">
        <v>1323065</v>
      </c>
      <c r="B31" s="2" t="s">
        <v>76</v>
      </c>
      <c r="C31" s="2" t="s">
        <v>647</v>
      </c>
      <c r="D31" s="2" t="s">
        <v>1134</v>
      </c>
      <c r="E31" s="2">
        <v>8950548142</v>
      </c>
      <c r="F31" s="2" t="s">
        <v>1753</v>
      </c>
      <c r="G31" s="2" t="s">
        <v>1138</v>
      </c>
      <c r="H31" s="44">
        <f>VLOOKUP($A31,'BCA-2023-2026'!$B$2:$S$641,18,FALSE)</f>
        <v>8.76</v>
      </c>
    </row>
    <row r="32" spans="1:8" x14ac:dyDescent="0.3">
      <c r="A32" s="2">
        <v>1323195</v>
      </c>
      <c r="B32" s="2" t="s">
        <v>202</v>
      </c>
      <c r="C32" s="2" t="s">
        <v>654</v>
      </c>
      <c r="D32" s="2" t="s">
        <v>1128</v>
      </c>
      <c r="E32" s="2">
        <v>8684075586</v>
      </c>
      <c r="F32" s="2" t="s">
        <v>1860</v>
      </c>
      <c r="G32" s="2" t="s">
        <v>1140</v>
      </c>
      <c r="H32" s="44">
        <f>VLOOKUP($A32,'BCA-2023-2026'!$B$2:$S$641,18,FALSE)</f>
        <v>8.74</v>
      </c>
    </row>
    <row r="33" spans="1:8" x14ac:dyDescent="0.3">
      <c r="A33" s="2">
        <v>1323183</v>
      </c>
      <c r="B33" s="2" t="s">
        <v>190</v>
      </c>
      <c r="C33" s="2" t="s">
        <v>1485</v>
      </c>
      <c r="D33" s="2" t="s">
        <v>1210</v>
      </c>
      <c r="E33" s="2">
        <v>8295056852</v>
      </c>
      <c r="F33" s="2" t="s">
        <v>1849</v>
      </c>
      <c r="G33" s="2" t="s">
        <v>1140</v>
      </c>
      <c r="H33" s="44">
        <f>VLOOKUP($A33,'BCA-2023-2026'!$B$2:$S$641,18,FALSE)</f>
        <v>8.7375000000000007</v>
      </c>
    </row>
    <row r="34" spans="1:8" x14ac:dyDescent="0.3">
      <c r="A34" s="2">
        <v>1323013</v>
      </c>
      <c r="B34" s="2" t="s">
        <v>27</v>
      </c>
      <c r="C34" s="2" t="s">
        <v>1430</v>
      </c>
      <c r="D34" s="2" t="s">
        <v>1150</v>
      </c>
      <c r="E34" s="2"/>
      <c r="F34" s="2"/>
      <c r="G34" s="2"/>
      <c r="H34" s="44">
        <f>VLOOKUP($A34,'BCA-2023-2026'!$B$2:$S$641,18,FALSE)</f>
        <v>8.73</v>
      </c>
    </row>
    <row r="35" spans="1:8" x14ac:dyDescent="0.3">
      <c r="A35" s="2">
        <v>1323188</v>
      </c>
      <c r="B35" s="2" t="s">
        <v>195</v>
      </c>
      <c r="C35" s="2" t="s">
        <v>1489</v>
      </c>
      <c r="D35" s="2" t="s">
        <v>1233</v>
      </c>
      <c r="E35" s="2">
        <v>8307935954</v>
      </c>
      <c r="F35" s="2" t="s">
        <v>1853</v>
      </c>
      <c r="G35" s="2" t="s">
        <v>1140</v>
      </c>
      <c r="H35" s="44">
        <f>VLOOKUP($A35,'BCA-2023-2026'!$B$2:$S$641,18,FALSE)</f>
        <v>8.7025000000000006</v>
      </c>
    </row>
    <row r="36" spans="1:8" x14ac:dyDescent="0.3">
      <c r="A36" s="2">
        <v>1323377</v>
      </c>
      <c r="B36" s="2" t="s">
        <v>375</v>
      </c>
      <c r="C36" s="2" t="s">
        <v>780</v>
      </c>
      <c r="D36" s="2" t="s">
        <v>916</v>
      </c>
      <c r="E36" s="2">
        <v>7827476472</v>
      </c>
      <c r="F36" s="2" t="s">
        <v>2010</v>
      </c>
      <c r="G36" s="2" t="s">
        <v>1142</v>
      </c>
      <c r="H36" s="44">
        <f>VLOOKUP($A36,'BCA-2023-2026'!$B$2:$S$641,18,FALSE)</f>
        <v>8.6966666666666672</v>
      </c>
    </row>
    <row r="37" spans="1:8" x14ac:dyDescent="0.3">
      <c r="A37" s="2">
        <v>1323566</v>
      </c>
      <c r="B37" s="2" t="s">
        <v>551</v>
      </c>
      <c r="C37" s="2" t="s">
        <v>907</v>
      </c>
      <c r="D37" s="2" t="s">
        <v>997</v>
      </c>
      <c r="E37" s="2">
        <v>9835819778</v>
      </c>
      <c r="F37" s="2" t="s">
        <v>2156</v>
      </c>
      <c r="G37" s="2" t="s">
        <v>1143</v>
      </c>
      <c r="H37" s="44">
        <f>VLOOKUP($A37,'BCA-2023-2026'!$B$2:$S$641,18,FALSE)</f>
        <v>8.65</v>
      </c>
    </row>
    <row r="38" spans="1:8" x14ac:dyDescent="0.3">
      <c r="A38" s="2">
        <v>1323182</v>
      </c>
      <c r="B38" s="2" t="s">
        <v>189</v>
      </c>
      <c r="C38" s="2" t="s">
        <v>706</v>
      </c>
      <c r="D38" s="2" t="s">
        <v>1229</v>
      </c>
      <c r="E38" s="2">
        <v>8168673148</v>
      </c>
      <c r="F38" s="2" t="s">
        <v>1848</v>
      </c>
      <c r="G38" s="2" t="s">
        <v>1140</v>
      </c>
      <c r="H38" s="44">
        <f>VLOOKUP($A38,'BCA-2023-2026'!$B$2:$S$641,18,FALSE)</f>
        <v>8.6366666666666667</v>
      </c>
    </row>
    <row r="39" spans="1:8" x14ac:dyDescent="0.3">
      <c r="A39" s="2">
        <v>1323079</v>
      </c>
      <c r="B39" s="2" t="s">
        <v>88</v>
      </c>
      <c r="C39" s="2" t="s">
        <v>1449</v>
      </c>
      <c r="D39" s="2" t="s">
        <v>1158</v>
      </c>
      <c r="E39" s="2">
        <v>9258620589</v>
      </c>
      <c r="F39" s="2" t="s">
        <v>1762</v>
      </c>
      <c r="G39" s="2" t="s">
        <v>1138</v>
      </c>
      <c r="H39" s="44">
        <f>VLOOKUP($A39,'BCA-2023-2026'!$B$2:$S$641,18,FALSE)</f>
        <v>8.6349999999999998</v>
      </c>
    </row>
    <row r="40" spans="1:8" x14ac:dyDescent="0.3">
      <c r="A40" s="2">
        <v>1323431</v>
      </c>
      <c r="B40" s="2" t="s">
        <v>426</v>
      </c>
      <c r="C40" s="2" t="s">
        <v>816</v>
      </c>
      <c r="D40" s="2" t="s">
        <v>1395</v>
      </c>
      <c r="E40" s="2">
        <v>8789097372</v>
      </c>
      <c r="F40" s="2" t="s">
        <v>2050</v>
      </c>
      <c r="G40" s="2" t="s">
        <v>1143</v>
      </c>
      <c r="H40" s="44">
        <f>VLOOKUP($A40,'BCA-2023-2026'!$B$2:$S$641,18,FALSE)</f>
        <v>8.6349999999999998</v>
      </c>
    </row>
    <row r="41" spans="1:8" x14ac:dyDescent="0.3">
      <c r="A41" s="2">
        <v>1323147</v>
      </c>
      <c r="B41" s="2" t="s">
        <v>156</v>
      </c>
      <c r="C41" s="2" t="s">
        <v>629</v>
      </c>
      <c r="D41" s="2" t="s">
        <v>1206</v>
      </c>
      <c r="E41" s="2">
        <v>9817757835</v>
      </c>
      <c r="F41" s="2" t="s">
        <v>1819</v>
      </c>
      <c r="G41" s="2" t="s">
        <v>1139</v>
      </c>
      <c r="H41" s="44">
        <f>VLOOKUP($A41,'BCA-2023-2026'!$B$2:$S$641,18,FALSE)</f>
        <v>8.6275000000000013</v>
      </c>
    </row>
    <row r="42" spans="1:8" x14ac:dyDescent="0.3">
      <c r="A42" s="2">
        <v>1323066</v>
      </c>
      <c r="B42" s="2" t="s">
        <v>77</v>
      </c>
      <c r="C42" s="2" t="s">
        <v>1444</v>
      </c>
      <c r="D42" s="2" t="s">
        <v>1082</v>
      </c>
      <c r="E42" s="2">
        <v>8950667283</v>
      </c>
      <c r="F42" s="2" t="s">
        <v>1754</v>
      </c>
      <c r="G42" s="2" t="s">
        <v>1138</v>
      </c>
      <c r="H42" s="44">
        <f>VLOOKUP($A42,'BCA-2023-2026'!$B$2:$S$641,18,FALSE)</f>
        <v>8.625</v>
      </c>
    </row>
    <row r="43" spans="1:8" x14ac:dyDescent="0.3">
      <c r="A43" s="2">
        <v>1323206</v>
      </c>
      <c r="B43" s="2" t="s">
        <v>213</v>
      </c>
      <c r="C43" s="2" t="s">
        <v>643</v>
      </c>
      <c r="D43" s="2" t="s">
        <v>1187</v>
      </c>
      <c r="E43" s="2">
        <v>9053502469</v>
      </c>
      <c r="F43" s="2" t="s">
        <v>1871</v>
      </c>
      <c r="G43" s="2" t="s">
        <v>1140</v>
      </c>
      <c r="H43" s="44">
        <f>VLOOKUP($A43,'BCA-2023-2026'!$B$2:$S$641,18,FALSE)</f>
        <v>8.6199999999999992</v>
      </c>
    </row>
    <row r="44" spans="1:8" x14ac:dyDescent="0.3">
      <c r="A44" s="2">
        <v>1323333</v>
      </c>
      <c r="B44" s="2" t="s">
        <v>941</v>
      </c>
      <c r="C44" s="2" t="s">
        <v>762</v>
      </c>
      <c r="D44" s="2" t="s">
        <v>1322</v>
      </c>
      <c r="E44" s="2"/>
      <c r="F44" s="2"/>
      <c r="G44" s="2"/>
      <c r="H44" s="44">
        <f>VLOOKUP($A44,'BCA-2023-2026'!$B$2:$S$641,18,FALSE)</f>
        <v>8.59</v>
      </c>
    </row>
    <row r="45" spans="1:8" x14ac:dyDescent="0.3">
      <c r="A45" s="2">
        <v>1323187</v>
      </c>
      <c r="B45" s="2" t="s">
        <v>194</v>
      </c>
      <c r="C45" s="2" t="s">
        <v>707</v>
      </c>
      <c r="D45" s="2" t="s">
        <v>1220</v>
      </c>
      <c r="E45" s="2">
        <v>8307685269</v>
      </c>
      <c r="F45" s="2" t="s">
        <v>1852</v>
      </c>
      <c r="G45" s="2" t="s">
        <v>1140</v>
      </c>
      <c r="H45" s="44">
        <f>VLOOKUP($A45,'BCA-2023-2026'!$B$2:$S$641,18,FALSE)</f>
        <v>8.58</v>
      </c>
    </row>
    <row r="46" spans="1:8" x14ac:dyDescent="0.3">
      <c r="A46" s="2">
        <v>1323281</v>
      </c>
      <c r="B46" s="2" t="s">
        <v>286</v>
      </c>
      <c r="C46" s="2" t="s">
        <v>743</v>
      </c>
      <c r="D46" s="2" t="s">
        <v>1292</v>
      </c>
      <c r="E46" s="2">
        <v>9518680160</v>
      </c>
      <c r="F46" s="2" t="s">
        <v>1936</v>
      </c>
      <c r="G46" s="2" t="s">
        <v>1141</v>
      </c>
      <c r="H46" s="44">
        <f>VLOOKUP($A46,'BCA-2023-2026'!$B$2:$S$641,18,FALSE)</f>
        <v>8.57</v>
      </c>
    </row>
    <row r="47" spans="1:8" x14ac:dyDescent="0.3">
      <c r="A47" s="2">
        <v>1323052</v>
      </c>
      <c r="B47" s="2" t="s">
        <v>64</v>
      </c>
      <c r="C47" s="2" t="s">
        <v>637</v>
      </c>
      <c r="D47" s="2" t="s">
        <v>1097</v>
      </c>
      <c r="E47" s="2">
        <v>8307983683</v>
      </c>
      <c r="F47" s="2" t="s">
        <v>1741</v>
      </c>
      <c r="G47" s="2" t="s">
        <v>1138</v>
      </c>
      <c r="H47" s="44">
        <f>VLOOKUP($A47,'BCA-2023-2026'!$B$2:$S$641,18,FALSE)</f>
        <v>8.5549999999999997</v>
      </c>
    </row>
    <row r="48" spans="1:8" x14ac:dyDescent="0.3">
      <c r="A48" s="2">
        <v>1323034</v>
      </c>
      <c r="B48" s="2" t="s">
        <v>47</v>
      </c>
      <c r="C48" s="2" t="s">
        <v>1436</v>
      </c>
      <c r="D48" s="2" t="s">
        <v>1110</v>
      </c>
      <c r="E48" s="2">
        <v>8053841041</v>
      </c>
      <c r="F48" s="2" t="s">
        <v>1725</v>
      </c>
      <c r="G48" s="2" t="s">
        <v>1138</v>
      </c>
      <c r="H48" s="44">
        <f>VLOOKUP($A48,'BCA-2023-2026'!$B$2:$S$641,18,FALSE)</f>
        <v>8.5449999999999999</v>
      </c>
    </row>
    <row r="49" spans="1:8" x14ac:dyDescent="0.3">
      <c r="A49" s="2">
        <v>1323152</v>
      </c>
      <c r="B49" s="2" t="s">
        <v>161</v>
      </c>
      <c r="C49" s="2" t="s">
        <v>691</v>
      </c>
      <c r="D49" s="2" t="s">
        <v>1209</v>
      </c>
      <c r="E49" s="2">
        <v>6398878216</v>
      </c>
      <c r="F49" s="2" t="s">
        <v>1824</v>
      </c>
      <c r="G49" s="2" t="s">
        <v>1139</v>
      </c>
      <c r="H49" s="44">
        <f>VLOOKUP($A49,'BCA-2023-2026'!$B$2:$S$641,18,FALSE)</f>
        <v>8.5449999999999999</v>
      </c>
    </row>
    <row r="50" spans="1:8" x14ac:dyDescent="0.3">
      <c r="A50" s="2">
        <v>1323252</v>
      </c>
      <c r="B50" s="2" t="s">
        <v>259</v>
      </c>
      <c r="C50" s="2" t="s">
        <v>733</v>
      </c>
      <c r="D50" s="2" t="s">
        <v>1038</v>
      </c>
      <c r="E50" s="2">
        <v>8295523361</v>
      </c>
      <c r="F50" s="2" t="s">
        <v>1909</v>
      </c>
      <c r="G50" s="2" t="s">
        <v>1141</v>
      </c>
      <c r="H50" s="44">
        <f>VLOOKUP($A50,'BCA-2023-2026'!$B$2:$S$641,18,FALSE)</f>
        <v>8.5449999999999999</v>
      </c>
    </row>
    <row r="51" spans="1:8" x14ac:dyDescent="0.3">
      <c r="A51" s="2">
        <v>1323367</v>
      </c>
      <c r="B51" s="2" t="s">
        <v>366</v>
      </c>
      <c r="C51" s="2" t="s">
        <v>774</v>
      </c>
      <c r="D51" s="2" t="s">
        <v>1343</v>
      </c>
      <c r="E51" s="2">
        <v>7056988808</v>
      </c>
      <c r="F51" s="2" t="s">
        <v>2002</v>
      </c>
      <c r="G51" s="2" t="s">
        <v>1142</v>
      </c>
      <c r="H51" s="44">
        <f>VLOOKUP($A51,'BCA-2023-2026'!$B$2:$S$641,18,FALSE)</f>
        <v>8.5449999999999999</v>
      </c>
    </row>
    <row r="52" spans="1:8" x14ac:dyDescent="0.3">
      <c r="A52" s="2">
        <v>1323469</v>
      </c>
      <c r="B52" s="2" t="s">
        <v>460</v>
      </c>
      <c r="C52" s="2" t="s">
        <v>847</v>
      </c>
      <c r="D52" s="2" t="s">
        <v>916</v>
      </c>
      <c r="E52" s="2">
        <v>6207904614</v>
      </c>
      <c r="F52" s="2" t="s">
        <v>2079</v>
      </c>
      <c r="G52" s="2" t="s">
        <v>1143</v>
      </c>
      <c r="H52" s="44">
        <f>VLOOKUP($A52,'BCA-2023-2026'!$B$2:$S$641,18,FALSE)</f>
        <v>8.51</v>
      </c>
    </row>
    <row r="53" spans="1:8" x14ac:dyDescent="0.3">
      <c r="A53" s="2">
        <v>1323256</v>
      </c>
      <c r="B53" s="2" t="s">
        <v>263</v>
      </c>
      <c r="C53" s="2" t="s">
        <v>632</v>
      </c>
      <c r="D53" s="2" t="s">
        <v>1279</v>
      </c>
      <c r="E53" s="2">
        <v>8708629427</v>
      </c>
      <c r="F53" s="2" t="s">
        <v>1913</v>
      </c>
      <c r="G53" s="2" t="s">
        <v>1141</v>
      </c>
      <c r="H53" s="44">
        <f>VLOOKUP($A53,'BCA-2023-2026'!$B$2:$S$641,18,FALSE)</f>
        <v>8.5</v>
      </c>
    </row>
    <row r="54" spans="1:8" x14ac:dyDescent="0.3">
      <c r="A54" s="2">
        <v>1323166</v>
      </c>
      <c r="B54" s="2" t="s">
        <v>175</v>
      </c>
      <c r="C54" s="2" t="s">
        <v>1479</v>
      </c>
      <c r="D54" s="2" t="s">
        <v>1090</v>
      </c>
      <c r="E54" s="2">
        <v>9588101275</v>
      </c>
      <c r="F54" s="2" t="s">
        <v>1837</v>
      </c>
      <c r="G54" s="2" t="s">
        <v>1140</v>
      </c>
      <c r="H54" s="44">
        <f>VLOOKUP($A54,'BCA-2023-2026'!$B$2:$S$641,18,FALSE)</f>
        <v>8.4550000000000001</v>
      </c>
    </row>
    <row r="55" spans="1:8" x14ac:dyDescent="0.3">
      <c r="A55" s="2">
        <v>1323163</v>
      </c>
      <c r="B55" s="2" t="s">
        <v>172</v>
      </c>
      <c r="C55" s="2" t="s">
        <v>697</v>
      </c>
      <c r="D55" s="2" t="s">
        <v>1219</v>
      </c>
      <c r="E55" s="2">
        <v>7015743950</v>
      </c>
      <c r="F55" s="2" t="s">
        <v>1834</v>
      </c>
      <c r="G55" s="2" t="s">
        <v>1140</v>
      </c>
      <c r="H55" s="44">
        <f>VLOOKUP($A55,'BCA-2023-2026'!$B$2:$S$641,18,FALSE)</f>
        <v>8.4533333333333331</v>
      </c>
    </row>
    <row r="56" spans="1:8" x14ac:dyDescent="0.3">
      <c r="A56" s="2">
        <v>1323448</v>
      </c>
      <c r="B56" s="2" t="s">
        <v>440</v>
      </c>
      <c r="C56" s="2" t="s">
        <v>827</v>
      </c>
      <c r="D56" s="2" t="s">
        <v>1085</v>
      </c>
      <c r="E56" s="2">
        <v>9631584849</v>
      </c>
      <c r="F56" s="2" t="s">
        <v>2062</v>
      </c>
      <c r="G56" s="2" t="s">
        <v>1143</v>
      </c>
      <c r="H56" s="44">
        <f>VLOOKUP($A56,'BCA-2023-2026'!$B$2:$S$641,18,FALSE)</f>
        <v>8.42</v>
      </c>
    </row>
    <row r="57" spans="1:8" x14ac:dyDescent="0.3">
      <c r="A57" s="2">
        <v>1323261</v>
      </c>
      <c r="B57" s="2" t="s">
        <v>268</v>
      </c>
      <c r="C57" s="2" t="s">
        <v>1517</v>
      </c>
      <c r="D57" s="2" t="s">
        <v>1282</v>
      </c>
      <c r="E57" s="2">
        <v>8708094125</v>
      </c>
      <c r="F57" s="2" t="s">
        <v>1918</v>
      </c>
      <c r="G57" s="2" t="s">
        <v>1141</v>
      </c>
      <c r="H57" s="44">
        <f>VLOOKUP($A57,'BCA-2023-2026'!$B$2:$S$641,18,FALSE)</f>
        <v>8.41</v>
      </c>
    </row>
    <row r="58" spans="1:8" x14ac:dyDescent="0.3">
      <c r="A58" s="2">
        <v>1323411</v>
      </c>
      <c r="B58" s="2" t="s">
        <v>409</v>
      </c>
      <c r="C58" s="2" t="s">
        <v>802</v>
      </c>
      <c r="D58" s="2" t="s">
        <v>1380</v>
      </c>
      <c r="E58" s="2">
        <v>9045689595</v>
      </c>
      <c r="F58" s="2" t="s">
        <v>2035</v>
      </c>
      <c r="G58" s="2" t="s">
        <v>1142</v>
      </c>
      <c r="H58" s="44">
        <f>VLOOKUP($A58,'BCA-2023-2026'!$B$2:$S$641,18,FALSE)</f>
        <v>8.41</v>
      </c>
    </row>
    <row r="59" spans="1:8" x14ac:dyDescent="0.3">
      <c r="A59" s="2">
        <v>1323124</v>
      </c>
      <c r="B59" s="2" t="s">
        <v>133</v>
      </c>
      <c r="C59" s="2" t="s">
        <v>1464</v>
      </c>
      <c r="D59" s="2" t="s">
        <v>1193</v>
      </c>
      <c r="E59" s="2">
        <v>8860801395</v>
      </c>
      <c r="F59" s="2" t="s">
        <v>1798</v>
      </c>
      <c r="G59" s="2" t="s">
        <v>1139</v>
      </c>
      <c r="H59" s="44">
        <f>VLOOKUP($A59,'BCA-2023-2026'!$B$2:$S$641,18,FALSE)</f>
        <v>8.4074999999999989</v>
      </c>
    </row>
    <row r="60" spans="1:8" x14ac:dyDescent="0.3">
      <c r="A60" s="2">
        <v>1323133</v>
      </c>
      <c r="B60" s="2" t="s">
        <v>142</v>
      </c>
      <c r="C60" s="2" t="s">
        <v>643</v>
      </c>
      <c r="D60" s="2" t="s">
        <v>668</v>
      </c>
      <c r="E60" s="2">
        <v>8930085322</v>
      </c>
      <c r="F60" s="2" t="s">
        <v>1806</v>
      </c>
      <c r="G60" s="2" t="s">
        <v>1139</v>
      </c>
      <c r="H60" s="44">
        <f>VLOOKUP($A60,'BCA-2023-2026'!$B$2:$S$641,18,FALSE)</f>
        <v>8.4074999999999989</v>
      </c>
    </row>
    <row r="61" spans="1:8" x14ac:dyDescent="0.3">
      <c r="A61" s="2">
        <v>1323268</v>
      </c>
      <c r="B61" s="2" t="s">
        <v>275</v>
      </c>
      <c r="C61" s="2" t="s">
        <v>737</v>
      </c>
      <c r="D61" s="2" t="s">
        <v>938</v>
      </c>
      <c r="E61" s="2">
        <v>9306923376</v>
      </c>
      <c r="F61" s="2" t="s">
        <v>1924</v>
      </c>
      <c r="G61" s="2" t="s">
        <v>1141</v>
      </c>
      <c r="H61" s="44">
        <f>VLOOKUP($A61,'BCA-2023-2026'!$B$2:$S$641,18,FALSE)</f>
        <v>8.3975000000000009</v>
      </c>
    </row>
    <row r="62" spans="1:8" x14ac:dyDescent="0.3">
      <c r="A62" s="2">
        <v>1323116</v>
      </c>
      <c r="B62" s="2" t="s">
        <v>125</v>
      </c>
      <c r="C62" s="2" t="s">
        <v>675</v>
      </c>
      <c r="D62" s="2" t="s">
        <v>1186</v>
      </c>
      <c r="E62" s="2">
        <v>9991023968</v>
      </c>
      <c r="F62" s="2" t="s">
        <v>1794</v>
      </c>
      <c r="G62" s="2" t="s">
        <v>1139</v>
      </c>
      <c r="H62" s="44">
        <f>VLOOKUP($A62,'BCA-2023-2026'!$B$2:$S$641,18,FALSE)</f>
        <v>8.375</v>
      </c>
    </row>
    <row r="63" spans="1:8" x14ac:dyDescent="0.3">
      <c r="A63" s="2">
        <v>1323406</v>
      </c>
      <c r="B63" s="2" t="s">
        <v>404</v>
      </c>
      <c r="C63" s="2" t="s">
        <v>797</v>
      </c>
      <c r="D63" s="2" t="s">
        <v>1375</v>
      </c>
      <c r="E63" s="2">
        <v>8210529790</v>
      </c>
      <c r="F63" s="2" t="s">
        <v>2030</v>
      </c>
      <c r="G63" s="2" t="s">
        <v>1143</v>
      </c>
      <c r="H63" s="44">
        <f>VLOOKUP($A63,'BCA-2023-2026'!$B$2:$S$641,18,FALSE)</f>
        <v>8.3425000000000011</v>
      </c>
    </row>
    <row r="64" spans="1:8" x14ac:dyDescent="0.3">
      <c r="A64" s="2">
        <v>1323375</v>
      </c>
      <c r="B64" s="2" t="s">
        <v>374</v>
      </c>
      <c r="C64" s="2" t="s">
        <v>779</v>
      </c>
      <c r="D64" s="2" t="s">
        <v>1350</v>
      </c>
      <c r="E64" s="2">
        <v>8950828718</v>
      </c>
      <c r="F64" s="2" t="s">
        <v>2009</v>
      </c>
      <c r="G64" s="2" t="s">
        <v>1142</v>
      </c>
      <c r="H64" s="44">
        <f>VLOOKUP($A64,'BCA-2023-2026'!$B$2:$S$641,18,FALSE)</f>
        <v>8.34</v>
      </c>
    </row>
    <row r="65" spans="1:8" x14ac:dyDescent="0.3">
      <c r="A65" s="2">
        <v>1323388</v>
      </c>
      <c r="B65" s="2" t="s">
        <v>386</v>
      </c>
      <c r="C65" s="2" t="s">
        <v>785</v>
      </c>
      <c r="D65" s="2" t="s">
        <v>1360</v>
      </c>
      <c r="E65" s="2">
        <v>8307291608</v>
      </c>
      <c r="F65" s="2" t="s">
        <v>2018</v>
      </c>
      <c r="G65" s="2" t="s">
        <v>1142</v>
      </c>
      <c r="H65" s="44">
        <f>VLOOKUP($A65,'BCA-2023-2026'!$B$2:$S$641,18,FALSE)</f>
        <v>8.33</v>
      </c>
    </row>
    <row r="66" spans="1:8" x14ac:dyDescent="0.3">
      <c r="A66" s="2">
        <v>1323339</v>
      </c>
      <c r="B66" s="2" t="s">
        <v>601</v>
      </c>
      <c r="C66" s="2" t="s">
        <v>1552</v>
      </c>
      <c r="D66" s="2" t="s">
        <v>1327</v>
      </c>
      <c r="E66" s="2"/>
      <c r="F66" s="2"/>
      <c r="G66" s="2"/>
      <c r="H66" s="44">
        <f>VLOOKUP($A66,'BCA-2023-2026'!$B$2:$S$641,18,FALSE)</f>
        <v>8.32</v>
      </c>
    </row>
    <row r="67" spans="1:8" x14ac:dyDescent="0.3">
      <c r="A67" s="2">
        <v>1323201</v>
      </c>
      <c r="B67" s="2" t="s">
        <v>208</v>
      </c>
      <c r="C67" s="2" t="s">
        <v>1494</v>
      </c>
      <c r="D67" s="2" t="s">
        <v>1243</v>
      </c>
      <c r="E67" s="2">
        <v>8930040994</v>
      </c>
      <c r="F67" s="2" t="s">
        <v>1866</v>
      </c>
      <c r="G67" s="2" t="s">
        <v>1140</v>
      </c>
      <c r="H67" s="44">
        <f>VLOOKUP($A67,'BCA-2023-2026'!$B$2:$S$641,18,FALSE)</f>
        <v>8.2974999999999994</v>
      </c>
    </row>
    <row r="68" spans="1:8" x14ac:dyDescent="0.3">
      <c r="A68" s="2">
        <v>1323342</v>
      </c>
      <c r="B68" s="2" t="s">
        <v>343</v>
      </c>
      <c r="C68" s="2" t="s">
        <v>1553</v>
      </c>
      <c r="D68" s="2" t="s">
        <v>1330</v>
      </c>
      <c r="E68" s="2">
        <v>9812293190</v>
      </c>
      <c r="F68" s="2" t="s">
        <v>1983</v>
      </c>
      <c r="G68" s="2" t="s">
        <v>1142</v>
      </c>
      <c r="H68" s="44">
        <f>VLOOKUP($A68,'BCA-2023-2026'!$B$2:$S$641,18,FALSE)</f>
        <v>8.2866666666666671</v>
      </c>
    </row>
    <row r="69" spans="1:8" x14ac:dyDescent="0.3">
      <c r="A69" s="2">
        <v>1323487</v>
      </c>
      <c r="B69" s="2" t="s">
        <v>478</v>
      </c>
      <c r="C69" s="2" t="s">
        <v>860</v>
      </c>
      <c r="D69" s="2" t="s">
        <v>1056</v>
      </c>
      <c r="E69" s="2">
        <v>9801195421</v>
      </c>
      <c r="F69" s="2" t="s">
        <v>2094</v>
      </c>
      <c r="G69" s="2" t="s">
        <v>1144</v>
      </c>
      <c r="H69" s="44">
        <f>VLOOKUP($A69,'BCA-2023-2026'!$B$2:$S$641,18,FALSE)</f>
        <v>8.2850000000000001</v>
      </c>
    </row>
    <row r="70" spans="1:8" x14ac:dyDescent="0.3">
      <c r="A70" s="2">
        <v>1323450</v>
      </c>
      <c r="B70" s="2" t="s">
        <v>442</v>
      </c>
      <c r="C70" s="2" t="s">
        <v>829</v>
      </c>
      <c r="D70" s="2" t="s">
        <v>1083</v>
      </c>
      <c r="E70" s="2">
        <v>9153200556</v>
      </c>
      <c r="F70" s="2" t="s">
        <v>2064</v>
      </c>
      <c r="G70" s="2" t="s">
        <v>1143</v>
      </c>
      <c r="H70" s="44">
        <f>VLOOKUP($A70,'BCA-2023-2026'!$B$2:$S$641,18,FALSE)</f>
        <v>8.2800000000000011</v>
      </c>
    </row>
    <row r="71" spans="1:8" x14ac:dyDescent="0.3">
      <c r="A71" s="2">
        <v>1323535</v>
      </c>
      <c r="B71" s="2" t="s">
        <v>524</v>
      </c>
      <c r="C71" s="2" t="s">
        <v>896</v>
      </c>
      <c r="D71" s="2" t="s">
        <v>1019</v>
      </c>
      <c r="E71" s="2">
        <v>8292743446</v>
      </c>
      <c r="F71" s="2" t="s">
        <v>2135</v>
      </c>
      <c r="G71" s="2" t="s">
        <v>1144</v>
      </c>
      <c r="H71" s="44">
        <f>VLOOKUP($A71,'BCA-2023-2026'!$B$2:$S$641,18,FALSE)</f>
        <v>8.2800000000000011</v>
      </c>
    </row>
    <row r="72" spans="1:8" x14ac:dyDescent="0.3">
      <c r="A72" s="2">
        <v>1323447</v>
      </c>
      <c r="B72" s="2" t="s">
        <v>439</v>
      </c>
      <c r="C72" s="2" t="s">
        <v>826</v>
      </c>
      <c r="D72" s="2" t="s">
        <v>1086</v>
      </c>
      <c r="E72" s="2">
        <v>9931828695</v>
      </c>
      <c r="F72" s="2" t="s">
        <v>2061</v>
      </c>
      <c r="G72" s="2" t="s">
        <v>1143</v>
      </c>
      <c r="H72" s="44">
        <f>VLOOKUP($A72,'BCA-2023-2026'!$B$2:$S$641,18,FALSE)</f>
        <v>8.2774999999999999</v>
      </c>
    </row>
    <row r="73" spans="1:8" x14ac:dyDescent="0.3">
      <c r="A73" s="2">
        <v>1323605</v>
      </c>
      <c r="B73" s="2" t="s">
        <v>605</v>
      </c>
      <c r="C73" s="2" t="s">
        <v>1608</v>
      </c>
      <c r="D73" s="2" t="s">
        <v>1423</v>
      </c>
      <c r="E73" s="2">
        <v>7739464983</v>
      </c>
      <c r="F73" s="2" t="s">
        <v>2184</v>
      </c>
      <c r="G73" s="2" t="s">
        <v>1140</v>
      </c>
      <c r="H73" s="44">
        <f>VLOOKUP($A73,'BCA-2023-2026'!$B$2:$S$641,18,FALSE)</f>
        <v>8.2733333333333334</v>
      </c>
    </row>
    <row r="74" spans="1:8" x14ac:dyDescent="0.3">
      <c r="A74" s="2">
        <v>1323264</v>
      </c>
      <c r="B74" s="2" t="s">
        <v>271</v>
      </c>
      <c r="C74" s="2" t="s">
        <v>736</v>
      </c>
      <c r="D74" s="2" t="s">
        <v>1283</v>
      </c>
      <c r="E74" s="2">
        <v>9518852603</v>
      </c>
      <c r="F74" s="2" t="s">
        <v>1921</v>
      </c>
      <c r="G74" s="2" t="s">
        <v>1141</v>
      </c>
      <c r="H74" s="44">
        <f>VLOOKUP($A74,'BCA-2023-2026'!$B$2:$S$641,18,FALSE)</f>
        <v>8.2625000000000011</v>
      </c>
    </row>
    <row r="75" spans="1:8" x14ac:dyDescent="0.3">
      <c r="A75" s="2">
        <v>1323265</v>
      </c>
      <c r="B75" s="2" t="s">
        <v>272</v>
      </c>
      <c r="C75" s="2" t="s">
        <v>1520</v>
      </c>
      <c r="D75" s="2" t="s">
        <v>1284</v>
      </c>
      <c r="E75" s="2">
        <v>9720272185</v>
      </c>
      <c r="F75" s="2" t="s">
        <v>1922</v>
      </c>
      <c r="G75" s="2" t="s">
        <v>1141</v>
      </c>
      <c r="H75" s="44">
        <f>VLOOKUP($A75,'BCA-2023-2026'!$B$2:$S$641,18,FALSE)</f>
        <v>8.2624999999999993</v>
      </c>
    </row>
    <row r="76" spans="1:8" x14ac:dyDescent="0.3">
      <c r="A76" s="2">
        <v>1323101</v>
      </c>
      <c r="B76" s="2" t="s">
        <v>110</v>
      </c>
      <c r="C76" s="2" t="s">
        <v>667</v>
      </c>
      <c r="D76" s="2" t="s">
        <v>1130</v>
      </c>
      <c r="E76" s="2">
        <v>9671038771</v>
      </c>
      <c r="F76" s="2" t="s">
        <v>1780</v>
      </c>
      <c r="G76" s="2" t="s">
        <v>1139</v>
      </c>
      <c r="H76" s="44">
        <f>VLOOKUP($A76,'BCA-2023-2026'!$B$2:$S$641,18,FALSE)</f>
        <v>8.26</v>
      </c>
    </row>
    <row r="77" spans="1:8" x14ac:dyDescent="0.3">
      <c r="A77" s="2">
        <v>1323517</v>
      </c>
      <c r="B77" s="2" t="s">
        <v>506</v>
      </c>
      <c r="C77" s="2" t="s">
        <v>883</v>
      </c>
      <c r="D77" s="2" t="s">
        <v>1033</v>
      </c>
      <c r="E77" s="2">
        <v>7856908716</v>
      </c>
      <c r="F77" s="2" t="s">
        <v>2119</v>
      </c>
      <c r="G77" s="2" t="s">
        <v>1144</v>
      </c>
      <c r="H77" s="44">
        <f>VLOOKUP($A77,'BCA-2023-2026'!$B$2:$S$641,18,FALSE)</f>
        <v>8.25</v>
      </c>
    </row>
    <row r="78" spans="1:8" x14ac:dyDescent="0.3">
      <c r="A78" s="2">
        <v>1323094</v>
      </c>
      <c r="B78" s="2" t="s">
        <v>103</v>
      </c>
      <c r="C78" s="2" t="s">
        <v>663</v>
      </c>
      <c r="D78" s="2" t="s">
        <v>1170</v>
      </c>
      <c r="E78" s="2">
        <v>9466411285</v>
      </c>
      <c r="F78" s="2" t="s">
        <v>1775</v>
      </c>
      <c r="G78" s="2" t="s">
        <v>1139</v>
      </c>
      <c r="H78" s="44">
        <f>VLOOKUP($A78,'BCA-2023-2026'!$B$2:$S$641,18,FALSE)</f>
        <v>8.2274999999999991</v>
      </c>
    </row>
    <row r="79" spans="1:8" x14ac:dyDescent="0.3">
      <c r="A79" s="2">
        <v>1323242</v>
      </c>
      <c r="B79" s="2" t="s">
        <v>249</v>
      </c>
      <c r="C79" s="2" t="s">
        <v>730</v>
      </c>
      <c r="D79" s="2" t="s">
        <v>1269</v>
      </c>
      <c r="E79" s="2">
        <v>7015453774</v>
      </c>
      <c r="F79" s="2" t="s">
        <v>1901</v>
      </c>
      <c r="G79" s="2" t="s">
        <v>1141</v>
      </c>
      <c r="H79" s="44">
        <f>VLOOKUP($A79,'BCA-2023-2026'!$B$2:$S$641,18,FALSE)</f>
        <v>8.2274999999999991</v>
      </c>
    </row>
    <row r="80" spans="1:8" x14ac:dyDescent="0.3">
      <c r="A80" s="2">
        <v>1323360</v>
      </c>
      <c r="B80" s="2" t="s">
        <v>360</v>
      </c>
      <c r="C80" s="2" t="s">
        <v>1558</v>
      </c>
      <c r="D80" s="2" t="s">
        <v>1303</v>
      </c>
      <c r="E80" s="2">
        <v>7419120154</v>
      </c>
      <c r="F80" s="2" t="s">
        <v>1995</v>
      </c>
      <c r="G80" s="2" t="s">
        <v>1142</v>
      </c>
      <c r="H80" s="44">
        <f>VLOOKUP($A80,'BCA-2023-2026'!$B$2:$S$641,18,FALSE)</f>
        <v>8.2175000000000011</v>
      </c>
    </row>
    <row r="81" spans="1:8" x14ac:dyDescent="0.3">
      <c r="A81" s="2">
        <v>1323387</v>
      </c>
      <c r="B81" s="2" t="s">
        <v>385</v>
      </c>
      <c r="C81" s="2" t="s">
        <v>784</v>
      </c>
      <c r="D81" s="2" t="s">
        <v>1359</v>
      </c>
      <c r="E81" s="2">
        <v>9518192302</v>
      </c>
      <c r="F81" s="2" t="s">
        <v>2017</v>
      </c>
      <c r="G81" s="2" t="s">
        <v>1142</v>
      </c>
      <c r="H81" s="44">
        <f>VLOOKUP($A81,'BCA-2023-2026'!$B$2:$S$641,18,FALSE)</f>
        <v>8.2149999999999999</v>
      </c>
    </row>
    <row r="82" spans="1:8" x14ac:dyDescent="0.3">
      <c r="A82" s="2">
        <v>1323123</v>
      </c>
      <c r="B82" s="2" t="s">
        <v>132</v>
      </c>
      <c r="C82" s="2" t="s">
        <v>676</v>
      </c>
      <c r="D82" s="2" t="s">
        <v>1192</v>
      </c>
      <c r="E82" s="2">
        <v>8708579612</v>
      </c>
      <c r="F82" s="2" t="s">
        <v>1797</v>
      </c>
      <c r="G82" s="2" t="s">
        <v>1139</v>
      </c>
      <c r="H82" s="44">
        <f>VLOOKUP($A82,'BCA-2023-2026'!$B$2:$S$641,18,FALSE)</f>
        <v>8.2050000000000001</v>
      </c>
    </row>
    <row r="83" spans="1:8" x14ac:dyDescent="0.3">
      <c r="A83" s="2">
        <v>1323427</v>
      </c>
      <c r="B83" s="2" t="s">
        <v>425</v>
      </c>
      <c r="C83" s="2" t="s">
        <v>815</v>
      </c>
      <c r="D83" s="2" t="s">
        <v>1394</v>
      </c>
      <c r="E83" s="2">
        <v>6209905769</v>
      </c>
      <c r="F83" s="2" t="s">
        <v>2049</v>
      </c>
      <c r="G83" s="2" t="s">
        <v>1143</v>
      </c>
      <c r="H83" s="44">
        <f>VLOOKUP($A83,'BCA-2023-2026'!$B$2:$S$641,18,FALSE)</f>
        <v>8.2050000000000001</v>
      </c>
    </row>
    <row r="84" spans="1:8" x14ac:dyDescent="0.3">
      <c r="A84" s="2">
        <v>1323209</v>
      </c>
      <c r="B84" s="2" t="s">
        <v>216</v>
      </c>
      <c r="C84" s="2" t="s">
        <v>1497</v>
      </c>
      <c r="D84" s="2" t="s">
        <v>1249</v>
      </c>
      <c r="E84" s="2">
        <v>9306479615</v>
      </c>
      <c r="F84" s="2" t="s">
        <v>1874</v>
      </c>
      <c r="G84" s="2" t="s">
        <v>1140</v>
      </c>
      <c r="H84" s="44">
        <f>VLOOKUP($A84,'BCA-2023-2026'!$B$2:$S$641,18,FALSE)</f>
        <v>8.1950000000000003</v>
      </c>
    </row>
    <row r="85" spans="1:8" x14ac:dyDescent="0.3">
      <c r="A85" s="2">
        <v>1323097</v>
      </c>
      <c r="B85" s="2" t="s">
        <v>106</v>
      </c>
      <c r="C85" s="2" t="s">
        <v>666</v>
      </c>
      <c r="D85" s="2" t="s">
        <v>1173</v>
      </c>
      <c r="E85" s="2">
        <v>8699832140</v>
      </c>
      <c r="F85" s="2" t="s">
        <v>1778</v>
      </c>
      <c r="G85" s="2" t="s">
        <v>1139</v>
      </c>
      <c r="H85" s="44">
        <f>VLOOKUP($A85,'BCA-2023-2026'!$B$2:$S$641,18,FALSE)</f>
        <v>8.1875</v>
      </c>
    </row>
    <row r="86" spans="1:8" x14ac:dyDescent="0.3">
      <c r="A86" s="2">
        <v>1323418</v>
      </c>
      <c r="B86" s="2" t="s">
        <v>416</v>
      </c>
      <c r="C86" s="2" t="s">
        <v>796</v>
      </c>
      <c r="D86" s="2" t="s">
        <v>1386</v>
      </c>
      <c r="E86" s="2">
        <v>8102681022</v>
      </c>
      <c r="F86" s="2" t="s">
        <v>2040</v>
      </c>
      <c r="G86" s="2" t="s">
        <v>1143</v>
      </c>
      <c r="H86" s="44">
        <f>VLOOKUP($A86,'BCA-2023-2026'!$B$2:$S$641,18,FALSE)</f>
        <v>8.182500000000001</v>
      </c>
    </row>
    <row r="87" spans="1:8" x14ac:dyDescent="0.3">
      <c r="A87" s="2">
        <v>1323221</v>
      </c>
      <c r="B87" s="2" t="s">
        <v>228</v>
      </c>
      <c r="C87" s="2" t="s">
        <v>719</v>
      </c>
      <c r="D87" s="2" t="s">
        <v>1125</v>
      </c>
      <c r="E87" s="2">
        <v>9896274308</v>
      </c>
      <c r="F87" s="2" t="s">
        <v>1884</v>
      </c>
      <c r="G87" s="2" t="s">
        <v>1140</v>
      </c>
      <c r="H87" s="44">
        <f>VLOOKUP($A87,'BCA-2023-2026'!$B$2:$S$641,18,FALSE)</f>
        <v>8.18</v>
      </c>
    </row>
    <row r="88" spans="1:8" x14ac:dyDescent="0.3">
      <c r="A88" s="2">
        <v>1323205</v>
      </c>
      <c r="B88" s="2" t="s">
        <v>212</v>
      </c>
      <c r="C88" s="2" t="s">
        <v>656</v>
      </c>
      <c r="D88" s="2" t="s">
        <v>1246</v>
      </c>
      <c r="E88" s="2">
        <v>9053069564</v>
      </c>
      <c r="F88" s="2" t="s">
        <v>1870</v>
      </c>
      <c r="G88" s="2" t="s">
        <v>1140</v>
      </c>
      <c r="H88" s="44">
        <f>VLOOKUP($A88,'BCA-2023-2026'!$B$2:$S$641,18,FALSE)</f>
        <v>8.17</v>
      </c>
    </row>
    <row r="89" spans="1:8" x14ac:dyDescent="0.3">
      <c r="A89" s="2">
        <v>1323441</v>
      </c>
      <c r="B89" s="2" t="s">
        <v>433</v>
      </c>
      <c r="C89" s="2" t="s">
        <v>820</v>
      </c>
      <c r="D89" s="2" t="s">
        <v>1402</v>
      </c>
      <c r="E89" s="2">
        <v>9297765240</v>
      </c>
      <c r="F89" s="2" t="s">
        <v>2055</v>
      </c>
      <c r="G89" s="2" t="s">
        <v>1143</v>
      </c>
      <c r="H89" s="44">
        <f>VLOOKUP($A89,'BCA-2023-2026'!$B$2:$S$641,18,FALSE)</f>
        <v>8.1624999999999996</v>
      </c>
    </row>
    <row r="90" spans="1:8" x14ac:dyDescent="0.3">
      <c r="A90" s="2">
        <v>1323343</v>
      </c>
      <c r="B90" s="2" t="s">
        <v>344</v>
      </c>
      <c r="C90" s="2" t="s">
        <v>1554</v>
      </c>
      <c r="D90" s="2" t="s">
        <v>1284</v>
      </c>
      <c r="E90" s="2">
        <v>9813627978</v>
      </c>
      <c r="F90" s="2" t="s">
        <v>1984</v>
      </c>
      <c r="G90" s="2" t="s">
        <v>1142</v>
      </c>
      <c r="H90" s="44">
        <f>VLOOKUP($A90,'BCA-2023-2026'!$B$2:$S$641,18,FALSE)</f>
        <v>8.16</v>
      </c>
    </row>
    <row r="91" spans="1:8" x14ac:dyDescent="0.3">
      <c r="A91" s="2">
        <v>1323364</v>
      </c>
      <c r="B91" s="2" t="s">
        <v>363</v>
      </c>
      <c r="C91" s="2" t="s">
        <v>772</v>
      </c>
      <c r="D91" s="2" t="s">
        <v>1342</v>
      </c>
      <c r="E91" s="2">
        <v>9034658803</v>
      </c>
      <c r="F91" s="2" t="s">
        <v>1999</v>
      </c>
      <c r="G91" s="2" t="s">
        <v>1142</v>
      </c>
      <c r="H91" s="44">
        <f>VLOOKUP($A91,'BCA-2023-2026'!$B$2:$S$641,18,FALSE)</f>
        <v>8.1574999999999989</v>
      </c>
    </row>
    <row r="92" spans="1:8" x14ac:dyDescent="0.3">
      <c r="A92" s="2">
        <v>1323322</v>
      </c>
      <c r="B92" s="2" t="s">
        <v>327</v>
      </c>
      <c r="C92" s="2" t="s">
        <v>1542</v>
      </c>
      <c r="D92" s="2" t="s">
        <v>1314</v>
      </c>
      <c r="E92" s="2">
        <v>7906417399</v>
      </c>
      <c r="F92" s="2" t="s">
        <v>1970</v>
      </c>
      <c r="G92" s="2" t="s">
        <v>1142</v>
      </c>
      <c r="H92" s="44">
        <f>VLOOKUP($A92,'BCA-2023-2026'!$B$2:$S$641,18,FALSE)</f>
        <v>8.1549999999999994</v>
      </c>
    </row>
    <row r="93" spans="1:8" x14ac:dyDescent="0.3">
      <c r="A93" s="2">
        <v>1323015</v>
      </c>
      <c r="B93" s="2" t="s">
        <v>29</v>
      </c>
      <c r="C93" s="2" t="s">
        <v>1432</v>
      </c>
      <c r="D93" s="2" t="s">
        <v>1095</v>
      </c>
      <c r="E93" s="2">
        <v>7206610722</v>
      </c>
      <c r="F93" s="2" t="s">
        <v>1709</v>
      </c>
      <c r="G93" s="2" t="s">
        <v>1138</v>
      </c>
      <c r="H93" s="44">
        <f>VLOOKUP($A93,'BCA-2023-2026'!$B$2:$S$641,18,FALSE)</f>
        <v>8.1533333333333342</v>
      </c>
    </row>
    <row r="94" spans="1:8" x14ac:dyDescent="0.3">
      <c r="A94" s="2">
        <v>1323210</v>
      </c>
      <c r="B94" s="2" t="s">
        <v>217</v>
      </c>
      <c r="C94" s="2" t="s">
        <v>714</v>
      </c>
      <c r="D94" s="2" t="s">
        <v>1250</v>
      </c>
      <c r="E94" s="2">
        <v>9306745757</v>
      </c>
      <c r="F94" s="2" t="s">
        <v>1875</v>
      </c>
      <c r="G94" s="2" t="s">
        <v>1140</v>
      </c>
      <c r="H94" s="44">
        <f>VLOOKUP($A94,'BCA-2023-2026'!$B$2:$S$641,18,FALSE)</f>
        <v>8.15</v>
      </c>
    </row>
    <row r="95" spans="1:8" x14ac:dyDescent="0.3">
      <c r="A95" s="2">
        <v>1323059</v>
      </c>
      <c r="B95" s="2" t="s">
        <v>70</v>
      </c>
      <c r="C95" s="2" t="s">
        <v>643</v>
      </c>
      <c r="D95" s="2" t="s">
        <v>1130</v>
      </c>
      <c r="E95" s="2">
        <v>7988616254</v>
      </c>
      <c r="F95" s="2" t="s">
        <v>1747</v>
      </c>
      <c r="G95" s="2" t="s">
        <v>1138</v>
      </c>
      <c r="H95" s="44">
        <f>VLOOKUP($A95,'BCA-2023-2026'!$B$2:$S$641,18,FALSE)</f>
        <v>8.1366666666666667</v>
      </c>
    </row>
    <row r="96" spans="1:8" x14ac:dyDescent="0.3">
      <c r="A96" s="2">
        <v>1323466</v>
      </c>
      <c r="B96" s="2" t="s">
        <v>457</v>
      </c>
      <c r="C96" s="2" t="s">
        <v>844</v>
      </c>
      <c r="D96" s="2" t="s">
        <v>1071</v>
      </c>
      <c r="E96" s="2">
        <v>6360544352</v>
      </c>
      <c r="F96" s="2" t="s">
        <v>2076</v>
      </c>
      <c r="G96" s="2" t="s">
        <v>1143</v>
      </c>
      <c r="H96" s="44">
        <f>VLOOKUP($A96,'BCA-2023-2026'!$B$2:$S$641,18,FALSE)</f>
        <v>8.1274999999999995</v>
      </c>
    </row>
    <row r="97" spans="1:8" x14ac:dyDescent="0.3">
      <c r="A97" s="2">
        <v>1323084</v>
      </c>
      <c r="B97" s="2" t="s">
        <v>93</v>
      </c>
      <c r="C97" s="2" t="s">
        <v>656</v>
      </c>
      <c r="D97" s="2" t="s">
        <v>1163</v>
      </c>
      <c r="E97" s="2">
        <v>9306526975</v>
      </c>
      <c r="F97" s="2" t="s">
        <v>1766</v>
      </c>
      <c r="G97" s="2" t="s">
        <v>1139</v>
      </c>
      <c r="H97" s="44">
        <f>VLOOKUP($A97,'BCA-2023-2026'!$B$2:$S$641,18,FALSE)</f>
        <v>8.125</v>
      </c>
    </row>
    <row r="98" spans="1:8" x14ac:dyDescent="0.3">
      <c r="A98" s="2">
        <v>1323260</v>
      </c>
      <c r="B98" s="2" t="s">
        <v>267</v>
      </c>
      <c r="C98" s="2" t="s">
        <v>702</v>
      </c>
      <c r="D98" s="2" t="s">
        <v>1281</v>
      </c>
      <c r="E98" s="2">
        <v>9306394795</v>
      </c>
      <c r="F98" s="2" t="s">
        <v>1917</v>
      </c>
      <c r="G98" s="2" t="s">
        <v>1141</v>
      </c>
      <c r="H98" s="44">
        <f>VLOOKUP($A98,'BCA-2023-2026'!$B$2:$S$641,18,FALSE)</f>
        <v>8.1224999999999987</v>
      </c>
    </row>
    <row r="99" spans="1:8" x14ac:dyDescent="0.3">
      <c r="A99" s="2">
        <v>1323587</v>
      </c>
      <c r="B99" s="2" t="s">
        <v>568</v>
      </c>
      <c r="C99" s="2" t="s">
        <v>909</v>
      </c>
      <c r="D99" s="2" t="s">
        <v>981</v>
      </c>
      <c r="E99" s="2">
        <v>8797869992</v>
      </c>
      <c r="F99" s="2" t="s">
        <v>2173</v>
      </c>
      <c r="G99" s="2" t="s">
        <v>1143</v>
      </c>
      <c r="H99" s="44">
        <f>VLOOKUP($A99,'BCA-2023-2026'!$B$2:$S$641,18,FALSE)</f>
        <v>8.1125000000000007</v>
      </c>
    </row>
    <row r="100" spans="1:8" x14ac:dyDescent="0.3">
      <c r="A100" s="2">
        <v>1323189</v>
      </c>
      <c r="B100" s="2" t="s">
        <v>196</v>
      </c>
      <c r="C100" s="2" t="s">
        <v>1490</v>
      </c>
      <c r="D100" s="2" t="s">
        <v>1234</v>
      </c>
      <c r="E100" s="2">
        <v>8360753974</v>
      </c>
      <c r="F100" s="2" t="s">
        <v>1854</v>
      </c>
      <c r="G100" s="2" t="s">
        <v>1140</v>
      </c>
      <c r="H100" s="44">
        <f>VLOOKUP($A100,'BCA-2023-2026'!$B$2:$S$641,18,FALSE)</f>
        <v>8.1024999999999991</v>
      </c>
    </row>
    <row r="101" spans="1:8" x14ac:dyDescent="0.3">
      <c r="A101" s="2">
        <v>1323580</v>
      </c>
      <c r="B101" s="2" t="s">
        <v>562</v>
      </c>
      <c r="C101" s="2" t="s">
        <v>828</v>
      </c>
      <c r="D101" s="2" t="s">
        <v>986</v>
      </c>
      <c r="E101" s="2">
        <v>6203701013</v>
      </c>
      <c r="F101" s="2" t="s">
        <v>2167</v>
      </c>
      <c r="G101" s="2" t="s">
        <v>1143</v>
      </c>
      <c r="H101" s="44">
        <f>VLOOKUP($A101,'BCA-2023-2026'!$B$2:$S$641,18,FALSE)</f>
        <v>8.0949999999999989</v>
      </c>
    </row>
    <row r="102" spans="1:8" x14ac:dyDescent="0.3">
      <c r="A102" s="2">
        <v>1323257</v>
      </c>
      <c r="B102" s="2" t="s">
        <v>264</v>
      </c>
      <c r="C102" s="2" t="s">
        <v>1515</v>
      </c>
      <c r="D102" s="2" t="s">
        <v>1079</v>
      </c>
      <c r="E102" s="2">
        <v>8901497421</v>
      </c>
      <c r="F102" s="2" t="s">
        <v>1914</v>
      </c>
      <c r="G102" s="2" t="s">
        <v>1141</v>
      </c>
      <c r="H102" s="44">
        <f>VLOOKUP($A102,'BCA-2023-2026'!$B$2:$S$641,18,FALSE)</f>
        <v>8.0933333333333337</v>
      </c>
    </row>
    <row r="103" spans="1:8" x14ac:dyDescent="0.3">
      <c r="A103" s="2">
        <v>1323121</v>
      </c>
      <c r="B103" s="2" t="s">
        <v>130</v>
      </c>
      <c r="C103" s="2" t="s">
        <v>1462</v>
      </c>
      <c r="D103" s="2" t="s">
        <v>1166</v>
      </c>
      <c r="E103" s="2"/>
      <c r="F103" s="2"/>
      <c r="G103" s="2"/>
      <c r="H103" s="44">
        <f>VLOOKUP($A103,'BCA-2023-2026'!$B$2:$S$641,18,FALSE)</f>
        <v>8.09</v>
      </c>
    </row>
    <row r="104" spans="1:8" x14ac:dyDescent="0.3">
      <c r="A104" s="2">
        <v>1323267</v>
      </c>
      <c r="B104" s="2" t="s">
        <v>274</v>
      </c>
      <c r="C104" s="2" t="s">
        <v>672</v>
      </c>
      <c r="D104" s="2" t="s">
        <v>1271</v>
      </c>
      <c r="E104" s="2">
        <v>9992596654</v>
      </c>
      <c r="F104" s="2" t="s">
        <v>1923</v>
      </c>
      <c r="G104" s="2" t="s">
        <v>1141</v>
      </c>
      <c r="H104" s="44">
        <f>VLOOKUP($A104,'BCA-2023-2026'!$B$2:$S$641,18,FALSE)</f>
        <v>8.09</v>
      </c>
    </row>
    <row r="105" spans="1:8" x14ac:dyDescent="0.3">
      <c r="A105" s="2">
        <v>1323303</v>
      </c>
      <c r="B105" s="2" t="s">
        <v>308</v>
      </c>
      <c r="C105" s="2" t="s">
        <v>632</v>
      </c>
      <c r="D105" s="2" t="s">
        <v>1080</v>
      </c>
      <c r="E105" s="2"/>
      <c r="F105" s="2"/>
      <c r="G105" s="2"/>
      <c r="H105" s="44">
        <f>VLOOKUP($A105,'BCA-2023-2026'!$B$2:$S$641,18,FALSE)</f>
        <v>8.09</v>
      </c>
    </row>
    <row r="106" spans="1:8" x14ac:dyDescent="0.3">
      <c r="A106" s="2">
        <v>1323091</v>
      </c>
      <c r="B106" s="2" t="s">
        <v>100</v>
      </c>
      <c r="C106" s="2" t="s">
        <v>660</v>
      </c>
      <c r="D106" s="2" t="s">
        <v>1168</v>
      </c>
      <c r="E106" s="2">
        <v>9416461113</v>
      </c>
      <c r="F106" s="2" t="s">
        <v>1772</v>
      </c>
      <c r="G106" s="2" t="s">
        <v>1139</v>
      </c>
      <c r="H106" s="44">
        <f>VLOOKUP($A106,'BCA-2023-2026'!$B$2:$S$641,18,FALSE)</f>
        <v>8.067499999999999</v>
      </c>
    </row>
    <row r="107" spans="1:8" x14ac:dyDescent="0.3">
      <c r="A107" s="2">
        <v>1323443</v>
      </c>
      <c r="B107" s="2" t="s">
        <v>435</v>
      </c>
      <c r="C107" s="2" t="s">
        <v>822</v>
      </c>
      <c r="D107" s="2" t="s">
        <v>1404</v>
      </c>
      <c r="E107" s="2">
        <v>9153802551</v>
      </c>
      <c r="F107" s="2" t="s">
        <v>2057</v>
      </c>
      <c r="G107" s="2" t="s">
        <v>1143</v>
      </c>
      <c r="H107" s="44">
        <f>VLOOKUP($A107,'BCA-2023-2026'!$B$2:$S$641,18,FALSE)</f>
        <v>8.067499999999999</v>
      </c>
    </row>
    <row r="108" spans="1:8" x14ac:dyDescent="0.3">
      <c r="A108" s="2">
        <v>1323403</v>
      </c>
      <c r="B108" s="2" t="s">
        <v>401</v>
      </c>
      <c r="C108" s="2" t="s">
        <v>777</v>
      </c>
      <c r="D108" s="2" t="s">
        <v>1372</v>
      </c>
      <c r="E108" s="2">
        <v>9142496994</v>
      </c>
      <c r="F108" s="2" t="s">
        <v>2027</v>
      </c>
      <c r="G108" s="2" t="s">
        <v>1143</v>
      </c>
      <c r="H108" s="44">
        <f>VLOOKUP($A108,'BCA-2023-2026'!$B$2:$S$641,18,FALSE)</f>
        <v>8.0625</v>
      </c>
    </row>
    <row r="109" spans="1:8" x14ac:dyDescent="0.3">
      <c r="A109" s="2">
        <v>1323518</v>
      </c>
      <c r="B109" s="2" t="s">
        <v>507</v>
      </c>
      <c r="C109" s="2" t="s">
        <v>884</v>
      </c>
      <c r="D109" s="2" t="s">
        <v>826</v>
      </c>
      <c r="E109" s="2">
        <v>9508886867</v>
      </c>
      <c r="F109" s="2" t="s">
        <v>2120</v>
      </c>
      <c r="G109" s="2" t="s">
        <v>1144</v>
      </c>
      <c r="H109" s="44">
        <f>VLOOKUP($A109,'BCA-2023-2026'!$B$2:$S$641,18,FALSE)</f>
        <v>8.06</v>
      </c>
    </row>
    <row r="110" spans="1:8" x14ac:dyDescent="0.3">
      <c r="A110" s="2">
        <v>1323426</v>
      </c>
      <c r="B110" s="2" t="s">
        <v>424</v>
      </c>
      <c r="C110" s="2" t="s">
        <v>814</v>
      </c>
      <c r="D110" s="2" t="s">
        <v>1371</v>
      </c>
      <c r="E110" s="2">
        <v>6202738887</v>
      </c>
      <c r="F110" s="2" t="s">
        <v>2048</v>
      </c>
      <c r="G110" s="2" t="s">
        <v>1143</v>
      </c>
      <c r="H110" s="44">
        <f>VLOOKUP($A110,'BCA-2023-2026'!$B$2:$S$641,18,FALSE)</f>
        <v>8.0549999999999997</v>
      </c>
    </row>
    <row r="111" spans="1:8" x14ac:dyDescent="0.3">
      <c r="A111" s="2">
        <v>1323006</v>
      </c>
      <c r="B111" s="2" t="s">
        <v>20</v>
      </c>
      <c r="C111" s="2" t="s">
        <v>614</v>
      </c>
      <c r="D111" s="2" t="s">
        <v>977</v>
      </c>
      <c r="E111" s="2">
        <v>7027082784</v>
      </c>
      <c r="F111" s="2" t="s">
        <v>1702</v>
      </c>
      <c r="G111" s="2" t="s">
        <v>1138</v>
      </c>
      <c r="H111" s="44">
        <f>VLOOKUP($A111,'BCA-2023-2026'!$B$2:$S$641,18,FALSE)</f>
        <v>8.0449999999999999</v>
      </c>
    </row>
    <row r="112" spans="1:8" x14ac:dyDescent="0.3">
      <c r="A112" s="2">
        <v>1323023</v>
      </c>
      <c r="B112" s="2" t="s">
        <v>37</v>
      </c>
      <c r="C112" s="2" t="s">
        <v>622</v>
      </c>
      <c r="D112" s="2" t="s">
        <v>1101</v>
      </c>
      <c r="E112" s="2">
        <v>7419206501</v>
      </c>
      <c r="F112" s="2" t="s">
        <v>1715</v>
      </c>
      <c r="G112" s="2" t="s">
        <v>1138</v>
      </c>
      <c r="H112" s="44">
        <f>VLOOKUP($A112,'BCA-2023-2026'!$B$2:$S$641,18,FALSE)</f>
        <v>8.0266666666666655</v>
      </c>
    </row>
    <row r="113" spans="1:8" x14ac:dyDescent="0.3">
      <c r="A113" s="2">
        <v>1323158</v>
      </c>
      <c r="B113" s="2" t="s">
        <v>167</v>
      </c>
      <c r="C113" s="2" t="s">
        <v>1477</v>
      </c>
      <c r="D113" s="2" t="s">
        <v>1215</v>
      </c>
      <c r="E113" s="2">
        <v>7082562639</v>
      </c>
      <c r="F113" s="2" t="s">
        <v>1829</v>
      </c>
      <c r="G113" s="2" t="s">
        <v>1139</v>
      </c>
      <c r="H113" s="44">
        <f>VLOOKUP($A113,'BCA-2023-2026'!$B$2:$S$641,18,FALSE)</f>
        <v>8.0225000000000009</v>
      </c>
    </row>
    <row r="114" spans="1:8" x14ac:dyDescent="0.3">
      <c r="A114" s="2">
        <v>1323603</v>
      </c>
      <c r="B114" s="2" t="s">
        <v>577</v>
      </c>
      <c r="C114" s="2" t="s">
        <v>843</v>
      </c>
      <c r="D114" s="2" t="s">
        <v>878</v>
      </c>
      <c r="E114" s="2">
        <v>9334302561</v>
      </c>
      <c r="F114" s="2" t="s">
        <v>2182</v>
      </c>
      <c r="G114" s="2" t="s">
        <v>1144</v>
      </c>
      <c r="H114" s="44">
        <f>VLOOKUP($A114,'BCA-2023-2026'!$B$2:$S$641,18,FALSE)</f>
        <v>8.02</v>
      </c>
    </row>
    <row r="115" spans="1:8" x14ac:dyDescent="0.3">
      <c r="A115" s="2">
        <v>1323243</v>
      </c>
      <c r="B115" s="2" t="s">
        <v>250</v>
      </c>
      <c r="C115" s="2" t="s">
        <v>625</v>
      </c>
      <c r="D115" s="2" t="s">
        <v>1270</v>
      </c>
      <c r="E115" s="2">
        <v>7105550469</v>
      </c>
      <c r="F115" s="2" t="s">
        <v>1902</v>
      </c>
      <c r="G115" s="2" t="s">
        <v>1141</v>
      </c>
      <c r="H115" s="44">
        <f>VLOOKUP($A115,'BCA-2023-2026'!$B$2:$S$641,18,FALSE)</f>
        <v>8.0166666666666675</v>
      </c>
    </row>
    <row r="116" spans="1:8" x14ac:dyDescent="0.3">
      <c r="A116" s="2">
        <v>1323484</v>
      </c>
      <c r="B116" s="2" t="s">
        <v>475</v>
      </c>
      <c r="C116" s="2" t="s">
        <v>859</v>
      </c>
      <c r="D116" s="2" t="s">
        <v>1057</v>
      </c>
      <c r="E116" s="2">
        <v>8424877541</v>
      </c>
      <c r="F116" s="2" t="s">
        <v>2093</v>
      </c>
      <c r="G116" s="2" t="s">
        <v>1144</v>
      </c>
      <c r="H116" s="44">
        <f>VLOOKUP($A116,'BCA-2023-2026'!$B$2:$S$641,18,FALSE)</f>
        <v>8.0150000000000006</v>
      </c>
    </row>
    <row r="117" spans="1:8" x14ac:dyDescent="0.3">
      <c r="A117" s="2">
        <v>1323349</v>
      </c>
      <c r="B117" s="2" t="s">
        <v>350</v>
      </c>
      <c r="C117" s="2" t="s">
        <v>768</v>
      </c>
      <c r="D117" s="2" t="s">
        <v>1335</v>
      </c>
      <c r="E117" s="2">
        <v>8816901625</v>
      </c>
      <c r="F117" s="2" t="s">
        <v>1987</v>
      </c>
      <c r="G117" s="2" t="s">
        <v>1142</v>
      </c>
      <c r="H117" s="44">
        <f>VLOOKUP($A117,'BCA-2023-2026'!$B$2:$S$641,18,FALSE)</f>
        <v>8.01</v>
      </c>
    </row>
    <row r="118" spans="1:8" x14ac:dyDescent="0.3">
      <c r="A118" s="2">
        <v>1323400</v>
      </c>
      <c r="B118" s="2" t="s">
        <v>398</v>
      </c>
      <c r="C118" s="2" t="s">
        <v>793</v>
      </c>
      <c r="D118" s="2" t="s">
        <v>1369</v>
      </c>
      <c r="E118" s="2">
        <v>9113196203</v>
      </c>
      <c r="F118" s="2" t="s">
        <v>2024</v>
      </c>
      <c r="G118" s="2" t="s">
        <v>1143</v>
      </c>
      <c r="H118" s="44">
        <f>VLOOKUP($A118,'BCA-2023-2026'!$B$2:$S$641,18,FALSE)</f>
        <v>7.9924999999999997</v>
      </c>
    </row>
    <row r="119" spans="1:8" x14ac:dyDescent="0.3">
      <c r="A119" s="2">
        <v>1323270</v>
      </c>
      <c r="B119" s="2" t="s">
        <v>277</v>
      </c>
      <c r="C119" s="2" t="s">
        <v>1523</v>
      </c>
      <c r="D119" s="2" t="s">
        <v>613</v>
      </c>
      <c r="E119" s="2">
        <v>8307302996</v>
      </c>
      <c r="F119" s="2" t="s">
        <v>1926</v>
      </c>
      <c r="G119" s="2" t="s">
        <v>1141</v>
      </c>
      <c r="H119" s="44">
        <f>VLOOKUP($A119,'BCA-2023-2026'!$B$2:$S$641,18,FALSE)</f>
        <v>7.9775</v>
      </c>
    </row>
    <row r="120" spans="1:8" x14ac:dyDescent="0.3">
      <c r="A120" s="2">
        <v>1323481</v>
      </c>
      <c r="B120" s="2" t="s">
        <v>472</v>
      </c>
      <c r="C120" s="2" t="s">
        <v>856</v>
      </c>
      <c r="D120" s="2" t="s">
        <v>1060</v>
      </c>
      <c r="E120" s="2">
        <v>7091943675</v>
      </c>
      <c r="F120" s="2" t="s">
        <v>2090</v>
      </c>
      <c r="G120" s="2" t="s">
        <v>1144</v>
      </c>
      <c r="H120" s="44">
        <f>VLOOKUP($A120,'BCA-2023-2026'!$B$2:$S$641,18,FALSE)</f>
        <v>7.9625000000000004</v>
      </c>
    </row>
    <row r="121" spans="1:8" x14ac:dyDescent="0.3">
      <c r="A121" s="2">
        <v>1323401</v>
      </c>
      <c r="B121" s="2" t="s">
        <v>399</v>
      </c>
      <c r="C121" s="2" t="s">
        <v>794</v>
      </c>
      <c r="D121" s="2" t="s">
        <v>1370</v>
      </c>
      <c r="E121" s="2">
        <v>9905812926</v>
      </c>
      <c r="F121" s="2" t="s">
        <v>2025</v>
      </c>
      <c r="G121" s="2" t="s">
        <v>1143</v>
      </c>
      <c r="H121" s="44">
        <f>VLOOKUP($A121,'BCA-2023-2026'!$B$2:$S$641,18,FALSE)</f>
        <v>7.96</v>
      </c>
    </row>
    <row r="122" spans="1:8" x14ac:dyDescent="0.3">
      <c r="A122" s="2">
        <v>1323010</v>
      </c>
      <c r="B122" s="2" t="s">
        <v>24</v>
      </c>
      <c r="C122" s="2" t="s">
        <v>616</v>
      </c>
      <c r="D122" s="2" t="s">
        <v>1093</v>
      </c>
      <c r="E122" s="2">
        <v>7055570167</v>
      </c>
      <c r="F122" s="2" t="s">
        <v>1706</v>
      </c>
      <c r="G122" s="2" t="s">
        <v>1138</v>
      </c>
      <c r="H122" s="44">
        <f>VLOOKUP($A122,'BCA-2023-2026'!$B$2:$S$641,18,FALSE)</f>
        <v>7.9450000000000003</v>
      </c>
    </row>
    <row r="123" spans="1:8" x14ac:dyDescent="0.3">
      <c r="A123" s="2">
        <v>1323490</v>
      </c>
      <c r="B123" s="2" t="s">
        <v>481</v>
      </c>
      <c r="C123" s="2" t="s">
        <v>863</v>
      </c>
      <c r="D123" s="2" t="s">
        <v>1053</v>
      </c>
      <c r="E123" s="2">
        <v>7903949959</v>
      </c>
      <c r="F123" s="2" t="s">
        <v>2097</v>
      </c>
      <c r="G123" s="2" t="s">
        <v>1144</v>
      </c>
      <c r="H123" s="44">
        <f>VLOOKUP($A123,'BCA-2023-2026'!$B$2:$S$641,18,FALSE)</f>
        <v>7.9450000000000003</v>
      </c>
    </row>
    <row r="124" spans="1:8" x14ac:dyDescent="0.3">
      <c r="A124" s="2">
        <v>1323258</v>
      </c>
      <c r="B124" s="2" t="s">
        <v>265</v>
      </c>
      <c r="C124" s="2" t="s">
        <v>1516</v>
      </c>
      <c r="D124" s="2" t="s">
        <v>1280</v>
      </c>
      <c r="E124" s="2">
        <v>9053721106</v>
      </c>
      <c r="F124" s="2" t="s">
        <v>1915</v>
      </c>
      <c r="G124" s="2" t="s">
        <v>1141</v>
      </c>
      <c r="H124" s="44">
        <f>VLOOKUP($A124,'BCA-2023-2026'!$B$2:$S$641,18,FALSE)</f>
        <v>7.9424999999999999</v>
      </c>
    </row>
    <row r="125" spans="1:8" x14ac:dyDescent="0.3">
      <c r="A125" s="2">
        <v>1323588</v>
      </c>
      <c r="B125" s="2" t="s">
        <v>569</v>
      </c>
      <c r="C125" s="2" t="s">
        <v>1599</v>
      </c>
      <c r="D125" s="2" t="s">
        <v>980</v>
      </c>
      <c r="E125" s="2">
        <v>6206913925</v>
      </c>
      <c r="F125" s="2" t="s">
        <v>2174</v>
      </c>
      <c r="G125" s="2"/>
      <c r="H125" s="44">
        <f>VLOOKUP($A125,'BCA-2023-2026'!$B$2:$S$641,18,FALSE)</f>
        <v>7.9375</v>
      </c>
    </row>
    <row r="126" spans="1:8" x14ac:dyDescent="0.3">
      <c r="A126" s="2">
        <v>1323451</v>
      </c>
      <c r="B126" s="2" t="s">
        <v>443</v>
      </c>
      <c r="C126" s="2" t="s">
        <v>830</v>
      </c>
      <c r="D126" s="2" t="s">
        <v>1082</v>
      </c>
      <c r="E126" s="2">
        <v>7070234336</v>
      </c>
      <c r="F126" s="2" t="s">
        <v>2065</v>
      </c>
      <c r="G126" s="2" t="s">
        <v>1143</v>
      </c>
      <c r="H126" s="44">
        <f>VLOOKUP($A126,'BCA-2023-2026'!$B$2:$S$641,18,FALSE)</f>
        <v>7.9233333333333329</v>
      </c>
    </row>
    <row r="127" spans="1:8" x14ac:dyDescent="0.3">
      <c r="A127" s="2">
        <v>1323393</v>
      </c>
      <c r="B127" s="2" t="s">
        <v>391</v>
      </c>
      <c r="C127" s="2" t="s">
        <v>789</v>
      </c>
      <c r="D127" s="2" t="s">
        <v>1364</v>
      </c>
      <c r="E127" s="2">
        <v>8873972638</v>
      </c>
      <c r="F127" s="2" t="s">
        <v>2021</v>
      </c>
      <c r="G127" s="2" t="s">
        <v>1142</v>
      </c>
      <c r="H127" s="44">
        <f>VLOOKUP($A127,'BCA-2023-2026'!$B$2:$S$641,18,FALSE)</f>
        <v>7.92</v>
      </c>
    </row>
    <row r="128" spans="1:8" x14ac:dyDescent="0.3">
      <c r="A128" s="2">
        <v>1323036</v>
      </c>
      <c r="B128" s="2" t="s">
        <v>49</v>
      </c>
      <c r="C128" s="2" t="s">
        <v>630</v>
      </c>
      <c r="D128" s="2" t="s">
        <v>1111</v>
      </c>
      <c r="E128" s="2">
        <v>8168091086</v>
      </c>
      <c r="F128" s="2" t="s">
        <v>1726</v>
      </c>
      <c r="G128" s="2" t="s">
        <v>1138</v>
      </c>
      <c r="H128" s="44">
        <f>VLOOKUP($A128,'BCA-2023-2026'!$B$2:$S$641,18,FALSE)</f>
        <v>7.915</v>
      </c>
    </row>
    <row r="129" spans="1:8" x14ac:dyDescent="0.3">
      <c r="A129" s="2">
        <v>1323180</v>
      </c>
      <c r="B129" s="2" t="s">
        <v>187</v>
      </c>
      <c r="C129" s="2" t="s">
        <v>705</v>
      </c>
      <c r="D129" s="2" t="s">
        <v>1228</v>
      </c>
      <c r="E129" s="2">
        <v>8168264430</v>
      </c>
      <c r="F129" s="2" t="s">
        <v>1847</v>
      </c>
      <c r="G129" s="2" t="s">
        <v>1140</v>
      </c>
      <c r="H129" s="44">
        <f>VLOOKUP($A129,'BCA-2023-2026'!$B$2:$S$641,18,FALSE)</f>
        <v>7.8975</v>
      </c>
    </row>
    <row r="130" spans="1:8" x14ac:dyDescent="0.3">
      <c r="A130" s="2">
        <v>1323544</v>
      </c>
      <c r="B130" s="2" t="s">
        <v>533</v>
      </c>
      <c r="C130" s="2" t="s">
        <v>1575</v>
      </c>
      <c r="D130" s="2" t="s">
        <v>1011</v>
      </c>
      <c r="E130" s="2">
        <v>8797175929</v>
      </c>
      <c r="F130" s="2" t="s">
        <v>2143</v>
      </c>
      <c r="G130" s="2" t="s">
        <v>1144</v>
      </c>
      <c r="H130" s="44">
        <f>VLOOKUP($A130,'BCA-2023-2026'!$B$2:$S$641,18,FALSE)</f>
        <v>7.8850000000000007</v>
      </c>
    </row>
    <row r="131" spans="1:8" x14ac:dyDescent="0.3">
      <c r="A131" s="2">
        <v>1323011</v>
      </c>
      <c r="B131" s="2" t="s">
        <v>25</v>
      </c>
      <c r="C131" s="2" t="s">
        <v>617</v>
      </c>
      <c r="D131" s="2" t="s">
        <v>819</v>
      </c>
      <c r="E131" s="2">
        <v>7056088460</v>
      </c>
      <c r="F131" s="2" t="s">
        <v>1707</v>
      </c>
      <c r="G131" s="2" t="s">
        <v>1138</v>
      </c>
      <c r="H131" s="44">
        <f>VLOOKUP($A131,'BCA-2023-2026'!$B$2:$S$641,18,FALSE)</f>
        <v>7.88</v>
      </c>
    </row>
    <row r="132" spans="1:8" x14ac:dyDescent="0.3">
      <c r="A132" s="2">
        <v>1323310</v>
      </c>
      <c r="B132" s="2" t="s">
        <v>315</v>
      </c>
      <c r="C132" s="2" t="s">
        <v>1537</v>
      </c>
      <c r="D132" s="2" t="s">
        <v>1304</v>
      </c>
      <c r="E132" s="2">
        <v>8112906729</v>
      </c>
      <c r="F132" s="2" t="s">
        <v>1961</v>
      </c>
      <c r="G132" s="2" t="s">
        <v>1141</v>
      </c>
      <c r="H132" s="44">
        <f>VLOOKUP($A132,'BCA-2023-2026'!$B$2:$S$641,18,FALSE)</f>
        <v>7.8775000000000004</v>
      </c>
    </row>
    <row r="133" spans="1:8" x14ac:dyDescent="0.3">
      <c r="A133" s="2">
        <v>1323435</v>
      </c>
      <c r="B133" s="2" t="s">
        <v>430</v>
      </c>
      <c r="C133" s="2" t="s">
        <v>787</v>
      </c>
      <c r="D133" s="2" t="s">
        <v>1399</v>
      </c>
      <c r="E133" s="2">
        <v>9508068896</v>
      </c>
      <c r="F133" s="2" t="s">
        <v>2052</v>
      </c>
      <c r="G133" s="2" t="s">
        <v>1143</v>
      </c>
      <c r="H133" s="44">
        <f>VLOOKUP($A133,'BCA-2023-2026'!$B$2:$S$641,18,FALSE)</f>
        <v>7.8650000000000002</v>
      </c>
    </row>
    <row r="134" spans="1:8" x14ac:dyDescent="0.3">
      <c r="A134" s="2">
        <v>1323474</v>
      </c>
      <c r="B134" s="2" t="s">
        <v>465</v>
      </c>
      <c r="C134" s="2" t="s">
        <v>850</v>
      </c>
      <c r="D134" s="2" t="s">
        <v>1065</v>
      </c>
      <c r="E134" s="2">
        <v>9546226164</v>
      </c>
      <c r="F134" s="2" t="s">
        <v>2084</v>
      </c>
      <c r="G134" s="2" t="s">
        <v>1143</v>
      </c>
      <c r="H134" s="44">
        <f>VLOOKUP($A134,'BCA-2023-2026'!$B$2:$S$641,18,FALSE)</f>
        <v>7.8650000000000002</v>
      </c>
    </row>
    <row r="135" spans="1:8" x14ac:dyDescent="0.3">
      <c r="A135" s="45">
        <v>1323607</v>
      </c>
      <c r="B135" s="45" t="s">
        <v>580</v>
      </c>
      <c r="C135" s="45" t="s">
        <v>1610</v>
      </c>
      <c r="D135" s="45" t="s">
        <v>970</v>
      </c>
      <c r="E135" s="45">
        <v>7324010867</v>
      </c>
      <c r="F135" s="45" t="s">
        <v>2186</v>
      </c>
      <c r="G135" s="45" t="s">
        <v>1144</v>
      </c>
      <c r="H135" s="46">
        <f>VLOOKUP($A135,'BCA-2023-2026'!$B$2:$S$641,18,FALSE)</f>
        <v>7.8650000000000002</v>
      </c>
    </row>
    <row r="136" spans="1:8" x14ac:dyDescent="0.3">
      <c r="A136" s="2">
        <v>1323323</v>
      </c>
      <c r="B136" s="2" t="s">
        <v>328</v>
      </c>
      <c r="C136" s="2" t="s">
        <v>735</v>
      </c>
      <c r="D136" s="2" t="s">
        <v>1315</v>
      </c>
      <c r="E136" s="2">
        <v>9050178487</v>
      </c>
      <c r="F136" s="2" t="s">
        <v>1971</v>
      </c>
      <c r="G136" s="2" t="s">
        <v>1142</v>
      </c>
      <c r="H136" s="44">
        <f>VLOOKUP($A136,'BCA-2023-2026'!$B$2:$S$641,18,FALSE)</f>
        <v>7.8624999999999998</v>
      </c>
    </row>
    <row r="137" spans="1:8" x14ac:dyDescent="0.3">
      <c r="A137" s="2">
        <v>1323222</v>
      </c>
      <c r="B137" s="2" t="s">
        <v>229</v>
      </c>
      <c r="C137" s="2" t="s">
        <v>720</v>
      </c>
      <c r="D137" s="2" t="s">
        <v>891</v>
      </c>
      <c r="E137" s="2">
        <v>9896492818</v>
      </c>
      <c r="F137" s="2" t="s">
        <v>1885</v>
      </c>
      <c r="G137" s="2" t="s">
        <v>1140</v>
      </c>
      <c r="H137" s="44">
        <f>VLOOKUP($A137,'BCA-2023-2026'!$B$2:$S$641,18,FALSE)</f>
        <v>7.8525</v>
      </c>
    </row>
    <row r="138" spans="1:8" x14ac:dyDescent="0.3">
      <c r="A138" s="2">
        <v>1323118</v>
      </c>
      <c r="B138" s="2" t="s">
        <v>127</v>
      </c>
      <c r="C138" s="2" t="s">
        <v>1460</v>
      </c>
      <c r="D138" s="2" t="s">
        <v>1188</v>
      </c>
      <c r="E138" s="2">
        <v>9992163523</v>
      </c>
      <c r="F138" s="2" t="s">
        <v>1796</v>
      </c>
      <c r="G138" s="2" t="s">
        <v>1139</v>
      </c>
      <c r="H138" s="44">
        <f>VLOOKUP($A138,'BCA-2023-2026'!$B$2:$S$641,18,FALSE)</f>
        <v>7.85</v>
      </c>
    </row>
    <row r="139" spans="1:8" x14ac:dyDescent="0.3">
      <c r="A139" s="2">
        <v>1323526</v>
      </c>
      <c r="B139" s="2" t="s">
        <v>515</v>
      </c>
      <c r="C139" s="2" t="s">
        <v>889</v>
      </c>
      <c r="D139" s="2" t="s">
        <v>1025</v>
      </c>
      <c r="E139" s="2">
        <v>9430826033</v>
      </c>
      <c r="F139" s="2" t="s">
        <v>2128</v>
      </c>
      <c r="G139" s="2" t="s">
        <v>1144</v>
      </c>
      <c r="H139" s="44">
        <f>VLOOKUP($A139,'BCA-2023-2026'!$B$2:$S$641,18,FALSE)</f>
        <v>7.8475000000000001</v>
      </c>
    </row>
    <row r="140" spans="1:8" x14ac:dyDescent="0.3">
      <c r="A140" s="2">
        <v>1323488</v>
      </c>
      <c r="B140" s="2" t="s">
        <v>479</v>
      </c>
      <c r="C140" s="2" t="s">
        <v>861</v>
      </c>
      <c r="D140" s="2" t="s">
        <v>1055</v>
      </c>
      <c r="E140" s="2">
        <v>6202471286</v>
      </c>
      <c r="F140" s="2" t="s">
        <v>2095</v>
      </c>
      <c r="G140" s="2" t="s">
        <v>1144</v>
      </c>
      <c r="H140" s="44">
        <f>VLOOKUP($A140,'BCA-2023-2026'!$B$2:$S$641,18,FALSE)</f>
        <v>7.8449999999999998</v>
      </c>
    </row>
    <row r="141" spans="1:8" x14ac:dyDescent="0.3">
      <c r="A141" s="2">
        <v>1323032</v>
      </c>
      <c r="B141" s="2" t="s">
        <v>45</v>
      </c>
      <c r="C141" s="2" t="s">
        <v>629</v>
      </c>
      <c r="D141" s="2" t="s">
        <v>1108</v>
      </c>
      <c r="E141" s="2">
        <v>8053095927</v>
      </c>
      <c r="F141" s="2" t="s">
        <v>1723</v>
      </c>
      <c r="G141" s="2" t="s">
        <v>1138</v>
      </c>
      <c r="H141" s="44">
        <f>VLOOKUP($A141,'BCA-2023-2026'!$B$2:$S$641,18,FALSE)</f>
        <v>7.84</v>
      </c>
    </row>
    <row r="142" spans="1:8" x14ac:dyDescent="0.3">
      <c r="A142" s="2">
        <v>1323334</v>
      </c>
      <c r="B142" s="2" t="s">
        <v>600</v>
      </c>
      <c r="C142" s="2"/>
      <c r="D142" s="2"/>
      <c r="E142" s="2">
        <v>7047172288</v>
      </c>
      <c r="F142" s="2" t="s">
        <v>1976</v>
      </c>
      <c r="G142" s="2" t="s">
        <v>1142</v>
      </c>
      <c r="H142" s="44">
        <f>VLOOKUP($A142,'BCA-2023-2026'!$B$2:$S$641,18,FALSE)</f>
        <v>7.8366666666666669</v>
      </c>
    </row>
    <row r="143" spans="1:8" x14ac:dyDescent="0.3">
      <c r="A143" s="2">
        <v>1323610</v>
      </c>
      <c r="B143" s="2" t="s">
        <v>583</v>
      </c>
      <c r="C143" s="2" t="s">
        <v>914</v>
      </c>
      <c r="D143" s="2" t="s">
        <v>967</v>
      </c>
      <c r="E143" s="2">
        <v>7988730695</v>
      </c>
      <c r="F143" s="2" t="s">
        <v>2189</v>
      </c>
      <c r="G143" s="2" t="s">
        <v>1140</v>
      </c>
      <c r="H143" s="44">
        <f>VLOOKUP($A143,'BCA-2023-2026'!$B$2:$S$641,18,FALSE)</f>
        <v>7.8366666666666669</v>
      </c>
    </row>
    <row r="144" spans="1:8" x14ac:dyDescent="0.3">
      <c r="A144" s="2">
        <v>1323232</v>
      </c>
      <c r="B144" s="2" t="s">
        <v>239</v>
      </c>
      <c r="C144" s="2" t="s">
        <v>1505</v>
      </c>
      <c r="D144" s="2" t="s">
        <v>1158</v>
      </c>
      <c r="E144" s="2">
        <v>9350421711</v>
      </c>
      <c r="F144" s="2" t="s">
        <v>1893</v>
      </c>
      <c r="G144" s="2" t="s">
        <v>1140</v>
      </c>
      <c r="H144" s="44">
        <f>VLOOKUP($A144,'BCA-2023-2026'!$B$2:$S$641,18,FALSE)</f>
        <v>7.83</v>
      </c>
    </row>
    <row r="145" spans="1:8" x14ac:dyDescent="0.3">
      <c r="A145" s="2">
        <v>1323227</v>
      </c>
      <c r="B145" s="2" t="s">
        <v>234</v>
      </c>
      <c r="C145" s="2" t="s">
        <v>723</v>
      </c>
      <c r="D145" s="2" t="s">
        <v>1260</v>
      </c>
      <c r="E145" s="2">
        <v>9306798882</v>
      </c>
      <c r="F145" s="2" t="s">
        <v>1890</v>
      </c>
      <c r="G145" s="2" t="s">
        <v>1140</v>
      </c>
      <c r="H145" s="44">
        <f>VLOOKUP($A145,'BCA-2023-2026'!$B$2:$S$641,18,FALSE)</f>
        <v>7.8274999999999997</v>
      </c>
    </row>
    <row r="146" spans="1:8" x14ac:dyDescent="0.3">
      <c r="A146" s="2">
        <v>1323280</v>
      </c>
      <c r="B146" s="2" t="s">
        <v>285</v>
      </c>
      <c r="C146" s="2" t="s">
        <v>742</v>
      </c>
      <c r="D146" s="2" t="s">
        <v>1291</v>
      </c>
      <c r="E146" s="2">
        <v>7719709524</v>
      </c>
      <c r="F146" s="2" t="s">
        <v>1935</v>
      </c>
      <c r="G146" s="2" t="s">
        <v>1141</v>
      </c>
      <c r="H146" s="44">
        <f>VLOOKUP($A146,'BCA-2023-2026'!$B$2:$S$641,18,FALSE)</f>
        <v>7.82</v>
      </c>
    </row>
    <row r="147" spans="1:8" x14ac:dyDescent="0.3">
      <c r="A147" s="2">
        <v>1323062</v>
      </c>
      <c r="B147" s="2" t="s">
        <v>73</v>
      </c>
      <c r="C147" s="2" t="s">
        <v>645</v>
      </c>
      <c r="D147" s="2" t="s">
        <v>1132</v>
      </c>
      <c r="E147" s="2">
        <v>8816884548</v>
      </c>
      <c r="F147" s="2" t="s">
        <v>1750</v>
      </c>
      <c r="G147" s="2" t="s">
        <v>1138</v>
      </c>
      <c r="H147" s="44">
        <f>VLOOKUP($A147,'BCA-2023-2026'!$B$2:$S$641,18,FALSE)</f>
        <v>7.7975000000000003</v>
      </c>
    </row>
    <row r="148" spans="1:8" x14ac:dyDescent="0.3">
      <c r="A148" s="2">
        <v>1323583</v>
      </c>
      <c r="B148" s="2" t="s">
        <v>565</v>
      </c>
      <c r="C148" s="2" t="s">
        <v>1596</v>
      </c>
      <c r="D148" s="2" t="s">
        <v>983</v>
      </c>
      <c r="E148" s="2">
        <v>6299996489</v>
      </c>
      <c r="F148" s="2" t="s">
        <v>2170</v>
      </c>
      <c r="G148" s="2" t="s">
        <v>1143</v>
      </c>
      <c r="H148" s="44">
        <f>VLOOKUP($A148,'BCA-2023-2026'!$B$2:$S$641,18,FALSE)</f>
        <v>7.7949999999999999</v>
      </c>
    </row>
    <row r="149" spans="1:8" x14ac:dyDescent="0.3">
      <c r="A149" s="2">
        <v>1323237</v>
      </c>
      <c r="B149" s="2" t="s">
        <v>244</v>
      </c>
      <c r="C149" s="2" t="s">
        <v>1506</v>
      </c>
      <c r="D149" s="2" t="s">
        <v>1265</v>
      </c>
      <c r="E149" s="2">
        <v>9877779350</v>
      </c>
      <c r="F149" s="2" t="s">
        <v>1897</v>
      </c>
      <c r="G149" s="2" t="s">
        <v>1140</v>
      </c>
      <c r="H149" s="44">
        <f>VLOOKUP($A149,'BCA-2023-2026'!$B$2:$S$641,18,FALSE)</f>
        <v>7.7924999999999995</v>
      </c>
    </row>
    <row r="150" spans="1:8" x14ac:dyDescent="0.3">
      <c r="A150" s="2">
        <v>1323407</v>
      </c>
      <c r="B150" s="2" t="s">
        <v>405</v>
      </c>
      <c r="C150" s="2" t="s">
        <v>798</v>
      </c>
      <c r="D150" s="2" t="s">
        <v>1376</v>
      </c>
      <c r="E150" s="2">
        <v>9728879312</v>
      </c>
      <c r="F150" s="2" t="s">
        <v>2031</v>
      </c>
      <c r="G150" s="2" t="s">
        <v>1143</v>
      </c>
      <c r="H150" s="44">
        <f>VLOOKUP($A150,'BCA-2023-2026'!$B$2:$S$641,18,FALSE)</f>
        <v>7.79</v>
      </c>
    </row>
    <row r="151" spans="1:8" x14ac:dyDescent="0.3">
      <c r="A151" s="2">
        <v>1323454</v>
      </c>
      <c r="B151" s="2" t="s">
        <v>446</v>
      </c>
      <c r="C151" s="2" t="s">
        <v>833</v>
      </c>
      <c r="D151" s="2" t="s">
        <v>1081</v>
      </c>
      <c r="E151" s="2">
        <v>6202692190</v>
      </c>
      <c r="F151" s="2" t="s">
        <v>2066</v>
      </c>
      <c r="G151" s="2" t="s">
        <v>1143</v>
      </c>
      <c r="H151" s="44">
        <f>VLOOKUP($A151,'BCA-2023-2026'!$B$2:$S$641,18,FALSE)</f>
        <v>7.79</v>
      </c>
    </row>
    <row r="152" spans="1:8" x14ac:dyDescent="0.3">
      <c r="A152" s="2">
        <v>1323007</v>
      </c>
      <c r="B152" s="2" t="s">
        <v>21</v>
      </c>
      <c r="C152" s="2" t="s">
        <v>615</v>
      </c>
      <c r="D152" s="2" t="s">
        <v>1090</v>
      </c>
      <c r="E152" s="2">
        <v>7027435871</v>
      </c>
      <c r="F152" s="2" t="s">
        <v>1703</v>
      </c>
      <c r="G152" s="2" t="s">
        <v>1138</v>
      </c>
      <c r="H152" s="44">
        <f>VLOOKUP($A152,'BCA-2023-2026'!$B$2:$S$641,18,FALSE)</f>
        <v>7.7824999999999998</v>
      </c>
    </row>
    <row r="153" spans="1:8" x14ac:dyDescent="0.3">
      <c r="A153" s="2">
        <v>1323437</v>
      </c>
      <c r="B153" s="2" t="s">
        <v>431</v>
      </c>
      <c r="C153" s="2" t="s">
        <v>818</v>
      </c>
      <c r="D153" s="2" t="s">
        <v>1400</v>
      </c>
      <c r="E153" s="2">
        <v>9350517435</v>
      </c>
      <c r="F153" s="2" t="s">
        <v>2053</v>
      </c>
      <c r="G153" s="2" t="s">
        <v>1142</v>
      </c>
      <c r="H153" s="44">
        <f>VLOOKUP($A153,'BCA-2023-2026'!$B$2:$S$641,18,FALSE)</f>
        <v>7.78</v>
      </c>
    </row>
    <row r="154" spans="1:8" x14ac:dyDescent="0.3">
      <c r="A154" s="2">
        <v>1323293</v>
      </c>
      <c r="B154" s="2" t="s">
        <v>298</v>
      </c>
      <c r="C154" s="2" t="s">
        <v>1530</v>
      </c>
      <c r="D154" s="2" t="s">
        <v>1298</v>
      </c>
      <c r="E154" s="2">
        <v>8307117494</v>
      </c>
      <c r="F154" s="2" t="s">
        <v>1948</v>
      </c>
      <c r="G154" s="2" t="s">
        <v>1141</v>
      </c>
      <c r="H154" s="44">
        <f>VLOOKUP($A154,'BCA-2023-2026'!$B$2:$S$641,18,FALSE)</f>
        <v>7.7733333333333334</v>
      </c>
    </row>
    <row r="155" spans="1:8" x14ac:dyDescent="0.3">
      <c r="A155" s="2">
        <v>1323107</v>
      </c>
      <c r="B155" s="2" t="s">
        <v>116</v>
      </c>
      <c r="C155" s="2" t="s">
        <v>956</v>
      </c>
      <c r="D155" s="2" t="s">
        <v>1178</v>
      </c>
      <c r="E155" s="2">
        <v>9813863531</v>
      </c>
      <c r="F155" s="2" t="s">
        <v>1785</v>
      </c>
      <c r="G155" s="2" t="s">
        <v>1139</v>
      </c>
      <c r="H155" s="44">
        <f>VLOOKUP($A155,'BCA-2023-2026'!$B$2:$S$641,18,FALSE)</f>
        <v>7.7725</v>
      </c>
    </row>
    <row r="156" spans="1:8" x14ac:dyDescent="0.3">
      <c r="A156" s="2">
        <v>1323275</v>
      </c>
      <c r="B156" s="2" t="s">
        <v>281</v>
      </c>
      <c r="C156" s="2" t="s">
        <v>740</v>
      </c>
      <c r="D156" s="2" t="s">
        <v>1123</v>
      </c>
      <c r="E156" s="2">
        <v>7027445742</v>
      </c>
      <c r="F156" s="2" t="s">
        <v>1930</v>
      </c>
      <c r="G156" s="2" t="s">
        <v>1141</v>
      </c>
      <c r="H156" s="44">
        <f>VLOOKUP($A156,'BCA-2023-2026'!$B$2:$S$641,18,FALSE)</f>
        <v>7.77</v>
      </c>
    </row>
    <row r="157" spans="1:8" x14ac:dyDescent="0.3">
      <c r="A157" s="2">
        <v>1323161</v>
      </c>
      <c r="B157" s="2" t="s">
        <v>170</v>
      </c>
      <c r="C157" s="2" t="s">
        <v>695</v>
      </c>
      <c r="D157" s="2" t="s">
        <v>1218</v>
      </c>
      <c r="E157" s="2">
        <v>6204996033</v>
      </c>
      <c r="F157" s="2" t="s">
        <v>1832</v>
      </c>
      <c r="G157" s="2" t="s">
        <v>1140</v>
      </c>
      <c r="H157" s="44">
        <f>VLOOKUP($A157,'BCA-2023-2026'!$B$2:$S$641,18,FALSE)</f>
        <v>7.7675000000000001</v>
      </c>
    </row>
    <row r="158" spans="1:8" x14ac:dyDescent="0.3">
      <c r="A158" s="2">
        <v>1323480</v>
      </c>
      <c r="B158" s="2" t="s">
        <v>471</v>
      </c>
      <c r="C158" s="2" t="s">
        <v>855</v>
      </c>
      <c r="D158" s="2" t="s">
        <v>1061</v>
      </c>
      <c r="E158" s="2">
        <v>7739240267</v>
      </c>
      <c r="F158" s="2" t="s">
        <v>2089</v>
      </c>
      <c r="G158" s="2" t="s">
        <v>1144</v>
      </c>
      <c r="H158" s="44">
        <f>VLOOKUP($A158,'BCA-2023-2026'!$B$2:$S$641,18,FALSE)</f>
        <v>7.7424999999999997</v>
      </c>
    </row>
    <row r="159" spans="1:8" x14ac:dyDescent="0.3">
      <c r="A159" s="2">
        <v>1323067</v>
      </c>
      <c r="B159" s="2" t="s">
        <v>78</v>
      </c>
      <c r="C159" s="2" t="s">
        <v>648</v>
      </c>
      <c r="D159" s="2" t="s">
        <v>1135</v>
      </c>
      <c r="E159" s="2">
        <v>8950877990</v>
      </c>
      <c r="F159" s="2" t="s">
        <v>1755</v>
      </c>
      <c r="G159" s="2" t="s">
        <v>1138</v>
      </c>
      <c r="H159" s="44">
        <f>VLOOKUP($A159,'BCA-2023-2026'!$B$2:$S$641,18,FALSE)</f>
        <v>7.7374999999999998</v>
      </c>
    </row>
    <row r="160" spans="1:8" x14ac:dyDescent="0.3">
      <c r="A160" s="2">
        <v>1323164</v>
      </c>
      <c r="B160" s="2" t="s">
        <v>173</v>
      </c>
      <c r="C160" s="2" t="s">
        <v>1478</v>
      </c>
      <c r="D160" s="2" t="s">
        <v>1220</v>
      </c>
      <c r="E160" s="2">
        <v>7037249070</v>
      </c>
      <c r="F160" s="2" t="s">
        <v>1835</v>
      </c>
      <c r="G160" s="2" t="s">
        <v>1140</v>
      </c>
      <c r="H160" s="44">
        <f>VLOOKUP($A160,'BCA-2023-2026'!$B$2:$S$641,18,FALSE)</f>
        <v>7.7275</v>
      </c>
    </row>
    <row r="161" spans="1:8" x14ac:dyDescent="0.3">
      <c r="A161" s="2">
        <v>1323312</v>
      </c>
      <c r="B161" s="2" t="s">
        <v>317</v>
      </c>
      <c r="C161" s="2" t="s">
        <v>1538</v>
      </c>
      <c r="D161" s="2" t="s">
        <v>1082</v>
      </c>
      <c r="E161" s="2">
        <v>8814980343</v>
      </c>
      <c r="F161" s="2" t="s">
        <v>1963</v>
      </c>
      <c r="G161" s="2" t="s">
        <v>1141</v>
      </c>
      <c r="H161" s="44">
        <f>VLOOKUP($A161,'BCA-2023-2026'!$B$2:$S$641,18,FALSE)</f>
        <v>7.7266666666666666</v>
      </c>
    </row>
    <row r="162" spans="1:8" x14ac:dyDescent="0.3">
      <c r="A162" s="2">
        <v>1323263</v>
      </c>
      <c r="B162" s="2" t="s">
        <v>270</v>
      </c>
      <c r="C162" s="2" t="s">
        <v>1519</v>
      </c>
      <c r="D162" s="2" t="s">
        <v>1201</v>
      </c>
      <c r="E162" s="2">
        <v>9354781741</v>
      </c>
      <c r="F162" s="2" t="s">
        <v>1920</v>
      </c>
      <c r="G162" s="2" t="s">
        <v>1141</v>
      </c>
      <c r="H162" s="44">
        <f>VLOOKUP($A162,'BCA-2023-2026'!$B$2:$S$641,18,FALSE)</f>
        <v>7.7233333333333336</v>
      </c>
    </row>
    <row r="163" spans="1:8" x14ac:dyDescent="0.3">
      <c r="A163" s="2">
        <v>1323422</v>
      </c>
      <c r="B163" s="2" t="s">
        <v>420</v>
      </c>
      <c r="C163" s="2" t="s">
        <v>810</v>
      </c>
      <c r="D163" s="2" t="s">
        <v>1390</v>
      </c>
      <c r="E163" s="2">
        <v>8207421846</v>
      </c>
      <c r="F163" s="2" t="s">
        <v>2044</v>
      </c>
      <c r="G163" s="2" t="s">
        <v>1143</v>
      </c>
      <c r="H163" s="44">
        <f>VLOOKUP($A163,'BCA-2023-2026'!$B$2:$S$641,18,FALSE)</f>
        <v>7.7149999999999999</v>
      </c>
    </row>
    <row r="164" spans="1:8" x14ac:dyDescent="0.3">
      <c r="A164" s="2">
        <v>1323363</v>
      </c>
      <c r="B164" s="2" t="s">
        <v>362</v>
      </c>
      <c r="C164" s="2" t="s">
        <v>1560</v>
      </c>
      <c r="D164" s="2" t="s">
        <v>1341</v>
      </c>
      <c r="E164" s="2">
        <v>7258071560</v>
      </c>
      <c r="F164" s="2" t="s">
        <v>1998</v>
      </c>
      <c r="G164" s="2" t="s">
        <v>1142</v>
      </c>
      <c r="H164" s="44">
        <f>VLOOKUP($A164,'BCA-2023-2026'!$B$2:$S$641,18,FALSE)</f>
        <v>7.7074999999999996</v>
      </c>
    </row>
    <row r="165" spans="1:8" x14ac:dyDescent="0.3">
      <c r="A165" s="2">
        <v>1323246</v>
      </c>
      <c r="B165" s="2" t="s">
        <v>253</v>
      </c>
      <c r="C165" s="2" t="s">
        <v>731</v>
      </c>
      <c r="D165" s="2" t="s">
        <v>1271</v>
      </c>
      <c r="E165" s="2">
        <v>7082245886</v>
      </c>
      <c r="F165" s="2" t="s">
        <v>1905</v>
      </c>
      <c r="G165" s="2" t="s">
        <v>1141</v>
      </c>
      <c r="H165" s="44">
        <f>VLOOKUP($A165,'BCA-2023-2026'!$B$2:$S$641,18,FALSE)</f>
        <v>7.7050000000000001</v>
      </c>
    </row>
    <row r="166" spans="1:8" x14ac:dyDescent="0.3">
      <c r="A166" s="2">
        <v>1323328</v>
      </c>
      <c r="B166" s="2" t="s">
        <v>333</v>
      </c>
      <c r="C166" s="2" t="s">
        <v>1547</v>
      </c>
      <c r="D166" s="2" t="s">
        <v>1102</v>
      </c>
      <c r="E166" s="2">
        <v>9546310140</v>
      </c>
      <c r="F166" s="2" t="s">
        <v>1974</v>
      </c>
      <c r="G166" s="2" t="s">
        <v>1142</v>
      </c>
      <c r="H166" s="44">
        <f>VLOOKUP($A166,'BCA-2023-2026'!$B$2:$S$641,18,FALSE)</f>
        <v>7.7024999999999997</v>
      </c>
    </row>
    <row r="167" spans="1:8" x14ac:dyDescent="0.3">
      <c r="A167" s="2">
        <v>1323414</v>
      </c>
      <c r="B167" s="2" t="s">
        <v>412</v>
      </c>
      <c r="C167" s="2" t="s">
        <v>805</v>
      </c>
      <c r="D167" s="2" t="s">
        <v>1383</v>
      </c>
      <c r="E167" s="2">
        <v>9572457368</v>
      </c>
      <c r="F167" s="2" t="s">
        <v>2038</v>
      </c>
      <c r="G167" s="2" t="s">
        <v>1143</v>
      </c>
      <c r="H167" s="44">
        <f>VLOOKUP($A167,'BCA-2023-2026'!$B$2:$S$641,18,FALSE)</f>
        <v>7.6950000000000003</v>
      </c>
    </row>
    <row r="168" spans="1:8" x14ac:dyDescent="0.3">
      <c r="A168" s="2">
        <v>1323445</v>
      </c>
      <c r="B168" s="2" t="s">
        <v>437</v>
      </c>
      <c r="C168" s="2" t="s">
        <v>824</v>
      </c>
      <c r="D168" s="2" t="s">
        <v>1088</v>
      </c>
      <c r="E168" s="2">
        <v>9631901329</v>
      </c>
      <c r="F168" s="2" t="s">
        <v>2059</v>
      </c>
      <c r="G168" s="2" t="s">
        <v>1143</v>
      </c>
      <c r="H168" s="44">
        <f>VLOOKUP($A168,'BCA-2023-2026'!$B$2:$S$641,18,FALSE)</f>
        <v>7.6875</v>
      </c>
    </row>
    <row r="169" spans="1:8" x14ac:dyDescent="0.3">
      <c r="A169" s="2">
        <v>1323507</v>
      </c>
      <c r="B169" s="2" t="s">
        <v>496</v>
      </c>
      <c r="C169" s="2" t="s">
        <v>874</v>
      </c>
      <c r="D169" s="2" t="s">
        <v>1041</v>
      </c>
      <c r="E169" s="2">
        <v>6203664486</v>
      </c>
      <c r="F169" s="2" t="s">
        <v>2111</v>
      </c>
      <c r="G169" s="2" t="s">
        <v>1144</v>
      </c>
      <c r="H169" s="44">
        <f>VLOOKUP($A169,'BCA-2023-2026'!$B$2:$S$641,18,FALSE)</f>
        <v>7.68</v>
      </c>
    </row>
    <row r="170" spans="1:8" x14ac:dyDescent="0.3">
      <c r="A170" s="2">
        <v>1323442</v>
      </c>
      <c r="B170" s="2" t="s">
        <v>434</v>
      </c>
      <c r="C170" s="2" t="s">
        <v>821</v>
      </c>
      <c r="D170" s="2" t="s">
        <v>1403</v>
      </c>
      <c r="E170" s="2">
        <v>8102157407</v>
      </c>
      <c r="F170" s="2" t="s">
        <v>2056</v>
      </c>
      <c r="G170" s="2" t="s">
        <v>1143</v>
      </c>
      <c r="H170" s="44">
        <f>VLOOKUP($A170,'BCA-2023-2026'!$B$2:$S$641,18,FALSE)</f>
        <v>7.6766666666666667</v>
      </c>
    </row>
    <row r="171" spans="1:8" x14ac:dyDescent="0.3">
      <c r="A171" s="2">
        <v>1323362</v>
      </c>
      <c r="B171" s="2" t="s">
        <v>361</v>
      </c>
      <c r="C171" s="2" t="s">
        <v>654</v>
      </c>
      <c r="D171" s="2" t="s">
        <v>1208</v>
      </c>
      <c r="E171" s="2">
        <v>9350211679</v>
      </c>
      <c r="F171" s="2" t="s">
        <v>1997</v>
      </c>
      <c r="G171" s="2" t="s">
        <v>1142</v>
      </c>
      <c r="H171" s="44">
        <f>VLOOKUP($A171,'BCA-2023-2026'!$B$2:$S$641,18,FALSE)</f>
        <v>7.67</v>
      </c>
    </row>
    <row r="172" spans="1:8" x14ac:dyDescent="0.3">
      <c r="A172" s="2">
        <v>1323138</v>
      </c>
      <c r="B172" s="2" t="s">
        <v>147</v>
      </c>
      <c r="C172" s="2" t="s">
        <v>684</v>
      </c>
      <c r="D172" s="2" t="s">
        <v>1200</v>
      </c>
      <c r="E172" s="2">
        <v>9416682415</v>
      </c>
      <c r="F172" s="2" t="s">
        <v>1811</v>
      </c>
      <c r="G172" s="2" t="s">
        <v>1139</v>
      </c>
      <c r="H172" s="44">
        <f>VLOOKUP($A172,'BCA-2023-2026'!$B$2:$S$641,18,FALSE)</f>
        <v>7.666666666666667</v>
      </c>
    </row>
    <row r="173" spans="1:8" x14ac:dyDescent="0.3">
      <c r="A173" s="2">
        <v>1323226</v>
      </c>
      <c r="B173" s="2" t="s">
        <v>233</v>
      </c>
      <c r="C173" s="2" t="s">
        <v>1502</v>
      </c>
      <c r="D173" s="2" t="s">
        <v>1172</v>
      </c>
      <c r="E173" s="2">
        <v>7082374257</v>
      </c>
      <c r="F173" s="2" t="s">
        <v>1889</v>
      </c>
      <c r="G173" s="2" t="s">
        <v>1140</v>
      </c>
      <c r="H173" s="44">
        <f>VLOOKUP($A173,'BCA-2023-2026'!$B$2:$S$641,18,FALSE)</f>
        <v>7.66</v>
      </c>
    </row>
    <row r="174" spans="1:8" x14ac:dyDescent="0.3">
      <c r="A174" s="2">
        <v>1323244</v>
      </c>
      <c r="B174" s="2" t="s">
        <v>251</v>
      </c>
      <c r="C174" s="2" t="s">
        <v>1509</v>
      </c>
      <c r="D174" s="2" t="s">
        <v>1172</v>
      </c>
      <c r="E174" s="2">
        <v>7027010080</v>
      </c>
      <c r="F174" s="2" t="s">
        <v>1903</v>
      </c>
      <c r="G174" s="2" t="s">
        <v>1141</v>
      </c>
      <c r="H174" s="44">
        <f>VLOOKUP($A174,'BCA-2023-2026'!$B$2:$S$641,18,FALSE)</f>
        <v>7.66</v>
      </c>
    </row>
    <row r="175" spans="1:8" x14ac:dyDescent="0.3">
      <c r="A175" s="2">
        <v>1323279</v>
      </c>
      <c r="B175" s="2" t="s">
        <v>284</v>
      </c>
      <c r="C175" s="2" t="s">
        <v>1526</v>
      </c>
      <c r="D175" s="2" t="s">
        <v>1290</v>
      </c>
      <c r="E175" s="2">
        <v>9720595922</v>
      </c>
      <c r="F175" s="2" t="s">
        <v>1934</v>
      </c>
      <c r="G175" s="2" t="s">
        <v>1141</v>
      </c>
      <c r="H175" s="44">
        <f>VLOOKUP($A175,'BCA-2023-2026'!$B$2:$S$641,18,FALSE)</f>
        <v>7.66</v>
      </c>
    </row>
    <row r="176" spans="1:8" x14ac:dyDescent="0.3">
      <c r="A176" s="2">
        <v>1323144</v>
      </c>
      <c r="B176" s="2" t="s">
        <v>153</v>
      </c>
      <c r="C176" s="2" t="s">
        <v>688</v>
      </c>
      <c r="D176" s="2" t="s">
        <v>1204</v>
      </c>
      <c r="E176" s="2">
        <v>8307452896</v>
      </c>
      <c r="F176" s="2" t="s">
        <v>1816</v>
      </c>
      <c r="G176" s="2" t="s">
        <v>1139</v>
      </c>
      <c r="H176" s="44">
        <f>VLOOKUP($A176,'BCA-2023-2026'!$B$2:$S$641,18,FALSE)</f>
        <v>7.6574999999999998</v>
      </c>
    </row>
    <row r="177" spans="1:8" x14ac:dyDescent="0.3">
      <c r="A177" s="2">
        <v>1323278</v>
      </c>
      <c r="B177" s="2" t="s">
        <v>283</v>
      </c>
      <c r="C177" s="2" t="s">
        <v>1525</v>
      </c>
      <c r="D177" s="2" t="s">
        <v>963</v>
      </c>
      <c r="E177" s="2">
        <v>8307414867</v>
      </c>
      <c r="F177" s="2" t="s">
        <v>1933</v>
      </c>
      <c r="G177" s="2" t="s">
        <v>1141</v>
      </c>
      <c r="H177" s="44">
        <f>VLOOKUP($A177,'BCA-2023-2026'!$B$2:$S$641,18,FALSE)</f>
        <v>7.6533333333333333</v>
      </c>
    </row>
    <row r="178" spans="1:8" x14ac:dyDescent="0.3">
      <c r="A178" s="2">
        <v>1323361</v>
      </c>
      <c r="B178" s="2" t="s">
        <v>602</v>
      </c>
      <c r="C178" s="2" t="s">
        <v>1559</v>
      </c>
      <c r="D178" s="2" t="s">
        <v>1340</v>
      </c>
      <c r="E178" s="2">
        <v>8252541771</v>
      </c>
      <c r="F178" s="2" t="s">
        <v>1996</v>
      </c>
      <c r="G178" s="2" t="s">
        <v>1142</v>
      </c>
      <c r="H178" s="44">
        <f>VLOOKUP($A178,'BCA-2023-2026'!$B$2:$S$641,18,FALSE)</f>
        <v>7.6449999999999996</v>
      </c>
    </row>
    <row r="179" spans="1:8" x14ac:dyDescent="0.3">
      <c r="A179" s="2">
        <v>1323039</v>
      </c>
      <c r="B179" s="2" t="s">
        <v>52</v>
      </c>
      <c r="C179" s="2" t="s">
        <v>1114</v>
      </c>
      <c r="D179" s="2" t="s">
        <v>1082</v>
      </c>
      <c r="E179" s="2">
        <v>8168760188</v>
      </c>
      <c r="F179" s="2" t="s">
        <v>1729</v>
      </c>
      <c r="G179" s="2" t="s">
        <v>1138</v>
      </c>
      <c r="H179" s="44">
        <f>VLOOKUP($A179,'BCA-2023-2026'!$B$2:$S$641,18,FALSE)</f>
        <v>7.6425000000000001</v>
      </c>
    </row>
    <row r="180" spans="1:8" x14ac:dyDescent="0.3">
      <c r="A180" s="2">
        <v>1323204</v>
      </c>
      <c r="B180" s="2" t="s">
        <v>211</v>
      </c>
      <c r="C180" s="2" t="s">
        <v>727</v>
      </c>
      <c r="D180" s="2" t="s">
        <v>1245</v>
      </c>
      <c r="E180" s="2">
        <v>9050848975</v>
      </c>
      <c r="F180" s="2" t="s">
        <v>1869</v>
      </c>
      <c r="G180" s="2" t="s">
        <v>1140</v>
      </c>
      <c r="H180" s="44">
        <f>VLOOKUP($A180,'BCA-2023-2026'!$B$2:$S$641,18,FALSE)</f>
        <v>7.625</v>
      </c>
    </row>
    <row r="181" spans="1:8" x14ac:dyDescent="0.3">
      <c r="A181" s="2">
        <v>1323458</v>
      </c>
      <c r="B181" s="2" t="s">
        <v>450</v>
      </c>
      <c r="C181" s="2" t="s">
        <v>837</v>
      </c>
      <c r="D181" s="2" t="s">
        <v>1078</v>
      </c>
      <c r="E181" s="2">
        <v>9263203702</v>
      </c>
      <c r="F181" s="2" t="s">
        <v>2069</v>
      </c>
      <c r="G181" s="2" t="s">
        <v>1143</v>
      </c>
      <c r="H181" s="44">
        <f>VLOOKUP($A181,'BCA-2023-2026'!$B$2:$S$641,18,FALSE)</f>
        <v>7.62</v>
      </c>
    </row>
    <row r="182" spans="1:8" x14ac:dyDescent="0.3">
      <c r="A182" s="2">
        <v>1323304</v>
      </c>
      <c r="B182" s="2" t="s">
        <v>309</v>
      </c>
      <c r="C182" s="2" t="s">
        <v>754</v>
      </c>
      <c r="D182" s="2" t="s">
        <v>1192</v>
      </c>
      <c r="E182" s="2">
        <v>9896011557</v>
      </c>
      <c r="F182" s="2" t="s">
        <v>1955</v>
      </c>
      <c r="G182" s="2" t="s">
        <v>1141</v>
      </c>
      <c r="H182" s="44">
        <f>VLOOKUP($A182,'BCA-2023-2026'!$B$2:$S$641,18,FALSE)</f>
        <v>7.6150000000000002</v>
      </c>
    </row>
    <row r="183" spans="1:8" x14ac:dyDescent="0.3">
      <c r="A183" s="2">
        <v>1323604</v>
      </c>
      <c r="B183" s="2" t="s">
        <v>578</v>
      </c>
      <c r="C183" s="2" t="s">
        <v>827</v>
      </c>
      <c r="D183" s="2" t="s">
        <v>972</v>
      </c>
      <c r="E183" s="2">
        <v>8950407643</v>
      </c>
      <c r="F183" s="2" t="s">
        <v>2183</v>
      </c>
      <c r="G183" s="2" t="s">
        <v>1140</v>
      </c>
      <c r="H183" s="44">
        <f>VLOOKUP($A183,'BCA-2023-2026'!$B$2:$S$641,18,FALSE)</f>
        <v>7.6150000000000002</v>
      </c>
    </row>
    <row r="184" spans="1:8" x14ac:dyDescent="0.3">
      <c r="A184" s="2">
        <v>1323410</v>
      </c>
      <c r="B184" s="2" t="s">
        <v>408</v>
      </c>
      <c r="C184" s="2" t="s">
        <v>801</v>
      </c>
      <c r="D184" s="2" t="s">
        <v>1379</v>
      </c>
      <c r="E184" s="2">
        <v>6206663017</v>
      </c>
      <c r="F184" s="2" t="s">
        <v>2034</v>
      </c>
      <c r="G184" s="2" t="s">
        <v>1143</v>
      </c>
      <c r="H184" s="44">
        <f>VLOOKUP($A184,'BCA-2023-2026'!$B$2:$S$641,18,FALSE)</f>
        <v>7.6124999999999998</v>
      </c>
    </row>
    <row r="185" spans="1:8" x14ac:dyDescent="0.3">
      <c r="A185" s="2">
        <v>1323528</v>
      </c>
      <c r="B185" s="2" t="s">
        <v>517</v>
      </c>
      <c r="C185" s="2" t="s">
        <v>892</v>
      </c>
      <c r="D185" s="2" t="s">
        <v>1023</v>
      </c>
      <c r="E185" s="2">
        <v>6297177725</v>
      </c>
      <c r="F185" s="2" t="s">
        <v>2130</v>
      </c>
      <c r="G185" s="2" t="s">
        <v>1144</v>
      </c>
      <c r="H185" s="44">
        <f>VLOOKUP($A185,'BCA-2023-2026'!$B$2:$S$641,18,FALSE)</f>
        <v>7.6074999999999999</v>
      </c>
    </row>
    <row r="186" spans="1:8" x14ac:dyDescent="0.3">
      <c r="A186" s="2">
        <v>1323590</v>
      </c>
      <c r="B186" s="2" t="s">
        <v>570</v>
      </c>
      <c r="C186" s="2" t="s">
        <v>1601</v>
      </c>
      <c r="D186" s="2" t="s">
        <v>979</v>
      </c>
      <c r="E186" s="2">
        <v>7015717185</v>
      </c>
      <c r="F186" s="2" t="s">
        <v>2175</v>
      </c>
      <c r="G186" s="2" t="s">
        <v>1138</v>
      </c>
      <c r="H186" s="44">
        <f>VLOOKUP($A186,'BCA-2023-2026'!$B$2:$S$641,18,FALSE)</f>
        <v>7.6074999999999999</v>
      </c>
    </row>
    <row r="187" spans="1:8" x14ac:dyDescent="0.3">
      <c r="A187" s="2">
        <v>1323449</v>
      </c>
      <c r="B187" s="2" t="s">
        <v>441</v>
      </c>
      <c r="C187" s="2" t="s">
        <v>828</v>
      </c>
      <c r="D187" s="2" t="s">
        <v>1084</v>
      </c>
      <c r="E187" s="2">
        <v>9709735904</v>
      </c>
      <c r="F187" s="2" t="s">
        <v>2063</v>
      </c>
      <c r="G187" s="2" t="s">
        <v>1143</v>
      </c>
      <c r="H187" s="44">
        <f>VLOOKUP($A187,'BCA-2023-2026'!$B$2:$S$641,18,FALSE)</f>
        <v>7.6025</v>
      </c>
    </row>
    <row r="188" spans="1:8" x14ac:dyDescent="0.3">
      <c r="A188" s="2">
        <v>1323030</v>
      </c>
      <c r="B188" s="2" t="s">
        <v>43</v>
      </c>
      <c r="C188" s="2" t="s">
        <v>627</v>
      </c>
      <c r="D188" s="2" t="s">
        <v>1106</v>
      </c>
      <c r="E188" s="2">
        <v>7988539214</v>
      </c>
      <c r="F188" s="2" t="s">
        <v>1721</v>
      </c>
      <c r="G188" s="2" t="s">
        <v>1138</v>
      </c>
      <c r="H188" s="44">
        <f>VLOOKUP($A188,'BCA-2023-2026'!$B$2:$S$641,18,FALSE)</f>
        <v>7.59</v>
      </c>
    </row>
    <row r="189" spans="1:8" x14ac:dyDescent="0.3">
      <c r="A189" s="2">
        <v>1323477</v>
      </c>
      <c r="B189" s="2" t="s">
        <v>468</v>
      </c>
      <c r="C189" s="2" t="s">
        <v>852</v>
      </c>
      <c r="D189" s="2" t="s">
        <v>1063</v>
      </c>
      <c r="E189" s="2">
        <v>9122343545</v>
      </c>
      <c r="F189" s="2" t="s">
        <v>2086</v>
      </c>
      <c r="G189" s="2" t="s">
        <v>1143</v>
      </c>
      <c r="H189" s="44">
        <f>VLOOKUP($A189,'BCA-2023-2026'!$B$2:$S$641,18,FALSE)</f>
        <v>7.585</v>
      </c>
    </row>
    <row r="190" spans="1:8" x14ac:dyDescent="0.3">
      <c r="A190" s="2">
        <v>1323170</v>
      </c>
      <c r="B190" s="2" t="s">
        <v>179</v>
      </c>
      <c r="C190" s="2" t="s">
        <v>698</v>
      </c>
      <c r="D190" s="2" t="s">
        <v>1223</v>
      </c>
      <c r="E190" s="2">
        <v>7455932719</v>
      </c>
      <c r="F190" s="2" t="s">
        <v>1839</v>
      </c>
      <c r="G190" s="2" t="s">
        <v>1140</v>
      </c>
      <c r="H190" s="44">
        <f>VLOOKUP($A190,'BCA-2023-2026'!$B$2:$S$641,18,FALSE)</f>
        <v>7.5774999999999997</v>
      </c>
    </row>
    <row r="191" spans="1:8" x14ac:dyDescent="0.3">
      <c r="A191" s="2">
        <v>1323351</v>
      </c>
      <c r="B191" s="2" t="s">
        <v>352</v>
      </c>
      <c r="C191" s="2" t="s">
        <v>770</v>
      </c>
      <c r="D191" s="2" t="s">
        <v>1337</v>
      </c>
      <c r="E191" s="2">
        <v>9467155845</v>
      </c>
      <c r="F191" s="2" t="s">
        <v>1989</v>
      </c>
      <c r="G191" s="2" t="s">
        <v>1142</v>
      </c>
      <c r="H191" s="44">
        <f>VLOOKUP($A191,'BCA-2023-2026'!$B$2:$S$641,18,FALSE)</f>
        <v>7.5724999999999998</v>
      </c>
    </row>
    <row r="192" spans="1:8" x14ac:dyDescent="0.3">
      <c r="A192" s="2">
        <v>1323110</v>
      </c>
      <c r="B192" s="2" t="s">
        <v>119</v>
      </c>
      <c r="C192" s="2" t="s">
        <v>1457</v>
      </c>
      <c r="D192" s="2" t="s">
        <v>1181</v>
      </c>
      <c r="E192" s="2">
        <v>9817374543</v>
      </c>
      <c r="F192" s="2" t="s">
        <v>1788</v>
      </c>
      <c r="G192" s="2" t="s">
        <v>1139</v>
      </c>
      <c r="H192" s="44">
        <f>VLOOKUP($A192,'BCA-2023-2026'!$B$2:$S$641,18,FALSE)</f>
        <v>7.57</v>
      </c>
    </row>
    <row r="193" spans="1:8" x14ac:dyDescent="0.3">
      <c r="A193" s="2">
        <v>1323082</v>
      </c>
      <c r="B193" s="2" t="s">
        <v>91</v>
      </c>
      <c r="C193" s="2" t="s">
        <v>654</v>
      </c>
      <c r="D193" s="2" t="s">
        <v>1161</v>
      </c>
      <c r="E193" s="2">
        <v>9306396810</v>
      </c>
      <c r="F193" s="2" t="s">
        <v>1764</v>
      </c>
      <c r="G193" s="2" t="s">
        <v>1139</v>
      </c>
      <c r="H193" s="44">
        <f>VLOOKUP($A193,'BCA-2023-2026'!$B$2:$S$641,18,FALSE)</f>
        <v>7.5649999999999995</v>
      </c>
    </row>
    <row r="194" spans="1:8" x14ac:dyDescent="0.3">
      <c r="A194" s="2">
        <v>1323045</v>
      </c>
      <c r="B194" s="2" t="s">
        <v>57</v>
      </c>
      <c r="C194" s="2" t="s">
        <v>1438</v>
      </c>
      <c r="D194" s="2" t="s">
        <v>668</v>
      </c>
      <c r="E194" s="2">
        <v>8295988004</v>
      </c>
      <c r="F194" s="2" t="s">
        <v>1734</v>
      </c>
      <c r="G194" s="2" t="s">
        <v>1138</v>
      </c>
      <c r="H194" s="44">
        <f>VLOOKUP($A194,'BCA-2023-2026'!$B$2:$S$641,18,FALSE)</f>
        <v>7.5633333333333335</v>
      </c>
    </row>
    <row r="195" spans="1:8" x14ac:dyDescent="0.3">
      <c r="A195" s="2">
        <v>1323073</v>
      </c>
      <c r="B195" s="2" t="s">
        <v>83</v>
      </c>
      <c r="C195" s="2" t="s">
        <v>1445</v>
      </c>
      <c r="D195" s="2" t="s">
        <v>1154</v>
      </c>
      <c r="E195" s="2"/>
      <c r="F195" s="2"/>
      <c r="G195" s="2" t="s">
        <v>1138</v>
      </c>
      <c r="H195" s="44">
        <f>VLOOKUP($A195,'BCA-2023-2026'!$B$2:$S$641,18,FALSE)</f>
        <v>7.5549999999999997</v>
      </c>
    </row>
    <row r="196" spans="1:8" x14ac:dyDescent="0.3">
      <c r="A196" s="2">
        <v>1323203</v>
      </c>
      <c r="B196" s="2" t="s">
        <v>210</v>
      </c>
      <c r="C196" s="2" t="s">
        <v>712</v>
      </c>
      <c r="D196" s="2" t="s">
        <v>1244</v>
      </c>
      <c r="E196" s="2">
        <v>8950499446</v>
      </c>
      <c r="F196" s="2" t="s">
        <v>1868</v>
      </c>
      <c r="G196" s="2" t="s">
        <v>1140</v>
      </c>
      <c r="H196" s="44">
        <f>VLOOKUP($A196,'BCA-2023-2026'!$B$2:$S$641,18,FALSE)</f>
        <v>7.5466666666666669</v>
      </c>
    </row>
    <row r="197" spans="1:8" x14ac:dyDescent="0.3">
      <c r="A197" s="2">
        <v>1323083</v>
      </c>
      <c r="B197" s="2" t="s">
        <v>92</v>
      </c>
      <c r="C197" s="2" t="s">
        <v>655</v>
      </c>
      <c r="D197" s="2" t="s">
        <v>1162</v>
      </c>
      <c r="E197" s="2">
        <v>9306483856</v>
      </c>
      <c r="F197" s="2" t="s">
        <v>1765</v>
      </c>
      <c r="G197" s="2" t="s">
        <v>1139</v>
      </c>
      <c r="H197" s="44">
        <f>VLOOKUP($A197,'BCA-2023-2026'!$B$2:$S$641,18,FALSE)</f>
        <v>7.5333333333333341</v>
      </c>
    </row>
    <row r="198" spans="1:8" x14ac:dyDescent="0.3">
      <c r="A198" s="2">
        <v>1323311</v>
      </c>
      <c r="B198" s="2" t="s">
        <v>316</v>
      </c>
      <c r="C198" s="2" t="s">
        <v>757</v>
      </c>
      <c r="D198" s="2" t="s">
        <v>1305</v>
      </c>
      <c r="E198" s="2">
        <v>7015836668</v>
      </c>
      <c r="F198" s="2" t="s">
        <v>1962</v>
      </c>
      <c r="G198" s="2" t="s">
        <v>1141</v>
      </c>
      <c r="H198" s="44">
        <f>VLOOKUP($A198,'BCA-2023-2026'!$B$2:$S$641,18,FALSE)</f>
        <v>7.53</v>
      </c>
    </row>
    <row r="199" spans="1:8" x14ac:dyDescent="0.3">
      <c r="A199" s="2">
        <v>1323467</v>
      </c>
      <c r="B199" s="2" t="s">
        <v>458</v>
      </c>
      <c r="C199" s="2" t="s">
        <v>845</v>
      </c>
      <c r="D199" s="2" t="s">
        <v>1070</v>
      </c>
      <c r="E199" s="2">
        <v>8434796446</v>
      </c>
      <c r="F199" s="2" t="s">
        <v>2077</v>
      </c>
      <c r="G199" s="2" t="s">
        <v>1143</v>
      </c>
      <c r="H199" s="44">
        <f>VLOOKUP($A199,'BCA-2023-2026'!$B$2:$S$641,18,FALSE)</f>
        <v>7.53</v>
      </c>
    </row>
    <row r="200" spans="1:8" x14ac:dyDescent="0.3">
      <c r="A200" s="2">
        <v>1323060</v>
      </c>
      <c r="B200" s="2" t="s">
        <v>71</v>
      </c>
      <c r="C200" s="2" t="s">
        <v>644</v>
      </c>
      <c r="D200" s="2" t="s">
        <v>1131</v>
      </c>
      <c r="E200" s="2">
        <v>8708418701</v>
      </c>
      <c r="F200" s="2" t="s">
        <v>1748</v>
      </c>
      <c r="G200" s="2" t="s">
        <v>1138</v>
      </c>
      <c r="H200" s="44">
        <f>VLOOKUP($A200,'BCA-2023-2026'!$B$2:$S$641,18,FALSE)</f>
        <v>7.5274999999999999</v>
      </c>
    </row>
    <row r="201" spans="1:8" x14ac:dyDescent="0.3">
      <c r="A201" s="2">
        <v>1323055</v>
      </c>
      <c r="B201" s="2" t="s">
        <v>67</v>
      </c>
      <c r="C201" s="2" t="s">
        <v>640</v>
      </c>
      <c r="D201" s="2" t="s">
        <v>1127</v>
      </c>
      <c r="E201" s="2">
        <v>8570841035</v>
      </c>
      <c r="F201" s="2" t="s">
        <v>1744</v>
      </c>
      <c r="G201" s="2" t="s">
        <v>1138</v>
      </c>
      <c r="H201" s="44">
        <f>VLOOKUP($A201,'BCA-2023-2026'!$B$2:$S$641,18,FALSE)</f>
        <v>7.5225</v>
      </c>
    </row>
    <row r="202" spans="1:8" x14ac:dyDescent="0.3">
      <c r="A202" s="2">
        <v>1323329</v>
      </c>
      <c r="B202" s="2" t="s">
        <v>334</v>
      </c>
      <c r="C202" s="2" t="s">
        <v>1548</v>
      </c>
      <c r="D202" s="2" t="s">
        <v>1319</v>
      </c>
      <c r="E202" s="2">
        <v>7206868413</v>
      </c>
      <c r="F202" s="2" t="s">
        <v>1975</v>
      </c>
      <c r="G202" s="2" t="s">
        <v>1142</v>
      </c>
      <c r="H202" s="44">
        <f>VLOOKUP($A202,'BCA-2023-2026'!$B$2:$S$641,18,FALSE)</f>
        <v>7.52</v>
      </c>
    </row>
    <row r="203" spans="1:8" x14ac:dyDescent="0.3">
      <c r="A203" s="2">
        <v>1323405</v>
      </c>
      <c r="B203" s="2" t="s">
        <v>403</v>
      </c>
      <c r="C203" s="2" t="s">
        <v>792</v>
      </c>
      <c r="D203" s="2" t="s">
        <v>1374</v>
      </c>
      <c r="E203" s="2">
        <v>7646024031</v>
      </c>
      <c r="F203" s="2" t="s">
        <v>2029</v>
      </c>
      <c r="G203" s="2" t="s">
        <v>1143</v>
      </c>
      <c r="H203" s="44">
        <f>VLOOKUP($A203,'BCA-2023-2026'!$B$2:$S$641,18,FALSE)</f>
        <v>7.5175000000000001</v>
      </c>
    </row>
    <row r="204" spans="1:8" x14ac:dyDescent="0.3">
      <c r="A204" s="2">
        <v>1323492</v>
      </c>
      <c r="B204" s="2" t="s">
        <v>483</v>
      </c>
      <c r="C204" s="2" t="s">
        <v>865</v>
      </c>
      <c r="D204" s="2" t="s">
        <v>1052</v>
      </c>
      <c r="E204" s="2">
        <v>7562956966</v>
      </c>
      <c r="F204" s="2" t="s">
        <v>2099</v>
      </c>
      <c r="G204" s="2" t="s">
        <v>1144</v>
      </c>
      <c r="H204" s="44">
        <f>VLOOKUP($A204,'BCA-2023-2026'!$B$2:$S$641,18,FALSE)</f>
        <v>7.51</v>
      </c>
    </row>
    <row r="205" spans="1:8" x14ac:dyDescent="0.3">
      <c r="A205" s="2">
        <v>1323523</v>
      </c>
      <c r="B205" s="2" t="s">
        <v>512</v>
      </c>
      <c r="C205" s="2" t="s">
        <v>826</v>
      </c>
      <c r="D205" s="2" t="s">
        <v>1028</v>
      </c>
      <c r="E205" s="2">
        <v>9798642192</v>
      </c>
      <c r="F205" s="2" t="s">
        <v>2125</v>
      </c>
      <c r="G205" s="2" t="s">
        <v>1144</v>
      </c>
      <c r="H205" s="44">
        <f>VLOOKUP($A205,'BCA-2023-2026'!$B$2:$S$641,18,FALSE)</f>
        <v>7.5066666666666668</v>
      </c>
    </row>
    <row r="206" spans="1:8" x14ac:dyDescent="0.3">
      <c r="A206" s="2">
        <v>1323321</v>
      </c>
      <c r="B206" s="2" t="s">
        <v>326</v>
      </c>
      <c r="C206" s="2" t="s">
        <v>1541</v>
      </c>
      <c r="D206" s="2" t="s">
        <v>1313</v>
      </c>
      <c r="E206" s="2">
        <v>9416740712</v>
      </c>
      <c r="F206" s="2" t="s">
        <v>1969</v>
      </c>
      <c r="G206" s="2" t="s">
        <v>1142</v>
      </c>
      <c r="H206" s="44">
        <f>VLOOKUP($A206,'BCA-2023-2026'!$B$2:$S$641,18,FALSE)</f>
        <v>7.5</v>
      </c>
    </row>
    <row r="207" spans="1:8" x14ac:dyDescent="0.3">
      <c r="A207" s="2">
        <v>1323115</v>
      </c>
      <c r="B207" s="2" t="s">
        <v>124</v>
      </c>
      <c r="C207" s="2" t="s">
        <v>674</v>
      </c>
      <c r="D207" s="2" t="s">
        <v>1185</v>
      </c>
      <c r="E207" s="2">
        <v>9896756257</v>
      </c>
      <c r="F207" s="2" t="s">
        <v>1793</v>
      </c>
      <c r="G207" s="2" t="s">
        <v>1139</v>
      </c>
      <c r="H207" s="44">
        <f>VLOOKUP($A207,'BCA-2023-2026'!$B$2:$S$641,18,FALSE)</f>
        <v>7.4950000000000001</v>
      </c>
    </row>
    <row r="208" spans="1:8" x14ac:dyDescent="0.3">
      <c r="A208" s="2">
        <v>1323365</v>
      </c>
      <c r="B208" s="2" t="s">
        <v>364</v>
      </c>
      <c r="C208" s="2" t="s">
        <v>1561</v>
      </c>
      <c r="D208" s="2" t="s">
        <v>1201</v>
      </c>
      <c r="E208" s="2">
        <v>8570833982</v>
      </c>
      <c r="F208" s="2" t="s">
        <v>2000</v>
      </c>
      <c r="G208" s="2" t="s">
        <v>1142</v>
      </c>
      <c r="H208" s="44">
        <f>VLOOKUP($A208,'BCA-2023-2026'!$B$2:$S$641,18,FALSE)</f>
        <v>7.4950000000000001</v>
      </c>
    </row>
    <row r="209" spans="1:8" x14ac:dyDescent="0.3">
      <c r="A209" s="2">
        <v>1323478</v>
      </c>
      <c r="B209" s="2" t="s">
        <v>469</v>
      </c>
      <c r="C209" s="2" t="s">
        <v>853</v>
      </c>
      <c r="D209" s="2" t="s">
        <v>668</v>
      </c>
      <c r="E209" s="2">
        <v>7255821123</v>
      </c>
      <c r="F209" s="2" t="s">
        <v>2087</v>
      </c>
      <c r="G209" s="2" t="s">
        <v>1143</v>
      </c>
      <c r="H209" s="44">
        <f>VLOOKUP($A209,'BCA-2023-2026'!$B$2:$S$641,18,FALSE)</f>
        <v>7.49</v>
      </c>
    </row>
    <row r="210" spans="1:8" x14ac:dyDescent="0.3">
      <c r="A210" s="2">
        <v>1323220</v>
      </c>
      <c r="B210" s="2" t="s">
        <v>227</v>
      </c>
      <c r="C210" s="2" t="s">
        <v>718</v>
      </c>
      <c r="D210" s="2" t="s">
        <v>1257</v>
      </c>
      <c r="E210" s="2">
        <v>9729859333</v>
      </c>
      <c r="F210" s="2" t="s">
        <v>1883</v>
      </c>
      <c r="G210" s="2" t="s">
        <v>1140</v>
      </c>
      <c r="H210" s="44">
        <f>VLOOKUP($A210,'BCA-2023-2026'!$B$2:$S$641,18,FALSE)</f>
        <v>7.4899999999999993</v>
      </c>
    </row>
    <row r="211" spans="1:8" x14ac:dyDescent="0.3">
      <c r="A211" s="2">
        <v>1323104</v>
      </c>
      <c r="B211" s="2" t="s">
        <v>113</v>
      </c>
      <c r="C211" s="2" t="s">
        <v>1454</v>
      </c>
      <c r="D211" s="2" t="s">
        <v>1175</v>
      </c>
      <c r="E211" s="2">
        <v>9761616164</v>
      </c>
      <c r="F211" s="2" t="s">
        <v>1782</v>
      </c>
      <c r="G211" s="2" t="s">
        <v>1139</v>
      </c>
      <c r="H211" s="44">
        <f>VLOOKUP($A211,'BCA-2023-2026'!$B$2:$S$641,18,FALSE)</f>
        <v>7.4775</v>
      </c>
    </row>
    <row r="212" spans="1:8" x14ac:dyDescent="0.3">
      <c r="A212" s="2">
        <v>1323527</v>
      </c>
      <c r="B212" s="2" t="s">
        <v>516</v>
      </c>
      <c r="C212" s="2" t="s">
        <v>891</v>
      </c>
      <c r="D212" s="2" t="s">
        <v>1024</v>
      </c>
      <c r="E212" s="2">
        <v>7061848227</v>
      </c>
      <c r="F212" s="2" t="s">
        <v>2129</v>
      </c>
      <c r="G212" s="2" t="s">
        <v>1144</v>
      </c>
      <c r="H212" s="44">
        <f>VLOOKUP($A212,'BCA-2023-2026'!$B$2:$S$641,18,FALSE)</f>
        <v>7.4725000000000001</v>
      </c>
    </row>
    <row r="213" spans="1:8" x14ac:dyDescent="0.3">
      <c r="A213" s="2">
        <v>1323516</v>
      </c>
      <c r="B213" s="2" t="s">
        <v>505</v>
      </c>
      <c r="C213" s="2" t="s">
        <v>882</v>
      </c>
      <c r="D213" s="2" t="s">
        <v>1034</v>
      </c>
      <c r="E213" s="2">
        <v>7634878755</v>
      </c>
      <c r="F213" s="2" t="s">
        <v>2118</v>
      </c>
      <c r="G213" s="2" t="s">
        <v>1144</v>
      </c>
      <c r="H213" s="44">
        <f>VLOOKUP($A213,'BCA-2023-2026'!$B$2:$S$641,18,FALSE)</f>
        <v>7.47</v>
      </c>
    </row>
    <row r="214" spans="1:8" x14ac:dyDescent="0.3">
      <c r="A214" s="2">
        <v>1323344</v>
      </c>
      <c r="B214" s="2" t="s">
        <v>345</v>
      </c>
      <c r="C214" s="2" t="s">
        <v>767</v>
      </c>
      <c r="D214" s="2" t="s">
        <v>1172</v>
      </c>
      <c r="E214" s="2">
        <v>9417002556</v>
      </c>
      <c r="F214" s="2" t="s">
        <v>1985</v>
      </c>
      <c r="G214" s="2" t="s">
        <v>1142</v>
      </c>
      <c r="H214" s="44">
        <f>VLOOKUP($A214,'BCA-2023-2026'!$B$2:$S$641,18,FALSE)</f>
        <v>7.4550000000000001</v>
      </c>
    </row>
    <row r="215" spans="1:8" x14ac:dyDescent="0.3">
      <c r="A215" s="2">
        <v>1323331</v>
      </c>
      <c r="B215" s="2" t="s">
        <v>336</v>
      </c>
      <c r="C215" s="2" t="s">
        <v>1549</v>
      </c>
      <c r="D215" s="2" t="s">
        <v>1320</v>
      </c>
      <c r="E215" s="2"/>
      <c r="F215" s="2"/>
      <c r="G215" s="2" t="s">
        <v>1142</v>
      </c>
      <c r="H215" s="44">
        <f>VLOOKUP($A215,'BCA-2023-2026'!$B$2:$S$641,18,FALSE)</f>
        <v>7.45</v>
      </c>
    </row>
    <row r="216" spans="1:8" x14ac:dyDescent="0.3">
      <c r="A216" s="2">
        <v>1323468</v>
      </c>
      <c r="B216" s="2" t="s">
        <v>459</v>
      </c>
      <c r="C216" s="2" t="s">
        <v>846</v>
      </c>
      <c r="D216" s="2" t="s">
        <v>1069</v>
      </c>
      <c r="E216" s="2">
        <v>7707030064</v>
      </c>
      <c r="F216" s="2" t="s">
        <v>2078</v>
      </c>
      <c r="G216" s="2" t="s">
        <v>1143</v>
      </c>
      <c r="H216" s="44">
        <f>VLOOKUP($A216,'BCA-2023-2026'!$B$2:$S$641,18,FALSE)</f>
        <v>7.45</v>
      </c>
    </row>
    <row r="217" spans="1:8" x14ac:dyDescent="0.3">
      <c r="A217" s="2">
        <v>1323531</v>
      </c>
      <c r="B217" s="2" t="s">
        <v>520</v>
      </c>
      <c r="C217" s="2" t="s">
        <v>1573</v>
      </c>
      <c r="D217" s="2" t="s">
        <v>1022</v>
      </c>
      <c r="E217" s="2">
        <v>8168908950</v>
      </c>
      <c r="F217" s="2" t="s">
        <v>2131</v>
      </c>
      <c r="G217" s="2" t="s">
        <v>1139</v>
      </c>
      <c r="H217" s="44">
        <f>VLOOKUP($A217,'BCA-2023-2026'!$B$2:$S$641,18,FALSE)</f>
        <v>7.45</v>
      </c>
    </row>
    <row r="218" spans="1:8" x14ac:dyDescent="0.3">
      <c r="A218" s="2">
        <v>1323424</v>
      </c>
      <c r="B218" s="2" t="s">
        <v>422</v>
      </c>
      <c r="C218" s="2" t="s">
        <v>812</v>
      </c>
      <c r="D218" s="2" t="s">
        <v>1392</v>
      </c>
      <c r="E218" s="2">
        <v>7562881463</v>
      </c>
      <c r="F218" s="2" t="s">
        <v>2046</v>
      </c>
      <c r="G218" s="2" t="s">
        <v>1143</v>
      </c>
      <c r="H218" s="44">
        <f>VLOOKUP($A218,'BCA-2023-2026'!$B$2:$S$641,18,FALSE)</f>
        <v>7.4375</v>
      </c>
    </row>
    <row r="219" spans="1:8" x14ac:dyDescent="0.3">
      <c r="A219" s="2">
        <v>1323561</v>
      </c>
      <c r="B219" s="2" t="s">
        <v>546</v>
      </c>
      <c r="C219" s="2" t="s">
        <v>906</v>
      </c>
      <c r="D219" s="2" t="s">
        <v>1001</v>
      </c>
      <c r="E219" s="2">
        <v>9693991667</v>
      </c>
      <c r="F219" s="2" t="s">
        <v>2152</v>
      </c>
      <c r="G219" s="2" t="s">
        <v>1143</v>
      </c>
      <c r="H219" s="44">
        <f>VLOOKUP($A219,'BCA-2023-2026'!$B$2:$S$641,18,FALSE)</f>
        <v>7.4249999999999998</v>
      </c>
    </row>
    <row r="220" spans="1:8" x14ac:dyDescent="0.3">
      <c r="A220" s="2">
        <v>1323338</v>
      </c>
      <c r="B220" s="2" t="s">
        <v>340</v>
      </c>
      <c r="C220" s="2" t="s">
        <v>765</v>
      </c>
      <c r="D220" s="2" t="s">
        <v>1326</v>
      </c>
      <c r="E220" s="2">
        <v>9050588400</v>
      </c>
      <c r="F220" s="2" t="s">
        <v>1980</v>
      </c>
      <c r="G220" s="2" t="s">
        <v>1142</v>
      </c>
      <c r="H220" s="44">
        <f>VLOOKUP($A220,'BCA-2023-2026'!$B$2:$S$641,18,FALSE)</f>
        <v>7.4233333333333329</v>
      </c>
    </row>
    <row r="221" spans="1:8" x14ac:dyDescent="0.3">
      <c r="A221" s="2">
        <v>1323026</v>
      </c>
      <c r="B221" s="2" t="s">
        <v>39</v>
      </c>
      <c r="C221" s="2" t="s">
        <v>624</v>
      </c>
      <c r="D221" s="2" t="s">
        <v>1102</v>
      </c>
      <c r="E221" s="2">
        <v>7500139374</v>
      </c>
      <c r="F221" s="2" t="s">
        <v>1717</v>
      </c>
      <c r="G221" s="2" t="s">
        <v>1138</v>
      </c>
      <c r="H221" s="44">
        <f>VLOOKUP($A221,'BCA-2023-2026'!$B$2:$S$641,18,FALSE)</f>
        <v>7.4225000000000003</v>
      </c>
    </row>
    <row r="222" spans="1:8" x14ac:dyDescent="0.3">
      <c r="A222" s="2">
        <v>1323223</v>
      </c>
      <c r="B222" s="2" t="s">
        <v>230</v>
      </c>
      <c r="C222" s="2" t="s">
        <v>721</v>
      </c>
      <c r="D222" s="2" t="s">
        <v>1258</v>
      </c>
      <c r="E222" s="2">
        <v>9905251524</v>
      </c>
      <c r="F222" s="2" t="s">
        <v>1886</v>
      </c>
      <c r="G222" s="2" t="s">
        <v>1140</v>
      </c>
      <c r="H222" s="44">
        <f>VLOOKUP($A222,'BCA-2023-2026'!$B$2:$S$641,18,FALSE)</f>
        <v>7.42</v>
      </c>
    </row>
    <row r="223" spans="1:8" x14ac:dyDescent="0.3">
      <c r="A223" s="2">
        <v>1323145</v>
      </c>
      <c r="B223" s="2" t="s">
        <v>154</v>
      </c>
      <c r="C223" s="2" t="s">
        <v>1471</v>
      </c>
      <c r="D223" s="2" t="s">
        <v>1090</v>
      </c>
      <c r="E223" s="2">
        <v>9053609211</v>
      </c>
      <c r="F223" s="2" t="s">
        <v>1817</v>
      </c>
      <c r="G223" s="2" t="s">
        <v>1139</v>
      </c>
      <c r="H223" s="44">
        <f>VLOOKUP($A223,'BCA-2023-2026'!$B$2:$S$641,18,FALSE)</f>
        <v>7.4124999999999996</v>
      </c>
    </row>
    <row r="224" spans="1:8" x14ac:dyDescent="0.3">
      <c r="A224" s="2">
        <v>1323464</v>
      </c>
      <c r="B224" s="2" t="s">
        <v>607</v>
      </c>
      <c r="C224" s="2" t="s">
        <v>842</v>
      </c>
      <c r="D224" s="2" t="s">
        <v>1073</v>
      </c>
      <c r="E224" s="2">
        <v>6299677503</v>
      </c>
      <c r="F224" s="2" t="s">
        <v>2074</v>
      </c>
      <c r="G224" s="2" t="s">
        <v>1143</v>
      </c>
      <c r="H224" s="44">
        <f>VLOOKUP($A224,'BCA-2023-2026'!$B$2:$S$641,18,FALSE)</f>
        <v>7.41</v>
      </c>
    </row>
    <row r="225" spans="1:8" x14ac:dyDescent="0.3">
      <c r="A225" s="2">
        <v>1323294</v>
      </c>
      <c r="B225" s="2" t="s">
        <v>299</v>
      </c>
      <c r="C225" s="2" t="s">
        <v>751</v>
      </c>
      <c r="D225" s="2" t="s">
        <v>1210</v>
      </c>
      <c r="E225" s="2">
        <v>7496015615</v>
      </c>
      <c r="F225" s="2" t="s">
        <v>1949</v>
      </c>
      <c r="G225" s="2" t="s">
        <v>1141</v>
      </c>
      <c r="H225" s="44">
        <f>VLOOKUP($A225,'BCA-2023-2026'!$B$2:$S$641,18,FALSE)</f>
        <v>7.4074999999999998</v>
      </c>
    </row>
    <row r="226" spans="1:8" x14ac:dyDescent="0.3">
      <c r="A226" s="2">
        <v>1323408</v>
      </c>
      <c r="B226" s="2" t="s">
        <v>406</v>
      </c>
      <c r="C226" s="2" t="s">
        <v>799</v>
      </c>
      <c r="D226" s="2" t="s">
        <v>1377</v>
      </c>
      <c r="E226" s="2">
        <v>9696232482</v>
      </c>
      <c r="F226" s="2" t="s">
        <v>2032</v>
      </c>
      <c r="G226" s="2" t="s">
        <v>1143</v>
      </c>
      <c r="H226" s="44">
        <f>VLOOKUP($A226,'BCA-2023-2026'!$B$2:$S$641,18,FALSE)</f>
        <v>7.4066666666666663</v>
      </c>
    </row>
    <row r="227" spans="1:8" x14ac:dyDescent="0.3">
      <c r="A227" s="2">
        <v>1323285</v>
      </c>
      <c r="B227" s="2" t="s">
        <v>290</v>
      </c>
      <c r="C227" s="2" t="s">
        <v>1527</v>
      </c>
      <c r="D227" s="2" t="s">
        <v>1295</v>
      </c>
      <c r="E227" s="2">
        <v>8570023711</v>
      </c>
      <c r="F227" s="2" t="s">
        <v>1940</v>
      </c>
      <c r="G227" s="2" t="s">
        <v>1141</v>
      </c>
      <c r="H227" s="44">
        <f>VLOOKUP($A227,'BCA-2023-2026'!$B$2:$S$641,18,FALSE)</f>
        <v>7.4024999999999999</v>
      </c>
    </row>
    <row r="228" spans="1:8" x14ac:dyDescent="0.3">
      <c r="A228" s="2">
        <v>1323413</v>
      </c>
      <c r="B228" s="2" t="s">
        <v>411</v>
      </c>
      <c r="C228" s="2" t="s">
        <v>804</v>
      </c>
      <c r="D228" s="2" t="s">
        <v>1382</v>
      </c>
      <c r="E228" s="2">
        <v>9102372831</v>
      </c>
      <c r="F228" s="2" t="s">
        <v>2037</v>
      </c>
      <c r="G228" s="2" t="s">
        <v>1143</v>
      </c>
      <c r="H228" s="44">
        <f>VLOOKUP($A228,'BCA-2023-2026'!$B$2:$S$641,18,FALSE)</f>
        <v>7.4024999999999999</v>
      </c>
    </row>
    <row r="229" spans="1:8" x14ac:dyDescent="0.3">
      <c r="A229" s="2">
        <v>1323353</v>
      </c>
      <c r="B229" s="2" t="s">
        <v>354</v>
      </c>
      <c r="C229" s="2" t="s">
        <v>1556</v>
      </c>
      <c r="D229" s="2" t="s">
        <v>789</v>
      </c>
      <c r="E229" s="2">
        <v>9576652026</v>
      </c>
      <c r="F229" s="2" t="s">
        <v>1991</v>
      </c>
      <c r="G229" s="2" t="s">
        <v>1142</v>
      </c>
      <c r="H229" s="44">
        <f>VLOOKUP($A229,'BCA-2023-2026'!$B$2:$S$641,18,FALSE)</f>
        <v>7.39</v>
      </c>
    </row>
    <row r="230" spans="1:8" x14ac:dyDescent="0.3">
      <c r="A230" s="2">
        <v>1323463</v>
      </c>
      <c r="B230" s="2" t="s">
        <v>455</v>
      </c>
      <c r="C230" s="2" t="s">
        <v>841</v>
      </c>
      <c r="D230" s="2" t="s">
        <v>1074</v>
      </c>
      <c r="E230" s="2">
        <v>9304203339</v>
      </c>
      <c r="F230" s="2" t="s">
        <v>2073</v>
      </c>
      <c r="G230" s="2" t="s">
        <v>1143</v>
      </c>
      <c r="H230" s="44">
        <f>VLOOKUP($A230,'BCA-2023-2026'!$B$2:$S$641,18,FALSE)</f>
        <v>7.3850000000000007</v>
      </c>
    </row>
    <row r="231" spans="1:8" x14ac:dyDescent="0.3">
      <c r="A231" s="2">
        <v>1323251</v>
      </c>
      <c r="B231" s="2" t="s">
        <v>258</v>
      </c>
      <c r="C231" s="2" t="s">
        <v>1513</v>
      </c>
      <c r="D231" s="2" t="s">
        <v>1275</v>
      </c>
      <c r="E231" s="2">
        <v>8221024406</v>
      </c>
      <c r="F231" s="2" t="s">
        <v>1908</v>
      </c>
      <c r="G231" s="2" t="s">
        <v>1141</v>
      </c>
      <c r="H231" s="44">
        <f>VLOOKUP($A231,'BCA-2023-2026'!$B$2:$S$641,18,FALSE)</f>
        <v>7.3825000000000003</v>
      </c>
    </row>
    <row r="232" spans="1:8" x14ac:dyDescent="0.3">
      <c r="A232" s="2">
        <v>1323627</v>
      </c>
      <c r="B232" s="2" t="s">
        <v>598</v>
      </c>
      <c r="C232" s="2" t="s">
        <v>924</v>
      </c>
      <c r="D232" s="2" t="s">
        <v>932</v>
      </c>
      <c r="E232" s="2">
        <v>7372886944</v>
      </c>
      <c r="F232" s="2" t="s">
        <v>2205</v>
      </c>
      <c r="G232" s="2" t="s">
        <v>1142</v>
      </c>
      <c r="H232" s="44">
        <f>VLOOKUP($A232,'BCA-2023-2026'!$B$2:$S$641,18,FALSE)</f>
        <v>7.38</v>
      </c>
    </row>
    <row r="233" spans="1:8" x14ac:dyDescent="0.3">
      <c r="A233" s="2">
        <v>1323336</v>
      </c>
      <c r="B233" s="2" t="s">
        <v>338</v>
      </c>
      <c r="C233" s="2" t="s">
        <v>763</v>
      </c>
      <c r="D233" s="2" t="s">
        <v>1324</v>
      </c>
      <c r="E233" s="2">
        <v>8708105383</v>
      </c>
      <c r="F233" s="2" t="s">
        <v>1978</v>
      </c>
      <c r="G233" s="2" t="s">
        <v>1142</v>
      </c>
      <c r="H233" s="44">
        <f>VLOOKUP($A233,'BCA-2023-2026'!$B$2:$S$641,18,FALSE)</f>
        <v>7.376666666666666</v>
      </c>
    </row>
    <row r="234" spans="1:8" x14ac:dyDescent="0.3">
      <c r="A234" s="2">
        <v>1323302</v>
      </c>
      <c r="B234" s="2" t="s">
        <v>307</v>
      </c>
      <c r="C234" s="2" t="s">
        <v>1534</v>
      </c>
      <c r="D234" s="2" t="s">
        <v>1004</v>
      </c>
      <c r="E234" s="2">
        <v>7988979886</v>
      </c>
      <c r="F234" s="2" t="s">
        <v>1954</v>
      </c>
      <c r="G234" s="2" t="s">
        <v>1141</v>
      </c>
      <c r="H234" s="44">
        <f>VLOOKUP($A234,'BCA-2023-2026'!$B$2:$S$641,18,FALSE)</f>
        <v>7.37</v>
      </c>
    </row>
    <row r="235" spans="1:8" x14ac:dyDescent="0.3">
      <c r="A235" s="2">
        <v>1323574</v>
      </c>
      <c r="B235" s="2" t="s">
        <v>603</v>
      </c>
      <c r="C235" s="2" t="s">
        <v>1592</v>
      </c>
      <c r="D235" s="2" t="s">
        <v>991</v>
      </c>
      <c r="E235" s="2">
        <v>6287212742</v>
      </c>
      <c r="F235" s="2" t="s">
        <v>2162</v>
      </c>
      <c r="G235" s="2" t="s">
        <v>1138</v>
      </c>
      <c r="H235" s="44">
        <f>VLOOKUP($A235,'BCA-2023-2026'!$B$2:$S$641,18,FALSE)</f>
        <v>7.37</v>
      </c>
    </row>
    <row r="236" spans="1:8" x14ac:dyDescent="0.3">
      <c r="A236" s="2">
        <v>1323472</v>
      </c>
      <c r="B236" s="2" t="s">
        <v>463</v>
      </c>
      <c r="C236" s="2" t="s">
        <v>848</v>
      </c>
      <c r="D236" s="2" t="s">
        <v>891</v>
      </c>
      <c r="E236" s="2">
        <v>8409362879</v>
      </c>
      <c r="F236" s="2" t="s">
        <v>2082</v>
      </c>
      <c r="G236" s="2" t="s">
        <v>1143</v>
      </c>
      <c r="H236" s="44">
        <f>VLOOKUP($A236,'BCA-2023-2026'!$B$2:$S$641,18,FALSE)</f>
        <v>7.3666666666666671</v>
      </c>
    </row>
    <row r="237" spans="1:8" x14ac:dyDescent="0.3">
      <c r="A237" s="2">
        <v>1323475</v>
      </c>
      <c r="B237" s="2" t="s">
        <v>466</v>
      </c>
      <c r="C237" s="2" t="s">
        <v>851</v>
      </c>
      <c r="D237" s="2" t="s">
        <v>1064</v>
      </c>
      <c r="E237" s="2">
        <v>9631765261</v>
      </c>
      <c r="F237" s="2" t="s">
        <v>2085</v>
      </c>
      <c r="G237" s="2" t="s">
        <v>1143</v>
      </c>
      <c r="H237" s="44">
        <f>VLOOKUP($A237,'BCA-2023-2026'!$B$2:$S$641,18,FALSE)</f>
        <v>7.3624999999999998</v>
      </c>
    </row>
    <row r="238" spans="1:8" x14ac:dyDescent="0.3">
      <c r="A238" s="2">
        <v>1323037</v>
      </c>
      <c r="B238" s="2" t="s">
        <v>50</v>
      </c>
      <c r="C238" s="2" t="s">
        <v>631</v>
      </c>
      <c r="D238" s="2" t="s">
        <v>1112</v>
      </c>
      <c r="E238" s="2">
        <v>8168105044</v>
      </c>
      <c r="F238" s="2" t="s">
        <v>1727</v>
      </c>
      <c r="G238" s="2" t="s">
        <v>1138</v>
      </c>
      <c r="H238" s="44">
        <f>VLOOKUP($A238,'BCA-2023-2026'!$B$2:$S$641,18,FALSE)</f>
        <v>7.36</v>
      </c>
    </row>
    <row r="239" spans="1:8" x14ac:dyDescent="0.3">
      <c r="A239" s="2">
        <v>1323236</v>
      </c>
      <c r="B239" s="2" t="s">
        <v>243</v>
      </c>
      <c r="C239" s="2" t="s">
        <v>727</v>
      </c>
      <c r="D239" s="2" t="s">
        <v>1264</v>
      </c>
      <c r="E239" s="2">
        <v>8059615547</v>
      </c>
      <c r="F239" s="2" t="s">
        <v>1896</v>
      </c>
      <c r="G239" s="2" t="s">
        <v>1140</v>
      </c>
      <c r="H239" s="44">
        <f>VLOOKUP($A239,'BCA-2023-2026'!$B$2:$S$641,18,FALSE)</f>
        <v>7.3425000000000002</v>
      </c>
    </row>
    <row r="240" spans="1:8" x14ac:dyDescent="0.3">
      <c r="A240" s="2">
        <v>1323502</v>
      </c>
      <c r="B240" s="2" t="s">
        <v>491</v>
      </c>
      <c r="C240" s="2" t="s">
        <v>872</v>
      </c>
      <c r="D240" s="2" t="s">
        <v>1046</v>
      </c>
      <c r="E240" s="2">
        <v>9863002078</v>
      </c>
      <c r="F240" s="2" t="s">
        <v>2106</v>
      </c>
      <c r="G240" s="2" t="s">
        <v>1144</v>
      </c>
      <c r="H240" s="44">
        <f>VLOOKUP($A240,'BCA-2023-2026'!$B$2:$S$641,18,FALSE)</f>
        <v>7.34</v>
      </c>
    </row>
    <row r="241" spans="1:8" x14ac:dyDescent="0.3">
      <c r="A241" s="2">
        <v>1323085</v>
      </c>
      <c r="B241" s="2" t="s">
        <v>94</v>
      </c>
      <c r="C241" s="2" t="s">
        <v>1450</v>
      </c>
      <c r="D241" s="2" t="s">
        <v>1164</v>
      </c>
      <c r="E241" s="2">
        <v>9806882008</v>
      </c>
      <c r="F241" s="2" t="s">
        <v>1767</v>
      </c>
      <c r="G241" s="2" t="s">
        <v>1139</v>
      </c>
      <c r="H241" s="44">
        <f>VLOOKUP($A241,'BCA-2023-2026'!$B$2:$S$641,18,FALSE)</f>
        <v>7.3250000000000002</v>
      </c>
    </row>
    <row r="242" spans="1:8" x14ac:dyDescent="0.3">
      <c r="A242" s="2">
        <v>1323483</v>
      </c>
      <c r="B242" s="2" t="s">
        <v>474</v>
      </c>
      <c r="C242" s="2" t="s">
        <v>858</v>
      </c>
      <c r="D242" s="2" t="s">
        <v>1058</v>
      </c>
      <c r="E242" s="2">
        <v>9319280335</v>
      </c>
      <c r="F242" s="2" t="s">
        <v>2092</v>
      </c>
      <c r="G242" s="2" t="s">
        <v>1144</v>
      </c>
      <c r="H242" s="44">
        <f>VLOOKUP($A242,'BCA-2023-2026'!$B$2:$S$641,18,FALSE)</f>
        <v>7.3250000000000002</v>
      </c>
    </row>
    <row r="243" spans="1:8" x14ac:dyDescent="0.3">
      <c r="A243" s="2">
        <v>1323033</v>
      </c>
      <c r="B243" s="2" t="s">
        <v>46</v>
      </c>
      <c r="C243" s="2" t="s">
        <v>1435</v>
      </c>
      <c r="D243" s="2" t="s">
        <v>1109</v>
      </c>
      <c r="E243" s="2">
        <v>8053211500</v>
      </c>
      <c r="F243" s="2" t="s">
        <v>1724</v>
      </c>
      <c r="G243" s="2" t="s">
        <v>1138</v>
      </c>
      <c r="H243" s="44">
        <f>VLOOKUP($A243,'BCA-2023-2026'!$B$2:$S$641,18,FALSE)</f>
        <v>7.32</v>
      </c>
    </row>
    <row r="244" spans="1:8" x14ac:dyDescent="0.3">
      <c r="A244" s="2">
        <v>1323274</v>
      </c>
      <c r="B244" s="2" t="s">
        <v>280</v>
      </c>
      <c r="C244" s="2"/>
      <c r="D244" s="2"/>
      <c r="E244" s="2">
        <v>7082021078</v>
      </c>
      <c r="F244" s="2" t="s">
        <v>1929</v>
      </c>
      <c r="G244" s="2" t="s">
        <v>1141</v>
      </c>
      <c r="H244" s="44">
        <f>VLOOKUP($A244,'BCA-2023-2026'!$B$2:$S$641,18,FALSE)</f>
        <v>7.3049999999999997</v>
      </c>
    </row>
    <row r="245" spans="1:8" x14ac:dyDescent="0.3">
      <c r="A245" s="2">
        <v>1323423</v>
      </c>
      <c r="B245" s="2" t="s">
        <v>421</v>
      </c>
      <c r="C245" s="2" t="s">
        <v>811</v>
      </c>
      <c r="D245" s="2" t="s">
        <v>1391</v>
      </c>
      <c r="E245" s="2">
        <v>8797818704</v>
      </c>
      <c r="F245" s="2" t="s">
        <v>2045</v>
      </c>
      <c r="G245" s="2" t="s">
        <v>1143</v>
      </c>
      <c r="H245" s="44">
        <f>VLOOKUP($A245,'BCA-2023-2026'!$B$2:$S$641,18,FALSE)</f>
        <v>7.3033333333333337</v>
      </c>
    </row>
    <row r="246" spans="1:8" x14ac:dyDescent="0.3">
      <c r="A246" s="2">
        <v>1323200</v>
      </c>
      <c r="B246" s="2" t="s">
        <v>207</v>
      </c>
      <c r="C246" s="2" t="s">
        <v>1493</v>
      </c>
      <c r="D246" s="2" t="s">
        <v>1228</v>
      </c>
      <c r="E246" s="2">
        <v>8814015869</v>
      </c>
      <c r="F246" s="2" t="s">
        <v>1865</v>
      </c>
      <c r="G246" s="2" t="s">
        <v>1140</v>
      </c>
      <c r="H246" s="44">
        <f>VLOOKUP($A246,'BCA-2023-2026'!$B$2:$S$641,18,FALSE)</f>
        <v>7.3025000000000002</v>
      </c>
    </row>
    <row r="247" spans="1:8" x14ac:dyDescent="0.3">
      <c r="A247" s="2">
        <v>1323292</v>
      </c>
      <c r="B247" s="2" t="s">
        <v>297</v>
      </c>
      <c r="C247" s="2" t="s">
        <v>1529</v>
      </c>
      <c r="D247" s="2" t="s">
        <v>1297</v>
      </c>
      <c r="E247" s="2">
        <v>7060687236</v>
      </c>
      <c r="F247" s="2" t="s">
        <v>1947</v>
      </c>
      <c r="G247" s="2" t="s">
        <v>1141</v>
      </c>
      <c r="H247" s="44">
        <f>VLOOKUP($A247,'BCA-2023-2026'!$B$2:$S$641,18,FALSE)</f>
        <v>7.3</v>
      </c>
    </row>
    <row r="248" spans="1:8" x14ac:dyDescent="0.3">
      <c r="A248" s="2">
        <v>1323494</v>
      </c>
      <c r="B248" s="2" t="s">
        <v>608</v>
      </c>
      <c r="C248" s="2" t="s">
        <v>867</v>
      </c>
      <c r="D248" s="2" t="s">
        <v>1050</v>
      </c>
      <c r="E248" s="2">
        <v>9279993918</v>
      </c>
      <c r="F248" s="2" t="s">
        <v>2101</v>
      </c>
      <c r="G248" s="2" t="s">
        <v>1144</v>
      </c>
      <c r="H248" s="44">
        <f>VLOOKUP($A248,'BCA-2023-2026'!$B$2:$S$641,18,FALSE)</f>
        <v>7.3</v>
      </c>
    </row>
    <row r="249" spans="1:8" x14ac:dyDescent="0.3">
      <c r="A249" s="2">
        <v>1323057</v>
      </c>
      <c r="B249" s="2" t="s">
        <v>68</v>
      </c>
      <c r="C249" s="2" t="s">
        <v>641</v>
      </c>
      <c r="D249" s="2" t="s">
        <v>1128</v>
      </c>
      <c r="E249" s="2">
        <v>8708011996</v>
      </c>
      <c r="F249" s="2" t="s">
        <v>1745</v>
      </c>
      <c r="G249" s="2" t="s">
        <v>1138</v>
      </c>
      <c r="H249" s="44">
        <f>VLOOKUP($A249,'BCA-2023-2026'!$B$2:$S$641,18,FALSE)</f>
        <v>7.2733333333333334</v>
      </c>
    </row>
    <row r="250" spans="1:8" x14ac:dyDescent="0.3">
      <c r="A250" s="2">
        <v>1323027</v>
      </c>
      <c r="B250" s="2" t="s">
        <v>40</v>
      </c>
      <c r="C250" s="2" t="s">
        <v>625</v>
      </c>
      <c r="D250" s="2" t="s">
        <v>1103</v>
      </c>
      <c r="E250" s="2">
        <v>9817026844</v>
      </c>
      <c r="F250" s="2" t="s">
        <v>1718</v>
      </c>
      <c r="G250" s="2" t="s">
        <v>1138</v>
      </c>
      <c r="H250" s="44">
        <f>VLOOKUP($A250,'BCA-2023-2026'!$B$2:$S$641,18,FALSE)</f>
        <v>7.27</v>
      </c>
    </row>
    <row r="251" spans="1:8" x14ac:dyDescent="0.3">
      <c r="A251" s="2">
        <v>1323456</v>
      </c>
      <c r="B251" s="2" t="s">
        <v>448</v>
      </c>
      <c r="C251" s="2" t="s">
        <v>835</v>
      </c>
      <c r="D251" s="2" t="s">
        <v>1406</v>
      </c>
      <c r="E251" s="2">
        <v>8307133940</v>
      </c>
      <c r="F251" s="2" t="s">
        <v>2068</v>
      </c>
      <c r="G251" s="2" t="s">
        <v>1142</v>
      </c>
      <c r="H251" s="44">
        <f>VLOOKUP($A251,'BCA-2023-2026'!$B$2:$S$641,18,FALSE)</f>
        <v>7.27</v>
      </c>
    </row>
    <row r="252" spans="1:8" x14ac:dyDescent="0.3">
      <c r="A252" s="2">
        <v>1323379</v>
      </c>
      <c r="B252" s="2" t="s">
        <v>377</v>
      </c>
      <c r="C252" s="2" t="s">
        <v>781</v>
      </c>
      <c r="D252" s="2" t="s">
        <v>1353</v>
      </c>
      <c r="E252" s="2">
        <v>9546016107</v>
      </c>
      <c r="F252" s="2" t="s">
        <v>2012</v>
      </c>
      <c r="G252" s="2" t="s">
        <v>1142</v>
      </c>
      <c r="H252" s="44">
        <f>VLOOKUP($A252,'BCA-2023-2026'!$B$2:$S$641,18,FALSE)</f>
        <v>7.2549999999999999</v>
      </c>
    </row>
    <row r="253" spans="1:8" x14ac:dyDescent="0.3">
      <c r="A253" s="2">
        <v>1323623</v>
      </c>
      <c r="B253" s="2" t="s">
        <v>595</v>
      </c>
      <c r="C253" s="2" t="s">
        <v>922</v>
      </c>
      <c r="D253" s="2" t="s">
        <v>936</v>
      </c>
      <c r="E253" s="2">
        <v>9334502780</v>
      </c>
      <c r="F253" s="2" t="s">
        <v>2201</v>
      </c>
      <c r="G253" s="2" t="s">
        <v>1144</v>
      </c>
      <c r="H253" s="44">
        <f>VLOOKUP($A253,'BCA-2023-2026'!$B$2:$S$641,18,FALSE)</f>
        <v>7.25</v>
      </c>
    </row>
    <row r="254" spans="1:8" x14ac:dyDescent="0.3">
      <c r="A254" s="2">
        <v>1323191</v>
      </c>
      <c r="B254" s="2" t="s">
        <v>198</v>
      </c>
      <c r="C254" s="2" t="s">
        <v>1438</v>
      </c>
      <c r="D254" s="2" t="s">
        <v>1236</v>
      </c>
      <c r="E254" s="2">
        <v>6239759944</v>
      </c>
      <c r="F254" s="2" t="s">
        <v>1856</v>
      </c>
      <c r="G254" s="2" t="s">
        <v>1140</v>
      </c>
      <c r="H254" s="44">
        <f>VLOOKUP($A254,'BCA-2023-2026'!$B$2:$S$641,18,FALSE)</f>
        <v>7.2475000000000005</v>
      </c>
    </row>
    <row r="255" spans="1:8" x14ac:dyDescent="0.3">
      <c r="A255" s="2">
        <v>1323233</v>
      </c>
      <c r="B255" s="2" t="s">
        <v>240</v>
      </c>
      <c r="C255" s="2" t="s">
        <v>725</v>
      </c>
      <c r="D255" s="2" t="s">
        <v>1262</v>
      </c>
      <c r="E255" s="2">
        <v>9896129815</v>
      </c>
      <c r="F255" s="2" t="s">
        <v>1894</v>
      </c>
      <c r="G255" s="2" t="s">
        <v>1140</v>
      </c>
      <c r="H255" s="44">
        <f>VLOOKUP($A255,'BCA-2023-2026'!$B$2:$S$641,18,FALSE)</f>
        <v>7.2433333333333332</v>
      </c>
    </row>
    <row r="256" spans="1:8" x14ac:dyDescent="0.3">
      <c r="A256" s="2">
        <v>1323389</v>
      </c>
      <c r="B256" s="2" t="s">
        <v>387</v>
      </c>
      <c r="C256" s="2" t="s">
        <v>786</v>
      </c>
      <c r="D256" s="2" t="s">
        <v>1361</v>
      </c>
      <c r="E256" s="2">
        <v>7667276551</v>
      </c>
      <c r="F256" s="2" t="s">
        <v>2019</v>
      </c>
      <c r="G256" s="2" t="s">
        <v>1142</v>
      </c>
      <c r="H256" s="44">
        <f>VLOOKUP($A256,'BCA-2023-2026'!$B$2:$S$641,18,FALSE)</f>
        <v>7.23</v>
      </c>
    </row>
    <row r="257" spans="1:8" x14ac:dyDescent="0.3">
      <c r="A257" s="2">
        <v>1323479</v>
      </c>
      <c r="B257" s="2" t="s">
        <v>470</v>
      </c>
      <c r="C257" s="2" t="s">
        <v>854</v>
      </c>
      <c r="D257" s="2" t="s">
        <v>1062</v>
      </c>
      <c r="E257" s="2">
        <v>9006618001</v>
      </c>
      <c r="F257" s="2" t="s">
        <v>2088</v>
      </c>
      <c r="G257" s="2" t="s">
        <v>1143</v>
      </c>
      <c r="H257" s="44">
        <f>VLOOKUP($A257,'BCA-2023-2026'!$B$2:$S$641,18,FALSE)</f>
        <v>7.2275</v>
      </c>
    </row>
    <row r="258" spans="1:8" x14ac:dyDescent="0.3">
      <c r="A258" s="2">
        <v>1323100</v>
      </c>
      <c r="B258" s="2" t="s">
        <v>109</v>
      </c>
      <c r="C258" s="2" t="s">
        <v>779</v>
      </c>
      <c r="D258" s="2" t="s">
        <v>1174</v>
      </c>
      <c r="E258" s="2">
        <v>9588139944</v>
      </c>
      <c r="F258" s="2" t="s">
        <v>1779</v>
      </c>
      <c r="G258" s="2" t="s">
        <v>1139</v>
      </c>
      <c r="H258" s="44">
        <f>VLOOKUP($A258,'BCA-2023-2026'!$B$2:$S$641,18,FALSE)</f>
        <v>7.2225000000000001</v>
      </c>
    </row>
    <row r="259" spans="1:8" x14ac:dyDescent="0.3">
      <c r="A259" s="2">
        <v>1323284</v>
      </c>
      <c r="B259" s="2" t="s">
        <v>289</v>
      </c>
      <c r="C259" s="2" t="s">
        <v>745</v>
      </c>
      <c r="D259" s="2" t="s">
        <v>1038</v>
      </c>
      <c r="E259" s="2">
        <v>9697288088</v>
      </c>
      <c r="F259" s="2" t="s">
        <v>1939</v>
      </c>
      <c r="G259" s="2" t="s">
        <v>1141</v>
      </c>
      <c r="H259" s="44">
        <f>VLOOKUP($A259,'BCA-2023-2026'!$B$2:$S$641,18,FALSE)</f>
        <v>7.2133333333333338</v>
      </c>
    </row>
    <row r="260" spans="1:8" x14ac:dyDescent="0.3">
      <c r="A260" s="2">
        <v>1323177</v>
      </c>
      <c r="B260" s="2" t="s">
        <v>184</v>
      </c>
      <c r="C260" s="2" t="s">
        <v>703</v>
      </c>
      <c r="D260" s="2" t="s">
        <v>1226</v>
      </c>
      <c r="E260" s="2">
        <v>7988423406</v>
      </c>
      <c r="F260" s="2" t="s">
        <v>1844</v>
      </c>
      <c r="G260" s="2" t="s">
        <v>1140</v>
      </c>
      <c r="H260" s="44">
        <f>VLOOKUP($A260,'BCA-2023-2026'!$B$2:$S$641,18,FALSE)</f>
        <v>7.2</v>
      </c>
    </row>
    <row r="261" spans="1:8" x14ac:dyDescent="0.3">
      <c r="A261" s="2">
        <v>1323307</v>
      </c>
      <c r="B261" s="2" t="s">
        <v>312</v>
      </c>
      <c r="C261" s="2" t="s">
        <v>1499</v>
      </c>
      <c r="D261" s="2" t="s">
        <v>1166</v>
      </c>
      <c r="E261" s="2">
        <v>9992838202</v>
      </c>
      <c r="F261" s="2" t="s">
        <v>1958</v>
      </c>
      <c r="G261" s="2" t="s">
        <v>1141</v>
      </c>
      <c r="H261" s="44">
        <f>VLOOKUP($A261,'BCA-2023-2026'!$B$2:$S$641,18,FALSE)</f>
        <v>7.2</v>
      </c>
    </row>
    <row r="262" spans="1:8" x14ac:dyDescent="0.3">
      <c r="A262" s="2">
        <v>1323543</v>
      </c>
      <c r="B262" s="2" t="s">
        <v>532</v>
      </c>
      <c r="C262" s="2" t="s">
        <v>899</v>
      </c>
      <c r="D262" s="2" t="s">
        <v>1012</v>
      </c>
      <c r="E262" s="2">
        <v>6203738413</v>
      </c>
      <c r="F262" s="2" t="s">
        <v>2142</v>
      </c>
      <c r="G262" s="2" t="s">
        <v>1144</v>
      </c>
      <c r="H262" s="44">
        <f>VLOOKUP($A262,'BCA-2023-2026'!$B$2:$S$641,18,FALSE)</f>
        <v>7.1924999999999999</v>
      </c>
    </row>
    <row r="263" spans="1:8" x14ac:dyDescent="0.3">
      <c r="A263" s="2">
        <v>1323146</v>
      </c>
      <c r="B263" s="2" t="s">
        <v>155</v>
      </c>
      <c r="C263" s="2" t="s">
        <v>1472</v>
      </c>
      <c r="D263" s="2" t="s">
        <v>1205</v>
      </c>
      <c r="E263" s="2">
        <v>9034642504</v>
      </c>
      <c r="F263" s="2" t="s">
        <v>1818</v>
      </c>
      <c r="G263" s="2" t="s">
        <v>1139</v>
      </c>
      <c r="H263" s="44">
        <f>VLOOKUP($A263,'BCA-2023-2026'!$B$2:$S$641,18,FALSE)</f>
        <v>7.19</v>
      </c>
    </row>
    <row r="264" spans="1:8" x14ac:dyDescent="0.3">
      <c r="A264" s="2">
        <v>1323136</v>
      </c>
      <c r="B264" s="2" t="s">
        <v>145</v>
      </c>
      <c r="C264" s="2" t="s">
        <v>1467</v>
      </c>
      <c r="D264" s="2" t="s">
        <v>1198</v>
      </c>
      <c r="E264" s="2">
        <v>9317909741</v>
      </c>
      <c r="F264" s="2" t="s">
        <v>1809</v>
      </c>
      <c r="G264" s="2" t="s">
        <v>1139</v>
      </c>
      <c r="H264" s="44">
        <f>VLOOKUP($A264,'BCA-2023-2026'!$B$2:$S$641,18,FALSE)</f>
        <v>7.1850000000000005</v>
      </c>
    </row>
    <row r="265" spans="1:8" x14ac:dyDescent="0.3">
      <c r="A265" s="2">
        <v>1323235</v>
      </c>
      <c r="B265" s="2" t="s">
        <v>242</v>
      </c>
      <c r="C265" s="2" t="s">
        <v>686</v>
      </c>
      <c r="D265" s="2" t="s">
        <v>1097</v>
      </c>
      <c r="E265" s="2"/>
      <c r="F265" s="2"/>
      <c r="G265" s="2"/>
      <c r="H265" s="44">
        <f>VLOOKUP($A265,'BCA-2023-2026'!$B$2:$S$641,18,FALSE)</f>
        <v>7.18</v>
      </c>
    </row>
    <row r="266" spans="1:8" x14ac:dyDescent="0.3">
      <c r="A266" s="2">
        <v>1323282</v>
      </c>
      <c r="B266" s="2" t="s">
        <v>287</v>
      </c>
      <c r="C266" s="2" t="s">
        <v>744</v>
      </c>
      <c r="D266" s="2" t="s">
        <v>1293</v>
      </c>
      <c r="E266" s="2">
        <v>9034071715</v>
      </c>
      <c r="F266" s="2" t="s">
        <v>1937</v>
      </c>
      <c r="G266" s="2" t="s">
        <v>1141</v>
      </c>
      <c r="H266" s="44">
        <f>VLOOKUP($A266,'BCA-2023-2026'!$B$2:$S$641,18,FALSE)</f>
        <v>7.18</v>
      </c>
    </row>
    <row r="267" spans="1:8" x14ac:dyDescent="0.3">
      <c r="A267" s="2">
        <v>1323453</v>
      </c>
      <c r="B267" s="2" t="s">
        <v>445</v>
      </c>
      <c r="C267" s="2" t="s">
        <v>832</v>
      </c>
      <c r="D267" s="2" t="s">
        <v>891</v>
      </c>
      <c r="E267" s="2"/>
      <c r="F267" s="2"/>
      <c r="G267" s="2"/>
      <c r="H267" s="44">
        <f>VLOOKUP($A267,'BCA-2023-2026'!$B$2:$S$641,18,FALSE)</f>
        <v>7.18</v>
      </c>
    </row>
    <row r="268" spans="1:8" x14ac:dyDescent="0.3">
      <c r="A268" s="2">
        <v>1323473</v>
      </c>
      <c r="B268" s="2" t="s">
        <v>464</v>
      </c>
      <c r="C268" s="2" t="s">
        <v>849</v>
      </c>
      <c r="D268" s="2" t="s">
        <v>1066</v>
      </c>
      <c r="E268" s="2">
        <v>9234490721</v>
      </c>
      <c r="F268" s="2" t="s">
        <v>2083</v>
      </c>
      <c r="G268" s="2" t="s">
        <v>1143</v>
      </c>
      <c r="H268" s="44">
        <f>VLOOKUP($A268,'BCA-2023-2026'!$B$2:$S$641,18,FALSE)</f>
        <v>7.18</v>
      </c>
    </row>
    <row r="269" spans="1:8" x14ac:dyDescent="0.3">
      <c r="A269" s="2">
        <v>1323524</v>
      </c>
      <c r="B269" s="2" t="s">
        <v>513</v>
      </c>
      <c r="C269" s="2" t="s">
        <v>889</v>
      </c>
      <c r="D269" s="2" t="s">
        <v>1027</v>
      </c>
      <c r="E269" s="2">
        <v>8539936156</v>
      </c>
      <c r="F269" s="2" t="s">
        <v>2126</v>
      </c>
      <c r="G269" s="2" t="s">
        <v>1144</v>
      </c>
      <c r="H269" s="44">
        <f>VLOOKUP($A269,'BCA-2023-2026'!$B$2:$S$641,18,FALSE)</f>
        <v>7.18</v>
      </c>
    </row>
    <row r="270" spans="1:8" x14ac:dyDescent="0.3">
      <c r="A270" s="2">
        <v>1323202</v>
      </c>
      <c r="B270" s="2" t="s">
        <v>209</v>
      </c>
      <c r="C270" s="2" t="s">
        <v>1495</v>
      </c>
      <c r="D270" s="2" t="s">
        <v>1166</v>
      </c>
      <c r="E270" s="2">
        <v>8930914967</v>
      </c>
      <c r="F270" s="2" t="s">
        <v>1867</v>
      </c>
      <c r="G270" s="2" t="s">
        <v>1140</v>
      </c>
      <c r="H270" s="44">
        <f>VLOOKUP($A270,'BCA-2023-2026'!$B$2:$S$641,18,FALSE)</f>
        <v>7.1775000000000002</v>
      </c>
    </row>
    <row r="271" spans="1:8" x14ac:dyDescent="0.3">
      <c r="A271" s="2">
        <v>1323555</v>
      </c>
      <c r="B271" s="2" t="s">
        <v>542</v>
      </c>
      <c r="C271" s="2" t="s">
        <v>904</v>
      </c>
      <c r="D271" s="2" t="s">
        <v>1004</v>
      </c>
      <c r="E271" s="2">
        <v>9835075691</v>
      </c>
      <c r="F271" s="2" t="s">
        <v>2149</v>
      </c>
      <c r="G271" s="2" t="s">
        <v>1144</v>
      </c>
      <c r="H271" s="44">
        <f>VLOOKUP($A271,'BCA-2023-2026'!$B$2:$S$641,18,FALSE)</f>
        <v>7.1733333333333329</v>
      </c>
    </row>
    <row r="272" spans="1:8" x14ac:dyDescent="0.3">
      <c r="A272" s="2">
        <v>1323541</v>
      </c>
      <c r="B272" s="2" t="s">
        <v>530</v>
      </c>
      <c r="C272" s="2" t="s">
        <v>899</v>
      </c>
      <c r="D272" s="2" t="s">
        <v>1013</v>
      </c>
      <c r="E272" s="2">
        <v>9125516505</v>
      </c>
      <c r="F272" s="2" t="s">
        <v>2141</v>
      </c>
      <c r="G272" s="2" t="s">
        <v>1144</v>
      </c>
      <c r="H272" s="44">
        <f>VLOOKUP($A272,'BCA-2023-2026'!$B$2:$S$641,18,FALSE)</f>
        <v>7.17</v>
      </c>
    </row>
    <row r="273" spans="1:8" x14ac:dyDescent="0.3">
      <c r="A273" s="2">
        <v>1323234</v>
      </c>
      <c r="B273" s="2" t="s">
        <v>241</v>
      </c>
      <c r="C273" s="2" t="s">
        <v>726</v>
      </c>
      <c r="D273" s="2" t="s">
        <v>1263</v>
      </c>
      <c r="E273" s="2">
        <v>8816800791</v>
      </c>
      <c r="F273" s="2" t="s">
        <v>1895</v>
      </c>
      <c r="G273" s="2" t="s">
        <v>1140</v>
      </c>
      <c r="H273" s="44">
        <f>VLOOKUP($A273,'BCA-2023-2026'!$B$2:$S$641,18,FALSE)</f>
        <v>7.166666666666667</v>
      </c>
    </row>
    <row r="274" spans="1:8" x14ac:dyDescent="0.3">
      <c r="A274" s="2">
        <v>1323289</v>
      </c>
      <c r="B274" s="2" t="s">
        <v>294</v>
      </c>
      <c r="C274" s="2" t="s">
        <v>748</v>
      </c>
      <c r="D274" s="2" t="s">
        <v>1169</v>
      </c>
      <c r="E274" s="2">
        <v>7494954017</v>
      </c>
      <c r="F274" s="2" t="s">
        <v>1944</v>
      </c>
      <c r="G274" s="2" t="s">
        <v>1141</v>
      </c>
      <c r="H274" s="44">
        <f>VLOOKUP($A274,'BCA-2023-2026'!$B$2:$S$641,18,FALSE)</f>
        <v>7.165</v>
      </c>
    </row>
    <row r="275" spans="1:8" x14ac:dyDescent="0.3">
      <c r="A275" s="2">
        <v>1323491</v>
      </c>
      <c r="B275" s="2" t="s">
        <v>482</v>
      </c>
      <c r="C275" s="2" t="s">
        <v>864</v>
      </c>
      <c r="D275" s="2" t="s">
        <v>995</v>
      </c>
      <c r="E275" s="2">
        <v>7645989653</v>
      </c>
      <c r="F275" s="2" t="s">
        <v>2098</v>
      </c>
      <c r="G275" s="2" t="s">
        <v>1144</v>
      </c>
      <c r="H275" s="44">
        <f>VLOOKUP($A275,'BCA-2023-2026'!$B$2:$S$641,18,FALSE)</f>
        <v>7.1550000000000002</v>
      </c>
    </row>
    <row r="276" spans="1:8" x14ac:dyDescent="0.3">
      <c r="A276" s="2">
        <v>1323174</v>
      </c>
      <c r="B276" s="2" t="s">
        <v>181</v>
      </c>
      <c r="C276" s="2" t="s">
        <v>700</v>
      </c>
      <c r="D276" s="2" t="s">
        <v>1225</v>
      </c>
      <c r="E276" s="2">
        <v>7858802599</v>
      </c>
      <c r="F276" s="2" t="s">
        <v>1841</v>
      </c>
      <c r="G276" s="2"/>
      <c r="H276" s="44">
        <f>VLOOKUP($A276,'BCA-2023-2026'!$B$2:$S$641,18,FALSE)</f>
        <v>7.1500000000000012</v>
      </c>
    </row>
    <row r="277" spans="1:8" x14ac:dyDescent="0.3">
      <c r="A277" s="2">
        <v>1323335</v>
      </c>
      <c r="B277" s="2" t="s">
        <v>337</v>
      </c>
      <c r="C277" s="2" t="s">
        <v>1551</v>
      </c>
      <c r="D277" s="2" t="s">
        <v>1323</v>
      </c>
      <c r="E277" s="2">
        <v>8210919030</v>
      </c>
      <c r="F277" s="2" t="s">
        <v>1977</v>
      </c>
      <c r="G277" s="2" t="s">
        <v>1142</v>
      </c>
      <c r="H277" s="44">
        <f>VLOOKUP($A277,'BCA-2023-2026'!$B$2:$S$641,18,FALSE)</f>
        <v>7.15</v>
      </c>
    </row>
    <row r="278" spans="1:8" x14ac:dyDescent="0.3">
      <c r="A278" s="2">
        <v>1323288</v>
      </c>
      <c r="B278" s="2" t="s">
        <v>293</v>
      </c>
      <c r="C278" s="2" t="s">
        <v>747</v>
      </c>
      <c r="D278" s="2" t="s">
        <v>1296</v>
      </c>
      <c r="E278" s="2">
        <v>9926250011</v>
      </c>
      <c r="F278" s="2" t="s">
        <v>1943</v>
      </c>
      <c r="G278" s="2" t="s">
        <v>1141</v>
      </c>
      <c r="H278" s="44">
        <f>VLOOKUP($A278,'BCA-2023-2026'!$B$2:$S$641,18,FALSE)</f>
        <v>7.1433333333333335</v>
      </c>
    </row>
    <row r="279" spans="1:8" x14ac:dyDescent="0.3">
      <c r="A279" s="2">
        <v>1323313</v>
      </c>
      <c r="B279" s="2" t="s">
        <v>318</v>
      </c>
      <c r="C279" s="2" t="s">
        <v>1539</v>
      </c>
      <c r="D279" s="2" t="s">
        <v>1306</v>
      </c>
      <c r="E279" s="2">
        <v>8816086683</v>
      </c>
      <c r="F279" s="2" t="s">
        <v>1964</v>
      </c>
      <c r="G279" s="2" t="s">
        <v>1141</v>
      </c>
      <c r="H279" s="44">
        <f>VLOOKUP($A279,'BCA-2023-2026'!$B$2:$S$641,18,FALSE)</f>
        <v>7.0925000000000002</v>
      </c>
    </row>
    <row r="280" spans="1:8" x14ac:dyDescent="0.3">
      <c r="A280" s="2">
        <v>1323254</v>
      </c>
      <c r="B280" s="2" t="s">
        <v>261</v>
      </c>
      <c r="C280" s="2" t="s">
        <v>1514</v>
      </c>
      <c r="D280" s="2" t="s">
        <v>1277</v>
      </c>
      <c r="E280" s="2">
        <v>8307550522</v>
      </c>
      <c r="F280" s="2" t="s">
        <v>1911</v>
      </c>
      <c r="G280" s="2" t="s">
        <v>1141</v>
      </c>
      <c r="H280" s="44">
        <f>VLOOKUP($A280,'BCA-2023-2026'!$B$2:$S$641,18,FALSE)</f>
        <v>7.085</v>
      </c>
    </row>
    <row r="281" spans="1:8" x14ac:dyDescent="0.3">
      <c r="A281" s="2">
        <v>1323049</v>
      </c>
      <c r="B281" s="2" t="s">
        <v>61</v>
      </c>
      <c r="C281" s="2" t="s">
        <v>635</v>
      </c>
      <c r="D281" s="2" t="s">
        <v>1122</v>
      </c>
      <c r="E281" s="2">
        <v>8307542422</v>
      </c>
      <c r="F281" s="2" t="s">
        <v>1738</v>
      </c>
      <c r="G281" s="2" t="s">
        <v>1138</v>
      </c>
      <c r="H281" s="44">
        <f>VLOOKUP($A281,'BCA-2023-2026'!$B$2:$S$641,18,FALSE)</f>
        <v>7.08</v>
      </c>
    </row>
    <row r="282" spans="1:8" x14ac:dyDescent="0.3">
      <c r="A282" s="2">
        <v>1323572</v>
      </c>
      <c r="B282" s="2" t="s">
        <v>557</v>
      </c>
      <c r="C282" s="2" t="s">
        <v>908</v>
      </c>
      <c r="D282" s="2" t="s">
        <v>993</v>
      </c>
      <c r="E282" s="2">
        <v>9973349056</v>
      </c>
      <c r="F282" s="2" t="s">
        <v>2160</v>
      </c>
      <c r="G282" s="2" t="s">
        <v>1143</v>
      </c>
      <c r="H282" s="44">
        <f>VLOOKUP($A282,'BCA-2023-2026'!$B$2:$S$641,18,FALSE)</f>
        <v>7.08</v>
      </c>
    </row>
    <row r="283" spans="1:8" x14ac:dyDescent="0.3">
      <c r="A283" s="2">
        <v>1323155</v>
      </c>
      <c r="B283" s="2" t="s">
        <v>164</v>
      </c>
      <c r="C283" s="2" t="s">
        <v>1475</v>
      </c>
      <c r="D283" s="2" t="s">
        <v>1212</v>
      </c>
      <c r="E283" s="2">
        <v>9050633210</v>
      </c>
      <c r="F283" s="2" t="s">
        <v>1826</v>
      </c>
      <c r="G283" s="2" t="s">
        <v>1139</v>
      </c>
      <c r="H283" s="44">
        <f>VLOOKUP($A283,'BCA-2023-2026'!$B$2:$S$641,18,FALSE)</f>
        <v>7.0750000000000002</v>
      </c>
    </row>
    <row r="284" spans="1:8" x14ac:dyDescent="0.3">
      <c r="A284" s="2">
        <v>1323165</v>
      </c>
      <c r="B284" s="2" t="s">
        <v>174</v>
      </c>
      <c r="C284" s="2" t="s">
        <v>727</v>
      </c>
      <c r="D284" s="2" t="s">
        <v>1090</v>
      </c>
      <c r="E284" s="2">
        <v>7027961344</v>
      </c>
      <c r="F284" s="2" t="s">
        <v>1836</v>
      </c>
      <c r="G284" s="2" t="s">
        <v>1140</v>
      </c>
      <c r="H284" s="44">
        <f>VLOOKUP($A284,'BCA-2023-2026'!$B$2:$S$641,18,FALSE)</f>
        <v>7.0724999999999998</v>
      </c>
    </row>
    <row r="285" spans="1:8" x14ac:dyDescent="0.3">
      <c r="A285" s="2">
        <v>1323455</v>
      </c>
      <c r="B285" s="2" t="s">
        <v>447</v>
      </c>
      <c r="C285" s="2" t="s">
        <v>834</v>
      </c>
      <c r="D285" s="2" t="s">
        <v>1080</v>
      </c>
      <c r="E285" s="2">
        <v>9117753395</v>
      </c>
      <c r="F285" s="2" t="s">
        <v>2067</v>
      </c>
      <c r="G285" s="2" t="s">
        <v>1143</v>
      </c>
      <c r="H285" s="44">
        <f>VLOOKUP($A285,'BCA-2023-2026'!$B$2:$S$641,18,FALSE)</f>
        <v>7.0600000000000005</v>
      </c>
    </row>
    <row r="286" spans="1:8" x14ac:dyDescent="0.3">
      <c r="A286" s="2">
        <v>1323346</v>
      </c>
      <c r="B286" s="2" t="s">
        <v>347</v>
      </c>
      <c r="C286" s="2" t="s">
        <v>854</v>
      </c>
      <c r="D286" s="2" t="s">
        <v>1332</v>
      </c>
      <c r="E286" s="2">
        <v>9693838724</v>
      </c>
      <c r="F286" s="2" t="s">
        <v>1986</v>
      </c>
      <c r="G286" s="2" t="s">
        <v>1142</v>
      </c>
      <c r="H286" s="44">
        <f>VLOOKUP($A286,'BCA-2023-2026'!$B$2:$S$641,18,FALSE)</f>
        <v>7.0466666666666669</v>
      </c>
    </row>
    <row r="287" spans="1:8" x14ac:dyDescent="0.3">
      <c r="A287" s="2">
        <v>1323504</v>
      </c>
      <c r="B287" s="2" t="s">
        <v>493</v>
      </c>
      <c r="C287" s="2" t="s">
        <v>828</v>
      </c>
      <c r="D287" s="2" t="s">
        <v>1044</v>
      </c>
      <c r="E287" s="2">
        <v>9608869655</v>
      </c>
      <c r="F287" s="2" t="s">
        <v>2108</v>
      </c>
      <c r="G287" s="2" t="s">
        <v>1144</v>
      </c>
      <c r="H287" s="44">
        <f>VLOOKUP($A287,'BCA-2023-2026'!$B$2:$S$641,18,FALSE)</f>
        <v>7.04</v>
      </c>
    </row>
    <row r="288" spans="1:8" x14ac:dyDescent="0.3">
      <c r="A288" s="2">
        <v>1323509</v>
      </c>
      <c r="B288" s="2" t="s">
        <v>498</v>
      </c>
      <c r="C288" s="2" t="s">
        <v>876</v>
      </c>
      <c r="D288" s="2" t="s">
        <v>1039</v>
      </c>
      <c r="E288" s="2">
        <v>7258876546</v>
      </c>
      <c r="F288" s="2" t="s">
        <v>2113</v>
      </c>
      <c r="G288" s="2" t="s">
        <v>1144</v>
      </c>
      <c r="H288" s="44">
        <f>VLOOKUP($A288,'BCA-2023-2026'!$B$2:$S$641,18,FALSE)</f>
        <v>7.03</v>
      </c>
    </row>
    <row r="289" spans="1:8" x14ac:dyDescent="0.3">
      <c r="A289" s="2">
        <v>1323620</v>
      </c>
      <c r="B289" s="2" t="s">
        <v>592</v>
      </c>
      <c r="C289" s="2" t="s">
        <v>920</v>
      </c>
      <c r="D289" s="2" t="s">
        <v>939</v>
      </c>
      <c r="E289" s="2">
        <v>9693666289</v>
      </c>
      <c r="F289" s="2" t="s">
        <v>2198</v>
      </c>
      <c r="G289" s="2" t="s">
        <v>1144</v>
      </c>
      <c r="H289" s="44">
        <f>VLOOKUP($A289,'BCA-2023-2026'!$B$2:$S$641,18,FALSE)</f>
        <v>7.0166666666666666</v>
      </c>
    </row>
    <row r="290" spans="1:8" x14ac:dyDescent="0.3">
      <c r="A290" s="2">
        <v>1323214</v>
      </c>
      <c r="B290" s="2" t="s">
        <v>221</v>
      </c>
      <c r="C290" s="2" t="s">
        <v>655</v>
      </c>
      <c r="D290" s="2" t="s">
        <v>1173</v>
      </c>
      <c r="E290" s="2">
        <v>9355723476</v>
      </c>
      <c r="F290" s="2" t="s">
        <v>1878</v>
      </c>
      <c r="G290" s="2" t="s">
        <v>1140</v>
      </c>
      <c r="H290" s="44">
        <f>VLOOKUP($A290,'BCA-2023-2026'!$B$2:$S$641,18,FALSE)</f>
        <v>7.0100000000000007</v>
      </c>
    </row>
    <row r="291" spans="1:8" x14ac:dyDescent="0.3">
      <c r="A291" s="2">
        <v>1323341</v>
      </c>
      <c r="B291" s="2" t="s">
        <v>342</v>
      </c>
      <c r="C291" s="2" t="s">
        <v>766</v>
      </c>
      <c r="D291" s="2" t="s">
        <v>1329</v>
      </c>
      <c r="E291" s="2">
        <v>9350916176</v>
      </c>
      <c r="F291" s="2" t="s">
        <v>1982</v>
      </c>
      <c r="G291" s="2" t="s">
        <v>1142</v>
      </c>
      <c r="H291" s="44">
        <f>VLOOKUP($A291,'BCA-2023-2026'!$B$2:$S$641,18,FALSE)</f>
        <v>7.01</v>
      </c>
    </row>
    <row r="292" spans="1:8" x14ac:dyDescent="0.3">
      <c r="A292" s="2">
        <v>1323550</v>
      </c>
      <c r="B292" s="2" t="s">
        <v>537</v>
      </c>
      <c r="C292" s="2" t="s">
        <v>902</v>
      </c>
      <c r="D292" s="2" t="s">
        <v>1007</v>
      </c>
      <c r="E292" s="2">
        <v>6206165729</v>
      </c>
      <c r="F292" s="2" t="s">
        <v>2146</v>
      </c>
      <c r="G292" s="2"/>
      <c r="H292" s="44">
        <f>VLOOKUP($A292,'BCA-2023-2026'!$B$2:$S$641,18,FALSE)</f>
        <v>7.01</v>
      </c>
    </row>
    <row r="293" spans="1:8" x14ac:dyDescent="0.3">
      <c r="A293" s="2">
        <v>1323086</v>
      </c>
      <c r="B293" s="2" t="s">
        <v>95</v>
      </c>
      <c r="C293" s="2" t="s">
        <v>657</v>
      </c>
      <c r="D293" s="2" t="s">
        <v>1165</v>
      </c>
      <c r="E293" s="2">
        <v>9306906734</v>
      </c>
      <c r="F293" s="2" t="s">
        <v>1768</v>
      </c>
      <c r="G293" s="2" t="s">
        <v>1139</v>
      </c>
      <c r="H293" s="44">
        <f>VLOOKUP($A293,'BCA-2023-2026'!$B$2:$S$641,18,FALSE)</f>
        <v>7.0049999999999999</v>
      </c>
    </row>
    <row r="294" spans="1:8" x14ac:dyDescent="0.3">
      <c r="A294" s="2">
        <v>1323075</v>
      </c>
      <c r="B294" s="2" t="s">
        <v>84</v>
      </c>
      <c r="C294" s="2" t="s">
        <v>1447</v>
      </c>
      <c r="D294" s="2" t="s">
        <v>1082</v>
      </c>
      <c r="E294" s="2"/>
      <c r="F294" s="2"/>
      <c r="G294" s="2"/>
      <c r="H294" s="44">
        <f>VLOOKUP($A294,'BCA-2023-2026'!$B$2:$S$641,18,FALSE)</f>
        <v>7</v>
      </c>
    </row>
    <row r="295" spans="1:8" x14ac:dyDescent="0.3">
      <c r="A295" s="2">
        <v>1323273</v>
      </c>
      <c r="B295" s="2" t="s">
        <v>941</v>
      </c>
      <c r="C295" s="2" t="s">
        <v>1524</v>
      </c>
      <c r="D295" s="2" t="s">
        <v>1287</v>
      </c>
      <c r="E295" s="2"/>
      <c r="F295" s="2"/>
      <c r="G295" s="2"/>
      <c r="H295" s="44">
        <f>VLOOKUP($A295,'BCA-2023-2026'!$B$2:$S$641,18,FALSE)</f>
        <v>7</v>
      </c>
    </row>
    <row r="296" spans="1:8" x14ac:dyDescent="0.3">
      <c r="A296" s="2">
        <v>1323276</v>
      </c>
      <c r="B296" s="2" t="s">
        <v>599</v>
      </c>
      <c r="C296" s="2" t="s">
        <v>741</v>
      </c>
      <c r="D296" s="2" t="s">
        <v>1288</v>
      </c>
      <c r="E296" s="2">
        <v>7384772082</v>
      </c>
      <c r="F296" s="2" t="s">
        <v>1931</v>
      </c>
      <c r="G296" s="2" t="s">
        <v>1142</v>
      </c>
      <c r="H296" s="44">
        <f>VLOOKUP($A296,'BCA-2023-2026'!$B$2:$S$641,18,FALSE)</f>
        <v>7</v>
      </c>
    </row>
    <row r="297" spans="1:8" x14ac:dyDescent="0.3">
      <c r="A297" s="2">
        <v>1323470</v>
      </c>
      <c r="B297" s="2" t="s">
        <v>461</v>
      </c>
      <c r="C297" s="2" t="s">
        <v>814</v>
      </c>
      <c r="D297" s="2" t="s">
        <v>1068</v>
      </c>
      <c r="E297" s="2">
        <v>6201900166</v>
      </c>
      <c r="F297" s="2" t="s">
        <v>2080</v>
      </c>
      <c r="G297" s="2" t="s">
        <v>1143</v>
      </c>
      <c r="H297" s="44">
        <f>VLOOKUP($A297,'BCA-2023-2026'!$B$2:$S$641,18,FALSE)</f>
        <v>7</v>
      </c>
    </row>
    <row r="298" spans="1:8" x14ac:dyDescent="0.3">
      <c r="A298" s="2">
        <v>1323215</v>
      </c>
      <c r="B298" s="2" t="s">
        <v>222</v>
      </c>
      <c r="C298" s="2" t="s">
        <v>1201</v>
      </c>
      <c r="D298" s="2" t="s">
        <v>613</v>
      </c>
      <c r="E298" s="2">
        <v>9416311257</v>
      </c>
      <c r="F298" s="2" t="s">
        <v>1879</v>
      </c>
      <c r="G298" s="2" t="s">
        <v>1140</v>
      </c>
      <c r="H298" s="44">
        <f>VLOOKUP($A298,'BCA-2023-2026'!$B$2:$S$641,18,FALSE)</f>
        <v>6.9950000000000001</v>
      </c>
    </row>
    <row r="299" spans="1:8" x14ac:dyDescent="0.3">
      <c r="A299" s="2">
        <v>1323581</v>
      </c>
      <c r="B299" s="2" t="s">
        <v>563</v>
      </c>
      <c r="C299" s="2" t="s">
        <v>1595</v>
      </c>
      <c r="D299" s="2" t="s">
        <v>985</v>
      </c>
      <c r="E299" s="2">
        <v>6207867590</v>
      </c>
      <c r="F299" s="2" t="s">
        <v>2168</v>
      </c>
      <c r="G299" s="2" t="s">
        <v>1143</v>
      </c>
      <c r="H299" s="44">
        <f>VLOOKUP($A299,'BCA-2023-2026'!$B$2:$S$641,18,FALSE)</f>
        <v>6.9950000000000001</v>
      </c>
    </row>
    <row r="300" spans="1:8" x14ac:dyDescent="0.3">
      <c r="A300" s="2">
        <v>1323306</v>
      </c>
      <c r="B300" s="2" t="s">
        <v>311</v>
      </c>
      <c r="C300" s="2" t="s">
        <v>1535</v>
      </c>
      <c r="D300" s="2" t="s">
        <v>1125</v>
      </c>
      <c r="E300" s="2">
        <v>9817210400</v>
      </c>
      <c r="F300" s="2" t="s">
        <v>1957</v>
      </c>
      <c r="G300" s="2" t="s">
        <v>1141</v>
      </c>
      <c r="H300" s="44">
        <f>VLOOKUP($A300,'BCA-2023-2026'!$B$2:$S$641,18,FALSE)</f>
        <v>6.9866666666666672</v>
      </c>
    </row>
    <row r="301" spans="1:8" x14ac:dyDescent="0.3">
      <c r="A301" s="2">
        <v>1323625</v>
      </c>
      <c r="B301" s="2" t="s">
        <v>606</v>
      </c>
      <c r="C301" s="2" t="s">
        <v>955</v>
      </c>
      <c r="D301" s="2" t="s">
        <v>934</v>
      </c>
      <c r="E301" s="2">
        <v>8295339214</v>
      </c>
      <c r="F301" s="2" t="s">
        <v>2203</v>
      </c>
      <c r="G301" s="2" t="s">
        <v>1142</v>
      </c>
      <c r="H301" s="44">
        <f>VLOOKUP($A301,'BCA-2023-2026'!$B$2:$S$641,18,FALSE)</f>
        <v>6.9849999999999994</v>
      </c>
    </row>
    <row r="302" spans="1:8" x14ac:dyDescent="0.3">
      <c r="A302" s="2">
        <v>1323578</v>
      </c>
      <c r="B302" s="2" t="s">
        <v>561</v>
      </c>
      <c r="C302" s="2" t="s">
        <v>848</v>
      </c>
      <c r="D302" s="2" t="s">
        <v>987</v>
      </c>
      <c r="E302" s="2">
        <v>8581883424</v>
      </c>
      <c r="F302" s="2" t="s">
        <v>2166</v>
      </c>
      <c r="G302" s="2" t="s">
        <v>1143</v>
      </c>
      <c r="H302" s="44">
        <f>VLOOKUP($A302,'BCA-2023-2026'!$B$2:$S$641,18,FALSE)</f>
        <v>6.98</v>
      </c>
    </row>
    <row r="303" spans="1:8" x14ac:dyDescent="0.3">
      <c r="A303" s="2">
        <v>1323459</v>
      </c>
      <c r="B303" s="2" t="s">
        <v>451</v>
      </c>
      <c r="C303" s="2" t="s">
        <v>838</v>
      </c>
      <c r="D303" s="2" t="s">
        <v>1077</v>
      </c>
      <c r="E303" s="2">
        <v>7763065063</v>
      </c>
      <c r="F303" s="2" t="s">
        <v>2070</v>
      </c>
      <c r="G303" s="2" t="s">
        <v>1143</v>
      </c>
      <c r="H303" s="44">
        <f>VLOOKUP($A303,'BCA-2023-2026'!$B$2:$S$641,18,FALSE)</f>
        <v>6.9749999999999996</v>
      </c>
    </row>
    <row r="304" spans="1:8" x14ac:dyDescent="0.3">
      <c r="A304" s="2">
        <v>1323499</v>
      </c>
      <c r="B304" s="2" t="s">
        <v>489</v>
      </c>
      <c r="C304" s="2" t="s">
        <v>870</v>
      </c>
      <c r="D304" s="2" t="s">
        <v>1047</v>
      </c>
      <c r="E304" s="2">
        <v>9155109016</v>
      </c>
      <c r="F304" s="2" t="s">
        <v>2104</v>
      </c>
      <c r="G304" s="2" t="s">
        <v>1144</v>
      </c>
      <c r="H304" s="44">
        <f>VLOOKUP($A304,'BCA-2023-2026'!$B$2:$S$641,18,FALSE)</f>
        <v>6.9649999999999999</v>
      </c>
    </row>
    <row r="305" spans="1:8" x14ac:dyDescent="0.3">
      <c r="A305" s="2">
        <v>1323196</v>
      </c>
      <c r="B305" s="2" t="s">
        <v>203</v>
      </c>
      <c r="C305" s="2" t="s">
        <v>639</v>
      </c>
      <c r="D305" s="2" t="s">
        <v>1239</v>
      </c>
      <c r="E305" s="2">
        <v>8684829110</v>
      </c>
      <c r="F305" s="2" t="s">
        <v>1861</v>
      </c>
      <c r="G305" s="2" t="s">
        <v>1140</v>
      </c>
      <c r="H305" s="44">
        <f>VLOOKUP($A305,'BCA-2023-2026'!$B$2:$S$641,18,FALSE)</f>
        <v>6.9633333333333338</v>
      </c>
    </row>
    <row r="306" spans="1:8" x14ac:dyDescent="0.3">
      <c r="A306" s="2">
        <v>1323498</v>
      </c>
      <c r="B306" s="2" t="s">
        <v>488</v>
      </c>
      <c r="C306" s="2" t="s">
        <v>869</v>
      </c>
      <c r="D306" s="2" t="s">
        <v>1048</v>
      </c>
      <c r="E306" s="2">
        <v>8538932685</v>
      </c>
      <c r="F306" s="2" t="s">
        <v>2103</v>
      </c>
      <c r="G306" s="2" t="s">
        <v>1144</v>
      </c>
      <c r="H306" s="44">
        <f>VLOOKUP($A306,'BCA-2023-2026'!$B$2:$S$641,18,FALSE)</f>
        <v>6.9625000000000004</v>
      </c>
    </row>
    <row r="307" spans="1:8" x14ac:dyDescent="0.3">
      <c r="A307" s="2">
        <v>1323140</v>
      </c>
      <c r="B307" s="2" t="s">
        <v>149</v>
      </c>
      <c r="C307" s="2" t="s">
        <v>1470</v>
      </c>
      <c r="D307" s="2" t="s">
        <v>1201</v>
      </c>
      <c r="E307" s="2">
        <v>9813072199</v>
      </c>
      <c r="F307" s="2" t="s">
        <v>1812</v>
      </c>
      <c r="G307" s="2" t="s">
        <v>1139</v>
      </c>
      <c r="H307" s="44">
        <f>VLOOKUP($A307,'BCA-2023-2026'!$B$2:$S$641,18,FALSE)</f>
        <v>6.9624999999999995</v>
      </c>
    </row>
    <row r="308" spans="1:8" x14ac:dyDescent="0.3">
      <c r="A308" s="2">
        <v>1323199</v>
      </c>
      <c r="B308" s="2" t="s">
        <v>206</v>
      </c>
      <c r="C308" s="2" t="s">
        <v>711</v>
      </c>
      <c r="D308" s="2" t="s">
        <v>1242</v>
      </c>
      <c r="E308" s="2">
        <v>8709859500</v>
      </c>
      <c r="F308" s="2" t="s">
        <v>1864</v>
      </c>
      <c r="G308" s="2" t="s">
        <v>1140</v>
      </c>
      <c r="H308" s="44">
        <f>VLOOKUP($A308,'BCA-2023-2026'!$B$2:$S$641,18,FALSE)</f>
        <v>6.956666666666667</v>
      </c>
    </row>
    <row r="309" spans="1:8" x14ac:dyDescent="0.3">
      <c r="A309" s="2">
        <v>1323096</v>
      </c>
      <c r="B309" s="2" t="s">
        <v>105</v>
      </c>
      <c r="C309" s="2" t="s">
        <v>665</v>
      </c>
      <c r="D309" s="2" t="s">
        <v>1172</v>
      </c>
      <c r="E309" s="2">
        <v>9518202144</v>
      </c>
      <c r="F309" s="2" t="s">
        <v>1777</v>
      </c>
      <c r="G309" s="2" t="s">
        <v>1139</v>
      </c>
      <c r="H309" s="44">
        <f>VLOOKUP($A309,'BCA-2023-2026'!$B$2:$S$641,18,FALSE)</f>
        <v>6.9550000000000001</v>
      </c>
    </row>
    <row r="310" spans="1:8" x14ac:dyDescent="0.3">
      <c r="A310" s="2">
        <v>1323536</v>
      </c>
      <c r="B310" s="2" t="s">
        <v>525</v>
      </c>
      <c r="C310" s="2" t="s">
        <v>897</v>
      </c>
      <c r="D310" s="2" t="s">
        <v>1018</v>
      </c>
      <c r="E310" s="2">
        <v>9341158897</v>
      </c>
      <c r="F310" s="2" t="s">
        <v>2136</v>
      </c>
      <c r="G310" s="2" t="s">
        <v>1144</v>
      </c>
      <c r="H310" s="44">
        <f>VLOOKUP($A310,'BCA-2023-2026'!$B$2:$S$641,18,FALSE)</f>
        <v>6.9550000000000001</v>
      </c>
    </row>
    <row r="311" spans="1:8" x14ac:dyDescent="0.3">
      <c r="A311" s="2">
        <v>1323598</v>
      </c>
      <c r="B311" s="2" t="s">
        <v>572</v>
      </c>
      <c r="C311" s="2" t="s">
        <v>1606</v>
      </c>
      <c r="D311" s="2" t="s">
        <v>977</v>
      </c>
      <c r="E311" s="2">
        <v>9034041313</v>
      </c>
      <c r="F311" s="2" t="s">
        <v>2177</v>
      </c>
      <c r="G311" s="2" t="s">
        <v>1140</v>
      </c>
      <c r="H311" s="44">
        <f>VLOOKUP($A311,'BCA-2023-2026'!$B$2:$S$641,18,FALSE)</f>
        <v>6.9550000000000001</v>
      </c>
    </row>
    <row r="312" spans="1:8" x14ac:dyDescent="0.3">
      <c r="A312" s="2">
        <v>1323239</v>
      </c>
      <c r="B312" s="2" t="s">
        <v>246</v>
      </c>
      <c r="C312" s="2" t="s">
        <v>1508</v>
      </c>
      <c r="D312" s="2" t="s">
        <v>1038</v>
      </c>
      <c r="E312" s="2"/>
      <c r="F312" s="2"/>
      <c r="G312" s="2"/>
      <c r="H312" s="44">
        <f>VLOOKUP($A312,'BCA-2023-2026'!$B$2:$S$641,18,FALSE)</f>
        <v>6.95</v>
      </c>
    </row>
    <row r="313" spans="1:8" x14ac:dyDescent="0.3">
      <c r="A313" s="2">
        <v>1323266</v>
      </c>
      <c r="B313" s="2" t="s">
        <v>273</v>
      </c>
      <c r="C313" s="2" t="s">
        <v>1521</v>
      </c>
      <c r="D313" s="2" t="s">
        <v>1285</v>
      </c>
      <c r="E313" s="2"/>
      <c r="F313" s="2"/>
      <c r="G313" s="2" t="s">
        <v>1141</v>
      </c>
      <c r="H313" s="44">
        <f>VLOOKUP($A313,'BCA-2023-2026'!$B$2:$S$641,18,FALSE)</f>
        <v>6.95</v>
      </c>
    </row>
    <row r="314" spans="1:8" x14ac:dyDescent="0.3">
      <c r="A314" s="2">
        <v>1323617</v>
      </c>
      <c r="B314" s="2" t="s">
        <v>589</v>
      </c>
      <c r="C314" s="2" t="s">
        <v>919</v>
      </c>
      <c r="D314" s="2" t="s">
        <v>961</v>
      </c>
      <c r="E314" s="2">
        <v>7324065859</v>
      </c>
      <c r="F314" s="2" t="s">
        <v>2195</v>
      </c>
      <c r="G314" s="2" t="s">
        <v>1144</v>
      </c>
      <c r="H314" s="44">
        <f>VLOOKUP($A314,'BCA-2023-2026'!$B$2:$S$641,18,FALSE)</f>
        <v>6.9466666666666663</v>
      </c>
    </row>
    <row r="315" spans="1:8" x14ac:dyDescent="0.3">
      <c r="A315" s="2">
        <v>1323176</v>
      </c>
      <c r="B315" s="2" t="s">
        <v>183</v>
      </c>
      <c r="C315" s="2" t="s">
        <v>702</v>
      </c>
      <c r="D315" s="2" t="s">
        <v>1091</v>
      </c>
      <c r="E315" s="2">
        <v>7988259156</v>
      </c>
      <c r="F315" s="2" t="s">
        <v>1843</v>
      </c>
      <c r="G315" s="2" t="s">
        <v>1140</v>
      </c>
      <c r="H315" s="44">
        <f>VLOOKUP($A315,'BCA-2023-2026'!$B$2:$S$641,18,FALSE)</f>
        <v>6.94</v>
      </c>
    </row>
    <row r="316" spans="1:8" x14ac:dyDescent="0.3">
      <c r="A316" s="2">
        <v>1323296</v>
      </c>
      <c r="B316" s="2" t="s">
        <v>301</v>
      </c>
      <c r="C316" s="2" t="s">
        <v>1531</v>
      </c>
      <c r="D316" s="2" t="s">
        <v>1300</v>
      </c>
      <c r="E316" s="2">
        <v>7310664981</v>
      </c>
      <c r="F316" s="2" t="s">
        <v>1950</v>
      </c>
      <c r="G316" s="2" t="s">
        <v>1141</v>
      </c>
      <c r="H316" s="44">
        <f>VLOOKUP($A316,'BCA-2023-2026'!$B$2:$S$641,18,FALSE)</f>
        <v>6.9375</v>
      </c>
    </row>
    <row r="317" spans="1:8" x14ac:dyDescent="0.3">
      <c r="A317" s="2">
        <v>1323539</v>
      </c>
      <c r="B317" s="2" t="s">
        <v>528</v>
      </c>
      <c r="C317" s="2" t="s">
        <v>789</v>
      </c>
      <c r="D317" s="2" t="s">
        <v>1015</v>
      </c>
      <c r="E317" s="2">
        <v>9060437828</v>
      </c>
      <c r="F317" s="2" t="s">
        <v>2139</v>
      </c>
      <c r="G317" s="2" t="s">
        <v>1144</v>
      </c>
      <c r="H317" s="44">
        <f>VLOOKUP($A317,'BCA-2023-2026'!$B$2:$S$641,18,FALSE)</f>
        <v>6.9375</v>
      </c>
    </row>
    <row r="318" spans="1:8" x14ac:dyDescent="0.3">
      <c r="A318" s="2">
        <v>1323022</v>
      </c>
      <c r="B318" s="2" t="s">
        <v>36</v>
      </c>
      <c r="C318" s="2" t="s">
        <v>641</v>
      </c>
      <c r="D318" s="2" t="s">
        <v>1100</v>
      </c>
      <c r="E318" s="2">
        <v>7404743742</v>
      </c>
      <c r="F318" s="2" t="s">
        <v>1714</v>
      </c>
      <c r="G318" s="2" t="s">
        <v>1138</v>
      </c>
      <c r="H318" s="44">
        <f>VLOOKUP($A318,'BCA-2023-2026'!$B$2:$S$641,18,FALSE)</f>
        <v>6.91</v>
      </c>
    </row>
    <row r="319" spans="1:8" x14ac:dyDescent="0.3">
      <c r="A319" s="2">
        <v>1323599</v>
      </c>
      <c r="B319" s="2" t="s">
        <v>573</v>
      </c>
      <c r="C319" s="2" t="s">
        <v>1607</v>
      </c>
      <c r="D319" s="2" t="s">
        <v>976</v>
      </c>
      <c r="E319" s="2">
        <v>7369021769</v>
      </c>
      <c r="F319" s="2" t="s">
        <v>2178</v>
      </c>
      <c r="G319" s="2" t="s">
        <v>1144</v>
      </c>
      <c r="H319" s="44">
        <f>VLOOKUP($A319,'BCA-2023-2026'!$B$2:$S$641,18,FALSE)</f>
        <v>6.9050000000000002</v>
      </c>
    </row>
    <row r="320" spans="1:8" x14ac:dyDescent="0.3">
      <c r="A320" s="2">
        <v>1323224</v>
      </c>
      <c r="B320" s="2" t="s">
        <v>231</v>
      </c>
      <c r="C320" s="2" t="s">
        <v>722</v>
      </c>
      <c r="D320" s="2" t="s">
        <v>1259</v>
      </c>
      <c r="E320" s="2">
        <v>9931441375</v>
      </c>
      <c r="F320" s="2" t="s">
        <v>1887</v>
      </c>
      <c r="G320" s="2" t="s">
        <v>1140</v>
      </c>
      <c r="H320" s="44">
        <f>VLOOKUP($A320,'BCA-2023-2026'!$B$2:$S$641,18,FALSE)</f>
        <v>6.8975</v>
      </c>
    </row>
    <row r="321" spans="1:8" x14ac:dyDescent="0.3">
      <c r="A321" s="2">
        <v>1323489</v>
      </c>
      <c r="B321" s="2" t="s">
        <v>480</v>
      </c>
      <c r="C321" s="2" t="s">
        <v>862</v>
      </c>
      <c r="D321" s="2" t="s">
        <v>1054</v>
      </c>
      <c r="E321" s="2">
        <v>9279505828</v>
      </c>
      <c r="F321" s="2" t="s">
        <v>2096</v>
      </c>
      <c r="G321" s="2" t="s">
        <v>1144</v>
      </c>
      <c r="H321" s="44">
        <f>VLOOKUP($A321,'BCA-2023-2026'!$B$2:$S$641,18,FALSE)</f>
        <v>6.8933333333333335</v>
      </c>
    </row>
    <row r="322" spans="1:8" x14ac:dyDescent="0.3">
      <c r="A322" s="2">
        <v>1323511</v>
      </c>
      <c r="B322" s="2" t="s">
        <v>500</v>
      </c>
      <c r="C322" s="2" t="s">
        <v>878</v>
      </c>
      <c r="D322" s="2" t="s">
        <v>1037</v>
      </c>
      <c r="E322" s="2">
        <v>6203439558</v>
      </c>
      <c r="F322" s="2" t="s">
        <v>2115</v>
      </c>
      <c r="G322" s="2" t="s">
        <v>1144</v>
      </c>
      <c r="H322" s="44">
        <f>VLOOKUP($A322,'BCA-2023-2026'!$B$2:$S$641,18,FALSE)</f>
        <v>6.8933333333333335</v>
      </c>
    </row>
    <row r="323" spans="1:8" x14ac:dyDescent="0.3">
      <c r="A323" s="2">
        <v>1323241</v>
      </c>
      <c r="B323" s="2" t="s">
        <v>248</v>
      </c>
      <c r="C323" s="2" t="s">
        <v>729</v>
      </c>
      <c r="D323" s="2" t="s">
        <v>1268</v>
      </c>
      <c r="E323" s="2">
        <v>6006538002</v>
      </c>
      <c r="F323" s="2" t="s">
        <v>1900</v>
      </c>
      <c r="G323" s="2" t="s">
        <v>1141</v>
      </c>
      <c r="H323" s="44">
        <f>VLOOKUP($A323,'BCA-2023-2026'!$B$2:$S$641,18,FALSE)</f>
        <v>6.8875000000000002</v>
      </c>
    </row>
    <row r="324" spans="1:8" x14ac:dyDescent="0.3">
      <c r="A324" s="2">
        <v>1323369</v>
      </c>
      <c r="B324" s="2" t="s">
        <v>368</v>
      </c>
      <c r="C324" s="2" t="s">
        <v>775</v>
      </c>
      <c r="D324" s="2" t="s">
        <v>1345</v>
      </c>
      <c r="E324" s="2">
        <v>7061822044</v>
      </c>
      <c r="F324" s="2" t="s">
        <v>2004</v>
      </c>
      <c r="G324" s="2" t="s">
        <v>1142</v>
      </c>
      <c r="H324" s="44">
        <f>VLOOKUP($A324,'BCA-2023-2026'!$B$2:$S$641,18,FALSE)</f>
        <v>6.8849999999999998</v>
      </c>
    </row>
    <row r="325" spans="1:8" x14ac:dyDescent="0.3">
      <c r="A325" s="2">
        <v>1323471</v>
      </c>
      <c r="B325" s="2" t="s">
        <v>462</v>
      </c>
      <c r="C325" s="2" t="s">
        <v>814</v>
      </c>
      <c r="D325" s="2" t="s">
        <v>1067</v>
      </c>
      <c r="E325" s="2">
        <v>8092374114</v>
      </c>
      <c r="F325" s="2" t="s">
        <v>2081</v>
      </c>
      <c r="G325" s="2" t="s">
        <v>1143</v>
      </c>
      <c r="H325" s="44">
        <f>VLOOKUP($A325,'BCA-2023-2026'!$B$2:$S$641,18,FALSE)</f>
        <v>6.8849999999999998</v>
      </c>
    </row>
    <row r="326" spans="1:8" x14ac:dyDescent="0.3">
      <c r="A326" s="2">
        <v>1323092</v>
      </c>
      <c r="B326" s="2" t="s">
        <v>101</v>
      </c>
      <c r="C326" s="2" t="s">
        <v>661</v>
      </c>
      <c r="D326" s="2" t="s">
        <v>668</v>
      </c>
      <c r="E326" s="2">
        <v>7082371844</v>
      </c>
      <c r="F326" s="2" t="s">
        <v>1773</v>
      </c>
      <c r="G326" s="2" t="s">
        <v>1139</v>
      </c>
      <c r="H326" s="44">
        <f>VLOOKUP($A326,'BCA-2023-2026'!$B$2:$S$641,18,FALSE)</f>
        <v>6.88</v>
      </c>
    </row>
    <row r="327" spans="1:8" x14ac:dyDescent="0.3">
      <c r="A327" s="2">
        <v>1323352</v>
      </c>
      <c r="B327" s="2" t="s">
        <v>353</v>
      </c>
      <c r="C327" s="2" t="s">
        <v>787</v>
      </c>
      <c r="D327" s="2" t="s">
        <v>1338</v>
      </c>
      <c r="E327" s="2">
        <v>7779873499</v>
      </c>
      <c r="F327" s="2" t="s">
        <v>1990</v>
      </c>
      <c r="G327" s="2" t="s">
        <v>1142</v>
      </c>
      <c r="H327" s="44">
        <f>VLOOKUP($A327,'BCA-2023-2026'!$B$2:$S$641,18,FALSE)</f>
        <v>6.88</v>
      </c>
    </row>
    <row r="328" spans="1:8" x14ac:dyDescent="0.3">
      <c r="A328" s="2">
        <v>1323537</v>
      </c>
      <c r="B328" s="2" t="s">
        <v>526</v>
      </c>
      <c r="C328" s="2" t="s">
        <v>1574</v>
      </c>
      <c r="D328" s="2" t="s">
        <v>1017</v>
      </c>
      <c r="E328" s="2">
        <v>6006606057</v>
      </c>
      <c r="F328" s="2" t="s">
        <v>2137</v>
      </c>
      <c r="G328" s="2" t="s">
        <v>1139</v>
      </c>
      <c r="H328" s="44">
        <f>VLOOKUP($A328,'BCA-2023-2026'!$B$2:$S$641,18,FALSE)</f>
        <v>6.875</v>
      </c>
    </row>
    <row r="329" spans="1:8" x14ac:dyDescent="0.3">
      <c r="A329" s="2">
        <v>1323374</v>
      </c>
      <c r="B329" s="2" t="s">
        <v>373</v>
      </c>
      <c r="C329" s="2" t="s">
        <v>1563</v>
      </c>
      <c r="D329" s="2" t="s">
        <v>1349</v>
      </c>
      <c r="E329" s="2">
        <v>9518403256</v>
      </c>
      <c r="F329" s="2" t="s">
        <v>2008</v>
      </c>
      <c r="G329" s="2" t="s">
        <v>1142</v>
      </c>
      <c r="H329" s="44">
        <f>VLOOKUP($A329,'BCA-2023-2026'!$B$2:$S$641,18,FALSE)</f>
        <v>6.8633333333333333</v>
      </c>
    </row>
    <row r="330" spans="1:8" x14ac:dyDescent="0.3">
      <c r="A330" s="2">
        <v>1323300</v>
      </c>
      <c r="B330" s="2" t="s">
        <v>305</v>
      </c>
      <c r="C330" s="2" t="s">
        <v>753</v>
      </c>
      <c r="D330" s="2" t="s">
        <v>1115</v>
      </c>
      <c r="E330" s="2">
        <v>9103887031</v>
      </c>
      <c r="F330" s="2" t="s">
        <v>1952</v>
      </c>
      <c r="G330" s="2" t="s">
        <v>1141</v>
      </c>
      <c r="H330" s="44">
        <f>VLOOKUP($A330,'BCA-2023-2026'!$B$2:$S$641,18,FALSE)</f>
        <v>6.8624999999999998</v>
      </c>
    </row>
    <row r="331" spans="1:8" x14ac:dyDescent="0.3">
      <c r="A331" s="2">
        <v>1323071</v>
      </c>
      <c r="B331" s="2" t="s">
        <v>81</v>
      </c>
      <c r="C331" s="2" t="s">
        <v>641</v>
      </c>
      <c r="D331" s="2" t="s">
        <v>1137</v>
      </c>
      <c r="E331" s="2">
        <v>9885802000</v>
      </c>
      <c r="F331" s="2" t="s">
        <v>1757</v>
      </c>
      <c r="G331" s="2" t="s">
        <v>1138</v>
      </c>
      <c r="H331" s="44">
        <f>VLOOKUP($A331,'BCA-2023-2026'!$B$2:$S$641,18,FALSE)</f>
        <v>6.86</v>
      </c>
    </row>
    <row r="332" spans="1:8" x14ac:dyDescent="0.3">
      <c r="A332" s="2">
        <v>1323016</v>
      </c>
      <c r="B332" s="2" t="s">
        <v>30</v>
      </c>
      <c r="C332" s="2" t="s">
        <v>618</v>
      </c>
      <c r="D332" s="2" t="s">
        <v>1096</v>
      </c>
      <c r="E332" s="2">
        <v>7206639042</v>
      </c>
      <c r="F332" s="2" t="s">
        <v>1710</v>
      </c>
      <c r="G332" s="2" t="s">
        <v>1138</v>
      </c>
      <c r="H332" s="44">
        <f>VLOOKUP($A332,'BCA-2023-2026'!$B$2:$S$641,18,FALSE)</f>
        <v>6.8599999999999994</v>
      </c>
    </row>
    <row r="333" spans="1:8" x14ac:dyDescent="0.3">
      <c r="A333" s="2">
        <v>1323309</v>
      </c>
      <c r="B333" s="2" t="s">
        <v>314</v>
      </c>
      <c r="C333" s="2" t="s">
        <v>756</v>
      </c>
      <c r="D333" s="2" t="s">
        <v>1303</v>
      </c>
      <c r="E333" s="2">
        <v>9812607681</v>
      </c>
      <c r="F333" s="2" t="s">
        <v>1960</v>
      </c>
      <c r="G333" s="2" t="s">
        <v>1141</v>
      </c>
      <c r="H333" s="44">
        <f>VLOOKUP($A333,'BCA-2023-2026'!$B$2:$S$641,18,FALSE)</f>
        <v>6.8599999999999994</v>
      </c>
    </row>
    <row r="334" spans="1:8" x14ac:dyDescent="0.3">
      <c r="A334" s="2">
        <v>1323556</v>
      </c>
      <c r="B334" s="2" t="s">
        <v>543</v>
      </c>
      <c r="C334" s="2" t="s">
        <v>1581</v>
      </c>
      <c r="D334" s="2" t="s">
        <v>1003</v>
      </c>
      <c r="E334" s="2">
        <v>9939786436</v>
      </c>
      <c r="F334" s="2" t="s">
        <v>2150</v>
      </c>
      <c r="G334" s="2" t="s">
        <v>1144</v>
      </c>
      <c r="H334" s="44">
        <f>VLOOKUP($A334,'BCA-2023-2026'!$B$2:$S$641,18,FALSE)</f>
        <v>6.8500000000000005</v>
      </c>
    </row>
    <row r="335" spans="1:8" x14ac:dyDescent="0.3">
      <c r="A335" s="2">
        <v>1323525</v>
      </c>
      <c r="B335" s="2" t="s">
        <v>514</v>
      </c>
      <c r="C335" s="2" t="s">
        <v>890</v>
      </c>
      <c r="D335" s="2" t="s">
        <v>1026</v>
      </c>
      <c r="E335" s="2">
        <v>6201789448</v>
      </c>
      <c r="F335" s="2" t="s">
        <v>2127</v>
      </c>
      <c r="G335" s="2" t="s">
        <v>1144</v>
      </c>
      <c r="H335" s="44">
        <f>VLOOKUP($A335,'BCA-2023-2026'!$B$2:$S$641,18,FALSE)</f>
        <v>6.84</v>
      </c>
    </row>
    <row r="336" spans="1:8" x14ac:dyDescent="0.3">
      <c r="A336" s="2">
        <v>1323609</v>
      </c>
      <c r="B336" s="2" t="s">
        <v>582</v>
      </c>
      <c r="C336" s="2" t="s">
        <v>1611</v>
      </c>
      <c r="D336" s="2" t="s">
        <v>968</v>
      </c>
      <c r="E336" s="2">
        <v>8210055718</v>
      </c>
      <c r="F336" s="2" t="s">
        <v>2188</v>
      </c>
      <c r="G336" s="2" t="s">
        <v>1144</v>
      </c>
      <c r="H336" s="44">
        <f>VLOOKUP($A336,'BCA-2023-2026'!$B$2:$S$641,18,FALSE)</f>
        <v>6.8166666666666664</v>
      </c>
    </row>
    <row r="337" spans="1:8" x14ac:dyDescent="0.3">
      <c r="A337" s="2">
        <v>1323009</v>
      </c>
      <c r="B337" s="2" t="s">
        <v>23</v>
      </c>
      <c r="C337" s="2" t="s">
        <v>1428</v>
      </c>
      <c r="D337" s="2" t="s">
        <v>1092</v>
      </c>
      <c r="E337" s="2">
        <v>7027743511</v>
      </c>
      <c r="F337" s="2" t="s">
        <v>1705</v>
      </c>
      <c r="G337" s="2" t="s">
        <v>1138</v>
      </c>
      <c r="H337" s="44">
        <f>VLOOKUP($A337,'BCA-2023-2026'!$B$2:$S$641,18,FALSE)</f>
        <v>6.8075000000000001</v>
      </c>
    </row>
    <row r="338" spans="1:8" x14ac:dyDescent="0.3">
      <c r="A338" s="2">
        <v>1323425</v>
      </c>
      <c r="B338" s="2" t="s">
        <v>423</v>
      </c>
      <c r="C338" s="2" t="s">
        <v>813</v>
      </c>
      <c r="D338" s="2" t="s">
        <v>1393</v>
      </c>
      <c r="E338" s="2">
        <v>9031103100</v>
      </c>
      <c r="F338" s="2" t="s">
        <v>2047</v>
      </c>
      <c r="G338" s="2" t="s">
        <v>1143</v>
      </c>
      <c r="H338" s="44">
        <f>VLOOKUP($A338,'BCA-2023-2026'!$B$2:$S$641,18,FALSE)</f>
        <v>6.8033333333333337</v>
      </c>
    </row>
    <row r="339" spans="1:8" x14ac:dyDescent="0.3">
      <c r="A339" s="2">
        <v>1323532</v>
      </c>
      <c r="B339" s="2" t="s">
        <v>521</v>
      </c>
      <c r="C339" s="2" t="s">
        <v>893</v>
      </c>
      <c r="D339" s="2" t="s">
        <v>1414</v>
      </c>
      <c r="E339" s="2">
        <v>8084032300</v>
      </c>
      <c r="F339" s="2" t="s">
        <v>2132</v>
      </c>
      <c r="G339" s="2" t="s">
        <v>1144</v>
      </c>
      <c r="H339" s="44">
        <f>VLOOKUP($A339,'BCA-2023-2026'!$B$2:$S$641,18,FALSE)</f>
        <v>6.8033333333333337</v>
      </c>
    </row>
    <row r="340" spans="1:8" x14ac:dyDescent="0.3">
      <c r="A340" s="2">
        <v>1323105</v>
      </c>
      <c r="B340" s="2" t="s">
        <v>114</v>
      </c>
      <c r="C340" s="2" t="s">
        <v>670</v>
      </c>
      <c r="D340" s="2" t="s">
        <v>1176</v>
      </c>
      <c r="E340" s="2">
        <v>9813283886</v>
      </c>
      <c r="F340" s="2" t="s">
        <v>1783</v>
      </c>
      <c r="G340" s="2" t="s">
        <v>1139</v>
      </c>
      <c r="H340" s="44">
        <f>VLOOKUP($A340,'BCA-2023-2026'!$B$2:$S$641,18,FALSE)</f>
        <v>6.8025000000000002</v>
      </c>
    </row>
    <row r="341" spans="1:8" x14ac:dyDescent="0.3">
      <c r="A341" s="2">
        <v>1323238</v>
      </c>
      <c r="B341" s="2" t="s">
        <v>245</v>
      </c>
      <c r="C341" s="2" t="s">
        <v>1507</v>
      </c>
      <c r="D341" s="2" t="s">
        <v>1266</v>
      </c>
      <c r="E341" s="2">
        <v>7206095694</v>
      </c>
      <c r="F341" s="2" t="s">
        <v>1898</v>
      </c>
      <c r="G341" s="2" t="s">
        <v>1140</v>
      </c>
      <c r="H341" s="44">
        <f>VLOOKUP($A341,'BCA-2023-2026'!$B$2:$S$641,18,FALSE)</f>
        <v>6.8025000000000002</v>
      </c>
    </row>
    <row r="342" spans="1:8" x14ac:dyDescent="0.3">
      <c r="A342" s="2">
        <v>1323245</v>
      </c>
      <c r="B342" s="2" t="s">
        <v>252</v>
      </c>
      <c r="C342" s="2" t="s">
        <v>1510</v>
      </c>
      <c r="D342" s="2" t="s">
        <v>1150</v>
      </c>
      <c r="E342" s="2">
        <v>9653577216</v>
      </c>
      <c r="F342" s="2" t="s">
        <v>1904</v>
      </c>
      <c r="G342" s="2" t="s">
        <v>1141</v>
      </c>
      <c r="H342" s="44">
        <f>VLOOKUP($A342,'BCA-2023-2026'!$B$2:$S$641,18,FALSE)</f>
        <v>6.8025000000000002</v>
      </c>
    </row>
    <row r="343" spans="1:8" x14ac:dyDescent="0.3">
      <c r="A343" s="2">
        <v>1323308</v>
      </c>
      <c r="B343" s="2" t="s">
        <v>313</v>
      </c>
      <c r="C343" s="2" t="s">
        <v>1536</v>
      </c>
      <c r="D343" s="2" t="s">
        <v>1097</v>
      </c>
      <c r="E343" s="2">
        <v>9518199384</v>
      </c>
      <c r="F343" s="2" t="s">
        <v>1959</v>
      </c>
      <c r="G343" s="2" t="s">
        <v>1141</v>
      </c>
      <c r="H343" s="44">
        <f>VLOOKUP($A343,'BCA-2023-2026'!$B$2:$S$641,18,FALSE)</f>
        <v>6.8</v>
      </c>
    </row>
    <row r="344" spans="1:8" x14ac:dyDescent="0.3">
      <c r="A344" s="2">
        <v>1323520</v>
      </c>
      <c r="B344" s="2" t="s">
        <v>509</v>
      </c>
      <c r="C344" s="2" t="s">
        <v>886</v>
      </c>
      <c r="D344" s="2" t="s">
        <v>1031</v>
      </c>
      <c r="E344" s="2">
        <v>7371067176</v>
      </c>
      <c r="F344" s="2" t="s">
        <v>2122</v>
      </c>
      <c r="G344" s="2" t="s">
        <v>1144</v>
      </c>
      <c r="H344" s="44">
        <f>VLOOKUP($A344,'BCA-2023-2026'!$B$2:$S$641,18,FALSE)</f>
        <v>6.8</v>
      </c>
    </row>
    <row r="345" spans="1:8" x14ac:dyDescent="0.3">
      <c r="A345" s="2">
        <v>1323160</v>
      </c>
      <c r="B345" s="2" t="s">
        <v>169</v>
      </c>
      <c r="C345" s="2" t="s">
        <v>694</v>
      </c>
      <c r="D345" s="2" t="s">
        <v>1217</v>
      </c>
      <c r="E345" s="2">
        <v>7404808033</v>
      </c>
      <c r="F345" s="2" t="s">
        <v>1831</v>
      </c>
      <c r="G345" s="2" t="s">
        <v>1139</v>
      </c>
      <c r="H345" s="44">
        <f>VLOOKUP($A345,'BCA-2023-2026'!$B$2:$S$641,18,FALSE)</f>
        <v>6.7975000000000003</v>
      </c>
    </row>
    <row r="346" spans="1:8" x14ac:dyDescent="0.3">
      <c r="A346" s="2">
        <v>1323619</v>
      </c>
      <c r="B346" s="2" t="s">
        <v>591</v>
      </c>
      <c r="C346" s="2" t="s">
        <v>1614</v>
      </c>
      <c r="D346" s="2" t="s">
        <v>959</v>
      </c>
      <c r="E346" s="2">
        <v>9693097672</v>
      </c>
      <c r="F346" s="2" t="s">
        <v>2197</v>
      </c>
      <c r="G346" s="2" t="s">
        <v>1144</v>
      </c>
      <c r="H346" s="44">
        <f>VLOOKUP($A346,'BCA-2023-2026'!$B$2:$S$641,18,FALSE)</f>
        <v>6.7975000000000003</v>
      </c>
    </row>
    <row r="347" spans="1:8" x14ac:dyDescent="0.3">
      <c r="A347" s="2">
        <v>1323283</v>
      </c>
      <c r="B347" s="2" t="s">
        <v>288</v>
      </c>
      <c r="C347" s="2" t="s">
        <v>625</v>
      </c>
      <c r="D347" s="2" t="s">
        <v>1294</v>
      </c>
      <c r="E347" s="2">
        <v>7056521722</v>
      </c>
      <c r="F347" s="2" t="s">
        <v>1938</v>
      </c>
      <c r="G347" s="2" t="s">
        <v>1141</v>
      </c>
      <c r="H347" s="44">
        <f>VLOOKUP($A347,'BCA-2023-2026'!$B$2:$S$641,18,FALSE)</f>
        <v>6.7949999999999999</v>
      </c>
    </row>
    <row r="348" spans="1:8" x14ac:dyDescent="0.3">
      <c r="A348" s="2">
        <v>1323018</v>
      </c>
      <c r="B348" s="2" t="s">
        <v>32</v>
      </c>
      <c r="C348" s="2" t="s">
        <v>619</v>
      </c>
      <c r="D348" s="2" t="s">
        <v>1098</v>
      </c>
      <c r="E348" s="2">
        <v>7393900039</v>
      </c>
      <c r="F348" s="2" t="s">
        <v>1712</v>
      </c>
      <c r="G348" s="2" t="s">
        <v>1138</v>
      </c>
      <c r="H348" s="44">
        <f>VLOOKUP($A348,'BCA-2023-2026'!$B$2:$S$641,18,FALSE)</f>
        <v>6.7850000000000001</v>
      </c>
    </row>
    <row r="349" spans="1:8" x14ac:dyDescent="0.3">
      <c r="A349" s="2">
        <v>1323135</v>
      </c>
      <c r="B349" s="2" t="s">
        <v>144</v>
      </c>
      <c r="C349" s="2" t="s">
        <v>683</v>
      </c>
      <c r="D349" s="2" t="s">
        <v>1113</v>
      </c>
      <c r="E349" s="2">
        <v>8168468731</v>
      </c>
      <c r="F349" s="2" t="s">
        <v>1808</v>
      </c>
      <c r="G349" s="2" t="s">
        <v>1139</v>
      </c>
      <c r="H349" s="44">
        <f>VLOOKUP($A349,'BCA-2023-2026'!$B$2:$S$641,18,FALSE)</f>
        <v>6.7750000000000004</v>
      </c>
    </row>
    <row r="350" spans="1:8" x14ac:dyDescent="0.3">
      <c r="A350" s="2">
        <v>1323305</v>
      </c>
      <c r="B350" s="2" t="s">
        <v>310</v>
      </c>
      <c r="C350" s="2" t="s">
        <v>755</v>
      </c>
      <c r="D350" s="2" t="s">
        <v>1038</v>
      </c>
      <c r="E350" s="2">
        <v>8950265326</v>
      </c>
      <c r="F350" s="2" t="s">
        <v>1956</v>
      </c>
      <c r="G350" s="2" t="s">
        <v>1141</v>
      </c>
      <c r="H350" s="44">
        <f>VLOOKUP($A350,'BCA-2023-2026'!$B$2:$S$641,18,FALSE)</f>
        <v>6.7750000000000004</v>
      </c>
    </row>
    <row r="351" spans="1:8" x14ac:dyDescent="0.3">
      <c r="A351" s="2">
        <v>1323087</v>
      </c>
      <c r="B351" s="2" t="s">
        <v>96</v>
      </c>
      <c r="C351" s="2" t="s">
        <v>658</v>
      </c>
      <c r="D351" s="2" t="s">
        <v>1166</v>
      </c>
      <c r="E351" s="2">
        <v>8053048981</v>
      </c>
      <c r="F351" s="2" t="s">
        <v>1769</v>
      </c>
      <c r="G351" s="2" t="s">
        <v>1139</v>
      </c>
      <c r="H351" s="44">
        <f>VLOOKUP($A351,'BCA-2023-2026'!$B$2:$S$641,18,FALSE)</f>
        <v>6.7725</v>
      </c>
    </row>
    <row r="352" spans="1:8" x14ac:dyDescent="0.3">
      <c r="A352" s="2">
        <v>1323070</v>
      </c>
      <c r="B352" s="2" t="s">
        <v>80</v>
      </c>
      <c r="C352" s="2" t="s">
        <v>650</v>
      </c>
      <c r="D352" s="2" t="s">
        <v>1136</v>
      </c>
      <c r="E352" s="2"/>
      <c r="F352" s="2"/>
      <c r="G352" s="2" t="s">
        <v>1138</v>
      </c>
      <c r="H352" s="44">
        <f>VLOOKUP($A352,'BCA-2023-2026'!$B$2:$S$641,18,FALSE)</f>
        <v>6.77</v>
      </c>
    </row>
    <row r="353" spans="1:8" x14ac:dyDescent="0.3">
      <c r="A353" s="2">
        <v>1323225</v>
      </c>
      <c r="B353" s="2" t="s">
        <v>232</v>
      </c>
      <c r="C353" s="2" t="s">
        <v>1501</v>
      </c>
      <c r="D353" s="2" t="s">
        <v>1169</v>
      </c>
      <c r="E353" s="2">
        <v>9991021218</v>
      </c>
      <c r="F353" s="2" t="s">
        <v>1888</v>
      </c>
      <c r="G353" s="2" t="s">
        <v>1140</v>
      </c>
      <c r="H353" s="44">
        <f>VLOOKUP($A353,'BCA-2023-2026'!$B$2:$S$641,18,FALSE)</f>
        <v>6.7566666666666668</v>
      </c>
    </row>
    <row r="354" spans="1:8" x14ac:dyDescent="0.3">
      <c r="A354" s="2">
        <v>1323432</v>
      </c>
      <c r="B354" s="2" t="s">
        <v>427</v>
      </c>
      <c r="C354" s="2" t="s">
        <v>817</v>
      </c>
      <c r="D354" s="2" t="s">
        <v>1396</v>
      </c>
      <c r="E354" s="2">
        <v>9135601973</v>
      </c>
      <c r="F354" s="2" t="s">
        <v>2051</v>
      </c>
      <c r="G354" s="2" t="s">
        <v>1143</v>
      </c>
      <c r="H354" s="44">
        <f>VLOOKUP($A354,'BCA-2023-2026'!$B$2:$S$641,18,FALSE)</f>
        <v>6.7566666666666668</v>
      </c>
    </row>
    <row r="355" spans="1:8" x14ac:dyDescent="0.3">
      <c r="A355" s="2">
        <v>1323600</v>
      </c>
      <c r="B355" s="2" t="s">
        <v>574</v>
      </c>
      <c r="C355" s="2" t="s">
        <v>910</v>
      </c>
      <c r="D355" s="2" t="s">
        <v>975</v>
      </c>
      <c r="E355" s="2">
        <v>8307696109</v>
      </c>
      <c r="F355" s="2" t="s">
        <v>2179</v>
      </c>
      <c r="G355" s="2" t="s">
        <v>1140</v>
      </c>
      <c r="H355" s="44">
        <f>VLOOKUP($A355,'BCA-2023-2026'!$B$2:$S$641,18,FALSE)</f>
        <v>6.7566666666666668</v>
      </c>
    </row>
    <row r="356" spans="1:8" x14ac:dyDescent="0.3">
      <c r="A356" s="2">
        <v>1323151</v>
      </c>
      <c r="B356" s="2" t="s">
        <v>160</v>
      </c>
      <c r="C356" s="2" t="s">
        <v>1473</v>
      </c>
      <c r="D356" s="2" t="s">
        <v>1192</v>
      </c>
      <c r="E356" s="2">
        <v>7082722013</v>
      </c>
      <c r="F356" s="2" t="s">
        <v>1823</v>
      </c>
      <c r="G356" s="2" t="s">
        <v>1139</v>
      </c>
      <c r="H356" s="44">
        <f>VLOOKUP($A356,'BCA-2023-2026'!$B$2:$S$641,18,FALSE)</f>
        <v>6.7524999999999995</v>
      </c>
    </row>
    <row r="357" spans="1:8" x14ac:dyDescent="0.3">
      <c r="A357" s="2">
        <v>1323382</v>
      </c>
      <c r="B357" s="2" t="s">
        <v>380</v>
      </c>
      <c r="C357" s="2" t="s">
        <v>774</v>
      </c>
      <c r="D357" s="2" t="s">
        <v>1356</v>
      </c>
      <c r="E357" s="2">
        <v>9992245885</v>
      </c>
      <c r="F357" s="2" t="s">
        <v>2015</v>
      </c>
      <c r="G357" s="2" t="s">
        <v>1142</v>
      </c>
      <c r="H357" s="44">
        <f>VLOOKUP($A357,'BCA-2023-2026'!$B$2:$S$641,18,FALSE)</f>
        <v>6.75</v>
      </c>
    </row>
    <row r="358" spans="1:8" x14ac:dyDescent="0.3">
      <c r="A358" s="2">
        <v>1323559</v>
      </c>
      <c r="B358" s="2" t="s">
        <v>544</v>
      </c>
      <c r="C358" s="2" t="s">
        <v>905</v>
      </c>
      <c r="D358" s="2" t="s">
        <v>1002</v>
      </c>
      <c r="E358" s="2">
        <v>7519125980</v>
      </c>
      <c r="F358" s="2" t="s">
        <v>2151</v>
      </c>
      <c r="G358" s="2" t="s">
        <v>1144</v>
      </c>
      <c r="H358" s="44">
        <f>VLOOKUP($A358,'BCA-2023-2026'!$B$2:$S$641,18,FALSE)</f>
        <v>6.74</v>
      </c>
    </row>
    <row r="359" spans="1:8" x14ac:dyDescent="0.3">
      <c r="A359" s="2">
        <v>1323510</v>
      </c>
      <c r="B359" s="2" t="s">
        <v>499</v>
      </c>
      <c r="C359" s="2" t="s">
        <v>877</v>
      </c>
      <c r="D359" s="2" t="s">
        <v>1038</v>
      </c>
      <c r="E359" s="2">
        <v>9162460464</v>
      </c>
      <c r="F359" s="2" t="s">
        <v>2114</v>
      </c>
      <c r="G359" s="2" t="s">
        <v>1144</v>
      </c>
      <c r="H359" s="44">
        <f>VLOOKUP($A359,'BCA-2023-2026'!$B$2:$S$641,18,FALSE)</f>
        <v>6.7249999999999996</v>
      </c>
    </row>
    <row r="360" spans="1:8" x14ac:dyDescent="0.3">
      <c r="A360" s="2">
        <v>1323247</v>
      </c>
      <c r="B360" s="2" t="s">
        <v>254</v>
      </c>
      <c r="C360" s="2" t="s">
        <v>732</v>
      </c>
      <c r="D360" s="2" t="s">
        <v>1272</v>
      </c>
      <c r="E360" s="2">
        <v>7206394707</v>
      </c>
      <c r="F360" s="2" t="s">
        <v>1906</v>
      </c>
      <c r="G360" s="2" t="s">
        <v>1141</v>
      </c>
      <c r="H360" s="44">
        <f>VLOOKUP($A360,'BCA-2023-2026'!$B$2:$S$641,18,FALSE)</f>
        <v>6.72</v>
      </c>
    </row>
    <row r="361" spans="1:8" x14ac:dyDescent="0.3">
      <c r="A361" s="2">
        <v>1323462</v>
      </c>
      <c r="B361" s="2" t="s">
        <v>454</v>
      </c>
      <c r="C361" s="2" t="s">
        <v>840</v>
      </c>
      <c r="D361" s="2" t="s">
        <v>1075</v>
      </c>
      <c r="E361" s="2">
        <v>8603179917</v>
      </c>
      <c r="F361" s="2" t="s">
        <v>2072</v>
      </c>
      <c r="G361" s="2" t="s">
        <v>1143</v>
      </c>
      <c r="H361" s="44">
        <f>VLOOKUP($A361,'BCA-2023-2026'!$B$2:$S$641,18,FALSE)</f>
        <v>6.72</v>
      </c>
    </row>
    <row r="362" spans="1:8" x14ac:dyDescent="0.3">
      <c r="A362" s="2">
        <v>1323025</v>
      </c>
      <c r="B362" s="2" t="s">
        <v>38</v>
      </c>
      <c r="C362" s="2" t="s">
        <v>623</v>
      </c>
      <c r="D362" s="2" t="s">
        <v>1082</v>
      </c>
      <c r="E362" s="2">
        <v>7496018760</v>
      </c>
      <c r="F362" s="2" t="s">
        <v>1716</v>
      </c>
      <c r="G362" s="2" t="s">
        <v>1138</v>
      </c>
      <c r="H362" s="44">
        <f>VLOOKUP($A362,'BCA-2023-2026'!$B$2:$S$641,18,FALSE)</f>
        <v>6.7149999999999999</v>
      </c>
    </row>
    <row r="363" spans="1:8" x14ac:dyDescent="0.3">
      <c r="A363" s="2">
        <v>1323340</v>
      </c>
      <c r="B363" s="2" t="s">
        <v>341</v>
      </c>
      <c r="C363" s="2" t="s">
        <v>641</v>
      </c>
      <c r="D363" s="2" t="s">
        <v>1328</v>
      </c>
      <c r="E363" s="2">
        <v>9306325950</v>
      </c>
      <c r="F363" s="2" t="s">
        <v>1981</v>
      </c>
      <c r="G363" s="2" t="s">
        <v>1142</v>
      </c>
      <c r="H363" s="44">
        <f>VLOOKUP($A363,'BCA-2023-2026'!$B$2:$S$641,18,FALSE)</f>
        <v>6.7050000000000001</v>
      </c>
    </row>
    <row r="364" spans="1:8" x14ac:dyDescent="0.3">
      <c r="A364" s="2">
        <v>1323618</v>
      </c>
      <c r="B364" s="2" t="s">
        <v>590</v>
      </c>
      <c r="C364" s="2" t="s">
        <v>1613</v>
      </c>
      <c r="D364" s="2" t="s">
        <v>960</v>
      </c>
      <c r="E364" s="2">
        <v>9931326380</v>
      </c>
      <c r="F364" s="2" t="s">
        <v>2196</v>
      </c>
      <c r="G364" s="2" t="s">
        <v>1144</v>
      </c>
      <c r="H364" s="44">
        <f>VLOOKUP($A364,'BCA-2023-2026'!$B$2:$S$641,18,FALSE)</f>
        <v>6.69</v>
      </c>
    </row>
    <row r="365" spans="1:8" x14ac:dyDescent="0.3">
      <c r="A365" s="2">
        <v>1323299</v>
      </c>
      <c r="B365" s="2" t="s">
        <v>304</v>
      </c>
      <c r="C365" s="2" t="s">
        <v>703</v>
      </c>
      <c r="D365" s="2" t="s">
        <v>1038</v>
      </c>
      <c r="E365" s="2">
        <v>9416435590</v>
      </c>
      <c r="F365" s="2" t="s">
        <v>1951</v>
      </c>
      <c r="G365" s="2" t="s">
        <v>1141</v>
      </c>
      <c r="H365" s="44">
        <f>VLOOKUP($A365,'BCA-2023-2026'!$B$2:$S$641,18,FALSE)</f>
        <v>6.68</v>
      </c>
    </row>
    <row r="366" spans="1:8" x14ac:dyDescent="0.3">
      <c r="A366" s="2">
        <v>1323582</v>
      </c>
      <c r="B366" s="2" t="s">
        <v>564</v>
      </c>
      <c r="C366" s="2" t="s">
        <v>799</v>
      </c>
      <c r="D366" s="2" t="s">
        <v>984</v>
      </c>
      <c r="E366" s="2">
        <v>7488467280</v>
      </c>
      <c r="F366" s="2" t="s">
        <v>2169</v>
      </c>
      <c r="G366" s="2" t="s">
        <v>1143</v>
      </c>
      <c r="H366" s="44">
        <f>VLOOKUP($A366,'BCA-2023-2026'!$B$2:$S$641,18,FALSE)</f>
        <v>6.6633333333333331</v>
      </c>
    </row>
    <row r="367" spans="1:8" x14ac:dyDescent="0.3">
      <c r="A367" s="2">
        <v>1323622</v>
      </c>
      <c r="B367" s="2" t="s">
        <v>594</v>
      </c>
      <c r="C367" s="2" t="s">
        <v>819</v>
      </c>
      <c r="D367" s="2" t="s">
        <v>937</v>
      </c>
      <c r="E367" s="2">
        <v>6203629407</v>
      </c>
      <c r="F367" s="2" t="s">
        <v>2200</v>
      </c>
      <c r="G367" s="2" t="s">
        <v>1144</v>
      </c>
      <c r="H367" s="44">
        <f>VLOOKUP($A367,'BCA-2023-2026'!$B$2:$S$641,18,FALSE)</f>
        <v>6.6633333333333331</v>
      </c>
    </row>
    <row r="368" spans="1:8" x14ac:dyDescent="0.3">
      <c r="A368" s="2">
        <v>1323008</v>
      </c>
      <c r="B368" s="2" t="s">
        <v>22</v>
      </c>
      <c r="C368" s="2" t="s">
        <v>1427</v>
      </c>
      <c r="D368" s="2" t="s">
        <v>1091</v>
      </c>
      <c r="E368" s="2">
        <v>7027684989</v>
      </c>
      <c r="F368" s="2" t="s">
        <v>1704</v>
      </c>
      <c r="G368" s="2" t="s">
        <v>1138</v>
      </c>
      <c r="H368" s="44">
        <f>VLOOKUP($A368,'BCA-2023-2026'!$B$2:$S$641,18,FALSE)</f>
        <v>6.66</v>
      </c>
    </row>
    <row r="369" spans="1:8" x14ac:dyDescent="0.3">
      <c r="A369" s="2">
        <v>1323074</v>
      </c>
      <c r="B369" s="2" t="s">
        <v>941</v>
      </c>
      <c r="C369" s="2" t="s">
        <v>1446</v>
      </c>
      <c r="D369" s="2" t="s">
        <v>1155</v>
      </c>
      <c r="E369" s="2">
        <v>7027172903</v>
      </c>
      <c r="F369" s="2" t="s">
        <v>1759</v>
      </c>
      <c r="G369" s="2" t="s">
        <v>1138</v>
      </c>
      <c r="H369" s="44">
        <f>VLOOKUP($A369,'BCA-2023-2026'!$B$2:$S$641,18,FALSE)</f>
        <v>6.66</v>
      </c>
    </row>
    <row r="370" spans="1:8" x14ac:dyDescent="0.3">
      <c r="A370" s="2">
        <v>1323291</v>
      </c>
      <c r="B370" s="2" t="s">
        <v>296</v>
      </c>
      <c r="C370" s="2" t="s">
        <v>750</v>
      </c>
      <c r="D370" s="2" t="s">
        <v>1128</v>
      </c>
      <c r="E370" s="2">
        <v>9896297858</v>
      </c>
      <c r="F370" s="2" t="s">
        <v>1946</v>
      </c>
      <c r="G370" s="2" t="s">
        <v>1141</v>
      </c>
      <c r="H370" s="44">
        <f>VLOOKUP($A370,'BCA-2023-2026'!$B$2:$S$641,18,FALSE)</f>
        <v>6.66</v>
      </c>
    </row>
    <row r="371" spans="1:8" x14ac:dyDescent="0.3">
      <c r="A371" s="2">
        <v>1323573</v>
      </c>
      <c r="B371" s="2" t="s">
        <v>558</v>
      </c>
      <c r="C371" s="2" t="s">
        <v>1591</v>
      </c>
      <c r="D371" s="2" t="s">
        <v>992</v>
      </c>
      <c r="E371" s="2">
        <v>9152189667</v>
      </c>
      <c r="F371" s="2" t="s">
        <v>2161</v>
      </c>
      <c r="G371" s="2" t="s">
        <v>1138</v>
      </c>
      <c r="H371" s="44">
        <f>VLOOKUP($A371,'BCA-2023-2026'!$B$2:$S$641,18,FALSE)</f>
        <v>6.66</v>
      </c>
    </row>
    <row r="372" spans="1:8" x14ac:dyDescent="0.3">
      <c r="A372" s="2">
        <v>1323515</v>
      </c>
      <c r="B372" s="2" t="s">
        <v>504</v>
      </c>
      <c r="C372" s="2" t="s">
        <v>881</v>
      </c>
      <c r="D372" s="2" t="s">
        <v>1035</v>
      </c>
      <c r="E372" s="2">
        <v>9570124597</v>
      </c>
      <c r="F372" s="2" t="s">
        <v>2117</v>
      </c>
      <c r="G372" s="2" t="s">
        <v>1144</v>
      </c>
      <c r="H372" s="44">
        <f>VLOOKUP($A372,'BCA-2023-2026'!$B$2:$S$641,18,FALSE)</f>
        <v>6.65</v>
      </c>
    </row>
    <row r="373" spans="1:8" x14ac:dyDescent="0.3">
      <c r="A373" s="2">
        <v>1323577</v>
      </c>
      <c r="B373" s="2" t="s">
        <v>560</v>
      </c>
      <c r="C373" s="2" t="s">
        <v>1594</v>
      </c>
      <c r="D373" s="2" t="s">
        <v>988</v>
      </c>
      <c r="E373" s="2">
        <v>8709482086</v>
      </c>
      <c r="F373" s="2" t="s">
        <v>2165</v>
      </c>
      <c r="G373" s="2" t="s">
        <v>1143</v>
      </c>
      <c r="H373" s="44">
        <f>VLOOKUP($A373,'BCA-2023-2026'!$B$2:$S$641,18,FALSE)</f>
        <v>6.6499999999999995</v>
      </c>
    </row>
    <row r="374" spans="1:8" x14ac:dyDescent="0.3">
      <c r="A374" s="2">
        <v>1323148</v>
      </c>
      <c r="B374" s="2" t="s">
        <v>157</v>
      </c>
      <c r="C374" s="2" t="s">
        <v>689</v>
      </c>
      <c r="D374" s="2" t="s">
        <v>1207</v>
      </c>
      <c r="E374" s="2">
        <v>7027038933</v>
      </c>
      <c r="F374" s="2" t="s">
        <v>1820</v>
      </c>
      <c r="G374" s="2" t="s">
        <v>1139</v>
      </c>
      <c r="H374" s="44">
        <f>VLOOKUP($A374,'BCA-2023-2026'!$B$2:$S$641,18,FALSE)</f>
        <v>6.6466666666666674</v>
      </c>
    </row>
    <row r="375" spans="1:8" x14ac:dyDescent="0.3">
      <c r="A375" s="2">
        <v>1323534</v>
      </c>
      <c r="B375" s="2" t="s">
        <v>523</v>
      </c>
      <c r="C375" s="2" t="s">
        <v>895</v>
      </c>
      <c r="D375" s="2" t="s">
        <v>1020</v>
      </c>
      <c r="E375" s="2">
        <v>7296005904</v>
      </c>
      <c r="F375" s="2" t="s">
        <v>2134</v>
      </c>
      <c r="G375" s="2" t="s">
        <v>1144</v>
      </c>
      <c r="H375" s="44">
        <f>VLOOKUP($A375,'BCA-2023-2026'!$B$2:$S$641,18,FALSE)</f>
        <v>6.6449999999999996</v>
      </c>
    </row>
    <row r="376" spans="1:8" x14ac:dyDescent="0.3">
      <c r="A376" s="2">
        <v>1323043</v>
      </c>
      <c r="B376" s="2" t="s">
        <v>55</v>
      </c>
      <c r="C376" s="2" t="s">
        <v>678</v>
      </c>
      <c r="D376" s="2" t="s">
        <v>1117</v>
      </c>
      <c r="E376" s="2">
        <v>9812841396</v>
      </c>
      <c r="F376" s="2" t="s">
        <v>1732</v>
      </c>
      <c r="G376" s="2" t="s">
        <v>1138</v>
      </c>
      <c r="H376" s="44">
        <f>VLOOKUP($A376,'BCA-2023-2026'!$B$2:$S$641,18,FALSE)</f>
        <v>6.64</v>
      </c>
    </row>
    <row r="377" spans="1:8" x14ac:dyDescent="0.3">
      <c r="A377" s="2">
        <v>1323050</v>
      </c>
      <c r="B377" s="2" t="s">
        <v>62</v>
      </c>
      <c r="C377" s="2" t="s">
        <v>1442</v>
      </c>
      <c r="D377" s="2" t="s">
        <v>1123</v>
      </c>
      <c r="E377" s="2">
        <v>8307603051</v>
      </c>
      <c r="F377" s="2" t="s">
        <v>1739</v>
      </c>
      <c r="G377" s="2" t="s">
        <v>1138</v>
      </c>
      <c r="H377" s="44">
        <f>VLOOKUP($A377,'BCA-2023-2026'!$B$2:$S$641,18,FALSE)</f>
        <v>6.64</v>
      </c>
    </row>
    <row r="378" spans="1:8" x14ac:dyDescent="0.3">
      <c r="A378" s="2">
        <v>1323179</v>
      </c>
      <c r="B378" s="2" t="s">
        <v>186</v>
      </c>
      <c r="C378" s="2" t="s">
        <v>867</v>
      </c>
      <c r="D378" s="2" t="s">
        <v>1038</v>
      </c>
      <c r="E378" s="2">
        <v>8126045558</v>
      </c>
      <c r="F378" s="2" t="s">
        <v>1846</v>
      </c>
      <c r="G378" s="2" t="s">
        <v>1140</v>
      </c>
      <c r="H378" s="44">
        <f>VLOOKUP($A378,'BCA-2023-2026'!$B$2:$S$641,18,FALSE)</f>
        <v>6.64</v>
      </c>
    </row>
    <row r="379" spans="1:8" x14ac:dyDescent="0.3">
      <c r="A379" s="2">
        <v>1323318</v>
      </c>
      <c r="B379" s="2" t="s">
        <v>323</v>
      </c>
      <c r="C379" s="2" t="s">
        <v>760</v>
      </c>
      <c r="D379" s="2" t="s">
        <v>1128</v>
      </c>
      <c r="E379" s="2">
        <v>8901872038</v>
      </c>
      <c r="F379" s="2" t="s">
        <v>1967</v>
      </c>
      <c r="G379" s="2" t="s">
        <v>1141</v>
      </c>
      <c r="H379" s="44">
        <f>VLOOKUP($A379,'BCA-2023-2026'!$B$2:$S$641,18,FALSE)</f>
        <v>6.64</v>
      </c>
    </row>
    <row r="380" spans="1:8" x14ac:dyDescent="0.3">
      <c r="A380" s="2">
        <v>1323154</v>
      </c>
      <c r="B380" s="2" t="s">
        <v>163</v>
      </c>
      <c r="C380" s="2" t="s">
        <v>692</v>
      </c>
      <c r="D380" s="2" t="s">
        <v>1211</v>
      </c>
      <c r="E380" s="2">
        <v>8570914248</v>
      </c>
      <c r="F380" s="2" t="s">
        <v>1825</v>
      </c>
      <c r="G380" s="2" t="s">
        <v>1139</v>
      </c>
      <c r="H380" s="44">
        <f>VLOOKUP($A380,'BCA-2023-2026'!$B$2:$S$641,18,FALSE)</f>
        <v>6.6375000000000002</v>
      </c>
    </row>
    <row r="381" spans="1:8" x14ac:dyDescent="0.3">
      <c r="A381" s="2">
        <v>1323054</v>
      </c>
      <c r="B381" s="2" t="s">
        <v>66</v>
      </c>
      <c r="C381" s="2" t="s">
        <v>639</v>
      </c>
      <c r="D381" s="2" t="s">
        <v>1126</v>
      </c>
      <c r="E381" s="2">
        <v>8398916564</v>
      </c>
      <c r="F381" s="2" t="s">
        <v>1743</v>
      </c>
      <c r="G381" s="2" t="s">
        <v>1138</v>
      </c>
      <c r="H381" s="44">
        <f>VLOOKUP($A381,'BCA-2023-2026'!$B$2:$S$641,18,FALSE)</f>
        <v>6.6349999999999998</v>
      </c>
    </row>
    <row r="382" spans="1:8" x14ac:dyDescent="0.3">
      <c r="A382" s="2">
        <v>1323608</v>
      </c>
      <c r="B382" s="2" t="s">
        <v>581</v>
      </c>
      <c r="C382" s="2" t="s">
        <v>913</v>
      </c>
      <c r="D382" s="2" t="s">
        <v>969</v>
      </c>
      <c r="E382" s="2">
        <v>9306312328</v>
      </c>
      <c r="F382" s="2" t="s">
        <v>2187</v>
      </c>
      <c r="G382" s="2" t="s">
        <v>1140</v>
      </c>
      <c r="H382" s="44">
        <f>VLOOKUP($A382,'BCA-2023-2026'!$B$2:$S$641,18,FALSE)</f>
        <v>6.625</v>
      </c>
    </row>
    <row r="383" spans="1:8" x14ac:dyDescent="0.3">
      <c r="A383" s="2">
        <v>1323616</v>
      </c>
      <c r="B383" s="2" t="s">
        <v>588</v>
      </c>
      <c r="C383" s="2" t="s">
        <v>918</v>
      </c>
      <c r="D383" s="2" t="s">
        <v>962</v>
      </c>
      <c r="E383" s="2">
        <v>7482059043</v>
      </c>
      <c r="F383" s="2" t="s">
        <v>2194</v>
      </c>
      <c r="G383" s="2" t="s">
        <v>1144</v>
      </c>
      <c r="H383" s="44">
        <f>VLOOKUP($A383,'BCA-2023-2026'!$B$2:$S$641,18,FALSE)</f>
        <v>6.62</v>
      </c>
    </row>
    <row r="384" spans="1:8" x14ac:dyDescent="0.3">
      <c r="A384" s="2">
        <v>1323602</v>
      </c>
      <c r="B384" s="2" t="s">
        <v>576</v>
      </c>
      <c r="C384" s="2" t="s">
        <v>912</v>
      </c>
      <c r="D384" s="2" t="s">
        <v>973</v>
      </c>
      <c r="E384" s="2">
        <v>7488949019</v>
      </c>
      <c r="F384" s="2" t="s">
        <v>2181</v>
      </c>
      <c r="G384" s="2" t="s">
        <v>1144</v>
      </c>
      <c r="H384" s="44">
        <f>VLOOKUP($A384,'BCA-2023-2026'!$B$2:$S$641,18,FALSE)</f>
        <v>6.6166666666666671</v>
      </c>
    </row>
    <row r="385" spans="1:8" x14ac:dyDescent="0.3">
      <c r="A385" s="2">
        <v>1323337</v>
      </c>
      <c r="B385" s="2" t="s">
        <v>339</v>
      </c>
      <c r="C385" s="2" t="s">
        <v>764</v>
      </c>
      <c r="D385" s="2" t="s">
        <v>1325</v>
      </c>
      <c r="E385" s="2">
        <v>8950993026</v>
      </c>
      <c r="F385" s="2" t="s">
        <v>1979</v>
      </c>
      <c r="G385" s="2" t="s">
        <v>1142</v>
      </c>
      <c r="H385" s="44">
        <f>VLOOKUP($A385,'BCA-2023-2026'!$B$2:$S$641,18,FALSE)</f>
        <v>6.6133333333333333</v>
      </c>
    </row>
    <row r="386" spans="1:8" x14ac:dyDescent="0.3">
      <c r="A386" s="2">
        <v>1323398</v>
      </c>
      <c r="B386" s="2" t="s">
        <v>396</v>
      </c>
      <c r="C386" s="2" t="s">
        <v>791</v>
      </c>
      <c r="D386" s="2" t="s">
        <v>1367</v>
      </c>
      <c r="E386" s="2">
        <v>7070953846</v>
      </c>
      <c r="F386" s="2" t="s">
        <v>2023</v>
      </c>
      <c r="G386" s="2" t="s">
        <v>1142</v>
      </c>
      <c r="H386" s="44">
        <f>VLOOKUP($A386,'BCA-2023-2026'!$B$2:$S$641,18,FALSE)</f>
        <v>6.6099999999999994</v>
      </c>
    </row>
    <row r="387" spans="1:8" x14ac:dyDescent="0.3">
      <c r="A387" s="2">
        <v>1323440</v>
      </c>
      <c r="B387" s="2" t="s">
        <v>432</v>
      </c>
      <c r="C387" s="2" t="s">
        <v>819</v>
      </c>
      <c r="D387" s="2" t="s">
        <v>1401</v>
      </c>
      <c r="E387" s="2">
        <v>9729597165</v>
      </c>
      <c r="F387" s="2" t="s">
        <v>2054</v>
      </c>
      <c r="G387" s="2" t="s">
        <v>1142</v>
      </c>
      <c r="H387" s="44">
        <f>VLOOKUP($A387,'BCA-2023-2026'!$B$2:$S$641,18,FALSE)</f>
        <v>6.6</v>
      </c>
    </row>
    <row r="388" spans="1:8" x14ac:dyDescent="0.3">
      <c r="A388" s="2">
        <v>1323404</v>
      </c>
      <c r="B388" s="2" t="s">
        <v>402</v>
      </c>
      <c r="C388" s="2" t="s">
        <v>796</v>
      </c>
      <c r="D388" s="2" t="s">
        <v>1373</v>
      </c>
      <c r="E388" s="2">
        <v>8298610546</v>
      </c>
      <c r="F388" s="2" t="s">
        <v>2028</v>
      </c>
      <c r="G388" s="2" t="s">
        <v>1143</v>
      </c>
      <c r="H388" s="44">
        <f>VLOOKUP($A388,'BCA-2023-2026'!$B$2:$S$641,18,FALSE)</f>
        <v>6.5949999999999998</v>
      </c>
    </row>
    <row r="389" spans="1:8" x14ac:dyDescent="0.3">
      <c r="A389" s="2">
        <v>1323586</v>
      </c>
      <c r="B389" s="2" t="s">
        <v>567</v>
      </c>
      <c r="C389" s="2" t="s">
        <v>1598</v>
      </c>
      <c r="D389" s="2" t="s">
        <v>668</v>
      </c>
      <c r="E389" s="2">
        <v>8053486046</v>
      </c>
      <c r="F389" s="2" t="s">
        <v>2172</v>
      </c>
      <c r="G389" s="2" t="s">
        <v>1143</v>
      </c>
      <c r="H389" s="44">
        <f>VLOOKUP($A389,'BCA-2023-2026'!$B$2:$S$641,18,FALSE)</f>
        <v>6.59</v>
      </c>
    </row>
    <row r="390" spans="1:8" x14ac:dyDescent="0.3">
      <c r="A390" s="2">
        <v>1323181</v>
      </c>
      <c r="B390" s="2" t="s">
        <v>188</v>
      </c>
      <c r="C390" s="2" t="s">
        <v>1484</v>
      </c>
      <c r="D390" s="2" t="s">
        <v>972</v>
      </c>
      <c r="E390" s="2"/>
      <c r="F390" s="2"/>
      <c r="G390" s="2"/>
      <c r="H390" s="44">
        <f>VLOOKUP($A390,'BCA-2023-2026'!$B$2:$S$641,18,FALSE)</f>
        <v>6.58</v>
      </c>
    </row>
    <row r="391" spans="1:8" x14ac:dyDescent="0.3">
      <c r="A391" s="2">
        <v>1323419</v>
      </c>
      <c r="B391" s="2" t="s">
        <v>417</v>
      </c>
      <c r="C391" s="2" t="s">
        <v>807</v>
      </c>
      <c r="D391" s="2" t="s">
        <v>1387</v>
      </c>
      <c r="E391" s="2">
        <v>9546841963</v>
      </c>
      <c r="F391" s="2" t="s">
        <v>2041</v>
      </c>
      <c r="G391" s="2" t="s">
        <v>1143</v>
      </c>
      <c r="H391" s="44">
        <f>VLOOKUP($A391,'BCA-2023-2026'!$B$2:$S$641,18,FALSE)</f>
        <v>6.58</v>
      </c>
    </row>
    <row r="392" spans="1:8" x14ac:dyDescent="0.3">
      <c r="A392" s="2">
        <v>1323117</v>
      </c>
      <c r="B392" s="2" t="s">
        <v>126</v>
      </c>
      <c r="C392" s="2" t="s">
        <v>1459</v>
      </c>
      <c r="D392" s="2" t="s">
        <v>1187</v>
      </c>
      <c r="E392" s="2">
        <v>9991930049</v>
      </c>
      <c r="F392" s="2" t="s">
        <v>1795</v>
      </c>
      <c r="G392" s="2" t="s">
        <v>1139</v>
      </c>
      <c r="H392" s="44">
        <f>VLOOKUP($A392,'BCA-2023-2026'!$B$2:$S$641,18,FALSE)</f>
        <v>6.5733333333333333</v>
      </c>
    </row>
    <row r="393" spans="1:8" x14ac:dyDescent="0.3">
      <c r="A393" s="2">
        <v>1323134</v>
      </c>
      <c r="B393" s="2" t="s">
        <v>143</v>
      </c>
      <c r="C393" s="2" t="s">
        <v>682</v>
      </c>
      <c r="D393" s="2" t="s">
        <v>964</v>
      </c>
      <c r="E393" s="2">
        <v>9050823718</v>
      </c>
      <c r="F393" s="2" t="s">
        <v>1807</v>
      </c>
      <c r="G393" s="2" t="s">
        <v>1139</v>
      </c>
      <c r="H393" s="44">
        <f>VLOOKUP($A393,'BCA-2023-2026'!$B$2:$S$641,18,FALSE)</f>
        <v>6.5625</v>
      </c>
    </row>
    <row r="394" spans="1:8" x14ac:dyDescent="0.3">
      <c r="A394" s="2">
        <v>1323297</v>
      </c>
      <c r="B394" s="2" t="s">
        <v>302</v>
      </c>
      <c r="C394" s="2" t="s">
        <v>1532</v>
      </c>
      <c r="D394" s="2" t="s">
        <v>1301</v>
      </c>
      <c r="E394" s="2"/>
      <c r="F394" s="2"/>
      <c r="G394" s="2"/>
      <c r="H394" s="44">
        <f>VLOOKUP($A394,'BCA-2023-2026'!$B$2:$S$641,18,FALSE)</f>
        <v>6.55</v>
      </c>
    </row>
    <row r="395" spans="1:8" x14ac:dyDescent="0.3">
      <c r="A395" s="2">
        <v>1323041</v>
      </c>
      <c r="B395" s="2" t="s">
        <v>54</v>
      </c>
      <c r="C395" s="2" t="s">
        <v>1437</v>
      </c>
      <c r="D395" s="2" t="s">
        <v>1116</v>
      </c>
      <c r="E395" s="2">
        <v>8222051432</v>
      </c>
      <c r="F395" s="2" t="s">
        <v>1731</v>
      </c>
      <c r="G395" s="2" t="s">
        <v>1138</v>
      </c>
      <c r="H395" s="44">
        <f>VLOOKUP($A395,'BCA-2023-2026'!$B$2:$S$641,18,FALSE)</f>
        <v>6.5366666666666662</v>
      </c>
    </row>
    <row r="396" spans="1:8" x14ac:dyDescent="0.3">
      <c r="A396" s="2">
        <v>1323357</v>
      </c>
      <c r="B396" s="2" t="s">
        <v>357</v>
      </c>
      <c r="C396" s="2" t="s">
        <v>656</v>
      </c>
      <c r="D396" s="2" t="s">
        <v>668</v>
      </c>
      <c r="E396" s="2">
        <v>9468161265</v>
      </c>
      <c r="F396" s="2" t="s">
        <v>1993</v>
      </c>
      <c r="G396" s="2" t="s">
        <v>1142</v>
      </c>
      <c r="H396" s="44">
        <f>VLOOKUP($A396,'BCA-2023-2026'!$B$2:$S$641,18,FALSE)</f>
        <v>6.5366666666666662</v>
      </c>
    </row>
    <row r="397" spans="1:8" x14ac:dyDescent="0.3">
      <c r="A397" s="2">
        <v>1323345</v>
      </c>
      <c r="B397" s="2" t="s">
        <v>346</v>
      </c>
      <c r="C397" s="2" t="s">
        <v>686</v>
      </c>
      <c r="D397" s="2" t="s">
        <v>1331</v>
      </c>
      <c r="E397" s="2"/>
      <c r="F397" s="2"/>
      <c r="G397" s="2"/>
      <c r="H397" s="44">
        <f>VLOOKUP($A397,'BCA-2023-2026'!$B$2:$S$641,18,FALSE)</f>
        <v>6.5350000000000001</v>
      </c>
    </row>
    <row r="398" spans="1:8" x14ac:dyDescent="0.3">
      <c r="A398" s="2">
        <v>1323606</v>
      </c>
      <c r="B398" s="2" t="s">
        <v>579</v>
      </c>
      <c r="C398" s="2" t="s">
        <v>1609</v>
      </c>
      <c r="D398" s="2" t="s">
        <v>971</v>
      </c>
      <c r="E398" s="2">
        <v>7488386835</v>
      </c>
      <c r="F398" s="2" t="s">
        <v>2185</v>
      </c>
      <c r="G398" s="2" t="s">
        <v>1144</v>
      </c>
      <c r="H398" s="44">
        <f>VLOOKUP($A398,'BCA-2023-2026'!$B$2:$S$641,18,FALSE)</f>
        <v>6.5350000000000001</v>
      </c>
    </row>
    <row r="399" spans="1:8" x14ac:dyDescent="0.3">
      <c r="A399" s="2">
        <v>1323533</v>
      </c>
      <c r="B399" s="2" t="s">
        <v>522</v>
      </c>
      <c r="C399" s="2" t="s">
        <v>894</v>
      </c>
      <c r="D399" s="2" t="s">
        <v>1021</v>
      </c>
      <c r="E399" s="2">
        <v>9693437352</v>
      </c>
      <c r="F399" s="2" t="s">
        <v>2133</v>
      </c>
      <c r="G399" s="2" t="s">
        <v>1144</v>
      </c>
      <c r="H399" s="44">
        <f>VLOOKUP($A399,'BCA-2023-2026'!$B$2:$S$641,18,FALSE)</f>
        <v>6.5250000000000004</v>
      </c>
    </row>
    <row r="400" spans="1:8" x14ac:dyDescent="0.3">
      <c r="A400" s="2">
        <v>1323508</v>
      </c>
      <c r="B400" s="2" t="s">
        <v>497</v>
      </c>
      <c r="C400" s="2" t="s">
        <v>875</v>
      </c>
      <c r="D400" s="2" t="s">
        <v>1040</v>
      </c>
      <c r="E400" s="2">
        <v>8708382951</v>
      </c>
      <c r="F400" s="2" t="s">
        <v>2112</v>
      </c>
      <c r="G400" s="2" t="s">
        <v>1141</v>
      </c>
      <c r="H400" s="44">
        <f>VLOOKUP($A400,'BCA-2023-2026'!$B$2:$S$641,18,FALSE)</f>
        <v>6.5249999999999995</v>
      </c>
    </row>
    <row r="401" spans="1:8" x14ac:dyDescent="0.3">
      <c r="A401" s="2">
        <v>1323402</v>
      </c>
      <c r="B401" s="2" t="s">
        <v>400</v>
      </c>
      <c r="C401" s="2" t="s">
        <v>795</v>
      </c>
      <c r="D401" s="2" t="s">
        <v>1371</v>
      </c>
      <c r="E401" s="2">
        <v>9523022192</v>
      </c>
      <c r="F401" s="2" t="s">
        <v>2026</v>
      </c>
      <c r="G401" s="2" t="s">
        <v>1143</v>
      </c>
      <c r="H401" s="44">
        <f>VLOOKUP($A401,'BCA-2023-2026'!$B$2:$S$641,18,FALSE)</f>
        <v>6.52</v>
      </c>
    </row>
    <row r="402" spans="1:8" x14ac:dyDescent="0.3">
      <c r="A402" s="2">
        <v>1323444</v>
      </c>
      <c r="B402" s="2" t="s">
        <v>436</v>
      </c>
      <c r="C402" s="2" t="s">
        <v>823</v>
      </c>
      <c r="D402" s="2" t="s">
        <v>1089</v>
      </c>
      <c r="E402" s="2">
        <v>9122788378</v>
      </c>
      <c r="F402" s="2" t="s">
        <v>2058</v>
      </c>
      <c r="G402" s="2" t="s">
        <v>1143</v>
      </c>
      <c r="H402" s="44">
        <f>VLOOKUP($A402,'BCA-2023-2026'!$B$2:$S$641,18,FALSE)</f>
        <v>6.5175000000000001</v>
      </c>
    </row>
    <row r="403" spans="1:8" x14ac:dyDescent="0.3">
      <c r="A403" s="2">
        <v>1323571</v>
      </c>
      <c r="B403" s="2" t="s">
        <v>556</v>
      </c>
      <c r="C403" s="2" t="s">
        <v>1590</v>
      </c>
      <c r="D403" s="2" t="s">
        <v>994</v>
      </c>
      <c r="E403" s="2">
        <v>7209093907</v>
      </c>
      <c r="F403" s="2" t="s">
        <v>2159</v>
      </c>
      <c r="G403" s="2" t="s">
        <v>1143</v>
      </c>
      <c r="H403" s="44">
        <f>VLOOKUP($A403,'BCA-2023-2026'!$B$2:$S$641,18,FALSE)</f>
        <v>6.5133333333333328</v>
      </c>
    </row>
    <row r="404" spans="1:8" x14ac:dyDescent="0.3">
      <c r="A404" s="2">
        <v>1323394</v>
      </c>
      <c r="B404" s="2" t="s">
        <v>392</v>
      </c>
      <c r="C404" s="2" t="s">
        <v>790</v>
      </c>
      <c r="D404" s="2" t="s">
        <v>1365</v>
      </c>
      <c r="E404" s="2">
        <v>7250410648</v>
      </c>
      <c r="F404" s="2" t="s">
        <v>2022</v>
      </c>
      <c r="G404" s="2" t="s">
        <v>1142</v>
      </c>
      <c r="H404" s="44">
        <f>VLOOKUP($A404,'BCA-2023-2026'!$B$2:$S$641,18,FALSE)</f>
        <v>6.5075000000000003</v>
      </c>
    </row>
    <row r="405" spans="1:8" x14ac:dyDescent="0.3">
      <c r="A405" s="2">
        <v>1323611</v>
      </c>
      <c r="B405" s="2" t="s">
        <v>584</v>
      </c>
      <c r="C405" s="2" t="s">
        <v>915</v>
      </c>
      <c r="D405" s="2" t="s">
        <v>966</v>
      </c>
      <c r="E405" s="2">
        <v>7494976713</v>
      </c>
      <c r="F405" s="2" t="s">
        <v>2190</v>
      </c>
      <c r="G405" s="2" t="s">
        <v>1140</v>
      </c>
      <c r="H405" s="44">
        <f>VLOOKUP($A405,'BCA-2023-2026'!$B$2:$S$641,18,FALSE)</f>
        <v>6.5075000000000003</v>
      </c>
    </row>
    <row r="406" spans="1:8" x14ac:dyDescent="0.3">
      <c r="A406" s="2">
        <v>1323068</v>
      </c>
      <c r="B406" s="2" t="s">
        <v>79</v>
      </c>
      <c r="C406" s="2" t="s">
        <v>649</v>
      </c>
      <c r="D406" s="2" t="s">
        <v>963</v>
      </c>
      <c r="E406" s="2">
        <v>9017595727</v>
      </c>
      <c r="F406" s="2" t="s">
        <v>1756</v>
      </c>
      <c r="G406" s="2" t="s">
        <v>1138</v>
      </c>
      <c r="H406" s="44">
        <f>VLOOKUP($A406,'BCA-2023-2026'!$B$2:$S$641,18,FALSE)</f>
        <v>6.5</v>
      </c>
    </row>
    <row r="407" spans="1:8" x14ac:dyDescent="0.3">
      <c r="A407" s="2">
        <v>1323286</v>
      </c>
      <c r="B407" s="2" t="s">
        <v>291</v>
      </c>
      <c r="C407" s="2" t="s">
        <v>746</v>
      </c>
      <c r="D407" s="2" t="s">
        <v>1113</v>
      </c>
      <c r="E407" s="2">
        <v>7027275270</v>
      </c>
      <c r="F407" s="2" t="s">
        <v>1941</v>
      </c>
      <c r="G407" s="2" t="s">
        <v>1141</v>
      </c>
      <c r="H407" s="44">
        <f>VLOOKUP($A407,'BCA-2023-2026'!$B$2:$S$641,18,FALSE)</f>
        <v>6.5</v>
      </c>
    </row>
    <row r="408" spans="1:8" x14ac:dyDescent="0.3">
      <c r="A408" s="2">
        <v>1323269</v>
      </c>
      <c r="B408" s="2" t="s">
        <v>276</v>
      </c>
      <c r="C408" s="2" t="s">
        <v>1522</v>
      </c>
      <c r="D408" s="2" t="s">
        <v>1184</v>
      </c>
      <c r="E408" s="2">
        <v>7579828188</v>
      </c>
      <c r="F408" s="2" t="s">
        <v>1925</v>
      </c>
      <c r="G408" s="2" t="s">
        <v>1141</v>
      </c>
      <c r="H408" s="44">
        <f>VLOOKUP($A408,'BCA-2023-2026'!$B$2:$S$641,18,FALSE)</f>
        <v>6.4933333333333332</v>
      </c>
    </row>
    <row r="409" spans="1:8" x14ac:dyDescent="0.3">
      <c r="A409" s="2">
        <v>1323078</v>
      </c>
      <c r="B409" s="2" t="s">
        <v>87</v>
      </c>
      <c r="C409" s="2" t="s">
        <v>651</v>
      </c>
      <c r="D409" s="2" t="s">
        <v>1157</v>
      </c>
      <c r="E409" s="2">
        <v>9258370702</v>
      </c>
      <c r="F409" s="2" t="s">
        <v>1761</v>
      </c>
      <c r="G409" s="2" t="s">
        <v>1138</v>
      </c>
      <c r="H409" s="44">
        <f>VLOOKUP($A409,'BCA-2023-2026'!$B$2:$S$641,18,FALSE)</f>
        <v>6.49</v>
      </c>
    </row>
    <row r="410" spans="1:8" x14ac:dyDescent="0.3">
      <c r="A410" s="2">
        <v>1323565</v>
      </c>
      <c r="B410" s="2" t="s">
        <v>550</v>
      </c>
      <c r="C410" s="2" t="s">
        <v>1585</v>
      </c>
      <c r="D410" s="2" t="s">
        <v>998</v>
      </c>
      <c r="E410" s="2">
        <v>7325066008</v>
      </c>
      <c r="F410" s="2" t="s">
        <v>2155</v>
      </c>
      <c r="G410" s="2" t="s">
        <v>1143</v>
      </c>
      <c r="H410" s="44">
        <f>VLOOKUP($A410,'BCA-2023-2026'!$B$2:$S$641,18,FALSE)</f>
        <v>6.49</v>
      </c>
    </row>
    <row r="411" spans="1:8" x14ac:dyDescent="0.3">
      <c r="A411" s="2">
        <v>1323506</v>
      </c>
      <c r="B411" s="2" t="s">
        <v>495</v>
      </c>
      <c r="C411" s="2" t="s">
        <v>817</v>
      </c>
      <c r="D411" s="2" t="s">
        <v>1042</v>
      </c>
      <c r="E411" s="2">
        <v>6204585280</v>
      </c>
      <c r="F411" s="2" t="s">
        <v>2110</v>
      </c>
      <c r="G411" s="2" t="s">
        <v>1144</v>
      </c>
      <c r="H411" s="44">
        <f>VLOOKUP($A411,'BCA-2023-2026'!$B$2:$S$641,18,FALSE)</f>
        <v>6.4866666666666672</v>
      </c>
    </row>
    <row r="412" spans="1:8" x14ac:dyDescent="0.3">
      <c r="A412" s="2">
        <v>1323412</v>
      </c>
      <c r="B412" s="2" t="s">
        <v>410</v>
      </c>
      <c r="C412" s="2" t="s">
        <v>803</v>
      </c>
      <c r="D412" s="2" t="s">
        <v>1381</v>
      </c>
      <c r="E412" s="2">
        <v>9779846372</v>
      </c>
      <c r="F412" s="2" t="s">
        <v>2036</v>
      </c>
      <c r="G412" s="2" t="s">
        <v>1142</v>
      </c>
      <c r="H412" s="44">
        <f>VLOOKUP($A412,'BCA-2023-2026'!$B$2:$S$641,18,FALSE)</f>
        <v>6.4749999999999996</v>
      </c>
    </row>
    <row r="413" spans="1:8" x14ac:dyDescent="0.3">
      <c r="A413" s="2">
        <v>1323562</v>
      </c>
      <c r="B413" s="2" t="s">
        <v>547</v>
      </c>
      <c r="C413" s="2" t="s">
        <v>1582</v>
      </c>
      <c r="D413" s="2" t="s">
        <v>1000</v>
      </c>
      <c r="E413" s="2">
        <v>7206049931</v>
      </c>
      <c r="F413" s="2" t="s">
        <v>2153</v>
      </c>
      <c r="G413" s="2" t="s">
        <v>1138</v>
      </c>
      <c r="H413" s="44">
        <f>VLOOKUP($A413,'BCA-2023-2026'!$B$2:$S$641,18,FALSE)</f>
        <v>6.47</v>
      </c>
    </row>
    <row r="414" spans="1:8" x14ac:dyDescent="0.3">
      <c r="A414" s="2">
        <v>1323186</v>
      </c>
      <c r="B414" s="2" t="s">
        <v>193</v>
      </c>
      <c r="C414" s="2" t="s">
        <v>1488</v>
      </c>
      <c r="D414" s="2" t="s">
        <v>1232</v>
      </c>
      <c r="E414" s="2">
        <v>8295891467</v>
      </c>
      <c r="F414" s="2" t="s">
        <v>1851</v>
      </c>
      <c r="G414" s="2" t="s">
        <v>1140</v>
      </c>
      <c r="H414" s="44">
        <f>VLOOKUP($A414,'BCA-2023-2026'!$B$2:$S$641,18,FALSE)</f>
        <v>6.4666666666666659</v>
      </c>
    </row>
    <row r="415" spans="1:8" x14ac:dyDescent="0.3">
      <c r="A415" s="2">
        <v>1323194</v>
      </c>
      <c r="B415" s="2" t="s">
        <v>201</v>
      </c>
      <c r="C415" s="2" t="s">
        <v>1492</v>
      </c>
      <c r="D415" s="2" t="s">
        <v>1238</v>
      </c>
      <c r="E415" s="2">
        <v>8607307282</v>
      </c>
      <c r="F415" s="2" t="s">
        <v>1859</v>
      </c>
      <c r="G415" s="2" t="s">
        <v>1140</v>
      </c>
      <c r="H415" s="44">
        <f>VLOOKUP($A415,'BCA-2023-2026'!$B$2:$S$641,18,FALSE)</f>
        <v>6.4533333333333331</v>
      </c>
    </row>
    <row r="416" spans="1:8" x14ac:dyDescent="0.3">
      <c r="A416" s="2">
        <v>1323570</v>
      </c>
      <c r="B416" s="2" t="s">
        <v>555</v>
      </c>
      <c r="C416" s="2" t="s">
        <v>1589</v>
      </c>
      <c r="D416" s="2" t="s">
        <v>995</v>
      </c>
      <c r="E416" s="2">
        <v>7763825081</v>
      </c>
      <c r="F416" s="2" t="s">
        <v>2158</v>
      </c>
      <c r="G416" s="2" t="s">
        <v>1143</v>
      </c>
      <c r="H416" s="44">
        <f>VLOOKUP($A416,'BCA-2023-2026'!$B$2:$S$641,18,FALSE)</f>
        <v>6.45</v>
      </c>
    </row>
    <row r="417" spans="1:8" x14ac:dyDescent="0.3">
      <c r="A417" s="2">
        <v>1323514</v>
      </c>
      <c r="B417" s="2" t="s">
        <v>503</v>
      </c>
      <c r="C417" s="2" t="s">
        <v>880</v>
      </c>
      <c r="D417" s="2" t="s">
        <v>1036</v>
      </c>
      <c r="E417" s="2">
        <v>7091252472</v>
      </c>
      <c r="F417" s="2" t="s">
        <v>2116</v>
      </c>
      <c r="G417" s="2" t="s">
        <v>1144</v>
      </c>
      <c r="H417" s="44">
        <f>VLOOKUP($A417,'BCA-2023-2026'!$B$2:$S$641,18,FALSE)</f>
        <v>6.416666666666667</v>
      </c>
    </row>
    <row r="418" spans="1:8" x14ac:dyDescent="0.3">
      <c r="A418" s="2">
        <v>1323004</v>
      </c>
      <c r="B418" s="2" t="s">
        <v>18</v>
      </c>
      <c r="C418" s="2" t="s">
        <v>1425</v>
      </c>
      <c r="D418" s="2" t="s">
        <v>613</v>
      </c>
      <c r="E418" s="2">
        <v>7015333235</v>
      </c>
      <c r="F418" s="2" t="s">
        <v>1701</v>
      </c>
      <c r="G418" s="2" t="s">
        <v>1138</v>
      </c>
      <c r="H418" s="44">
        <f>VLOOKUP($A418,'BCA-2023-2026'!$B$2:$S$641,18,FALSE)</f>
        <v>6.41</v>
      </c>
    </row>
    <row r="419" spans="1:8" x14ac:dyDescent="0.3">
      <c r="A419" s="2">
        <v>1323434</v>
      </c>
      <c r="B419" s="2" t="s">
        <v>429</v>
      </c>
      <c r="C419" s="2" t="s">
        <v>814</v>
      </c>
      <c r="D419" s="2" t="s">
        <v>1398</v>
      </c>
      <c r="E419" s="2"/>
      <c r="F419" s="2"/>
      <c r="G419" s="2" t="s">
        <v>1143</v>
      </c>
      <c r="H419" s="44">
        <f>VLOOKUP($A419,'BCA-2023-2026'!$B$2:$S$641,18,FALSE)</f>
        <v>6.4</v>
      </c>
    </row>
    <row r="420" spans="1:8" x14ac:dyDescent="0.3">
      <c r="A420" s="2">
        <v>1323597</v>
      </c>
      <c r="B420" s="2" t="s">
        <v>571</v>
      </c>
      <c r="C420" s="2" t="s">
        <v>1605</v>
      </c>
      <c r="D420" s="2" t="s">
        <v>978</v>
      </c>
      <c r="E420" s="2">
        <v>6201186871</v>
      </c>
      <c r="F420" s="2" t="s">
        <v>2176</v>
      </c>
      <c r="G420" s="2" t="s">
        <v>1144</v>
      </c>
      <c r="H420" s="44">
        <f>VLOOKUP($A420,'BCA-2023-2026'!$B$2:$S$641,18,FALSE)</f>
        <v>6.39</v>
      </c>
    </row>
    <row r="421" spans="1:8" x14ac:dyDescent="0.3">
      <c r="A421" s="2">
        <v>1323167</v>
      </c>
      <c r="B421" s="2" t="s">
        <v>176</v>
      </c>
      <c r="C421" s="2" t="s">
        <v>1480</v>
      </c>
      <c r="D421" s="2" t="s">
        <v>1221</v>
      </c>
      <c r="E421" s="2">
        <v>7206968574</v>
      </c>
      <c r="F421" s="2" t="s">
        <v>1838</v>
      </c>
      <c r="G421" s="2" t="s">
        <v>1140</v>
      </c>
      <c r="H421" s="44">
        <f>VLOOKUP($A421,'BCA-2023-2026'!$B$2:$S$641,18,FALSE)</f>
        <v>6.3825000000000003</v>
      </c>
    </row>
    <row r="422" spans="1:8" x14ac:dyDescent="0.3">
      <c r="A422" s="2">
        <v>1323601</v>
      </c>
      <c r="B422" s="2" t="s">
        <v>575</v>
      </c>
      <c r="C422" s="2" t="s">
        <v>911</v>
      </c>
      <c r="D422" s="2" t="s">
        <v>974</v>
      </c>
      <c r="E422" s="2">
        <v>7696164510</v>
      </c>
      <c r="F422" s="2" t="s">
        <v>2180</v>
      </c>
      <c r="G422" s="2" t="s">
        <v>1140</v>
      </c>
      <c r="H422" s="44">
        <f>VLOOKUP($A422,'BCA-2023-2026'!$B$2:$S$641,18,FALSE)</f>
        <v>6.375</v>
      </c>
    </row>
    <row r="423" spans="1:8" x14ac:dyDescent="0.3">
      <c r="A423" s="2">
        <v>1323421</v>
      </c>
      <c r="B423" s="2" t="s">
        <v>419</v>
      </c>
      <c r="C423" s="2" t="s">
        <v>809</v>
      </c>
      <c r="D423" s="2" t="s">
        <v>1389</v>
      </c>
      <c r="E423" s="2">
        <v>7488840958</v>
      </c>
      <c r="F423" s="2" t="s">
        <v>2043</v>
      </c>
      <c r="G423" s="2" t="s">
        <v>1143</v>
      </c>
      <c r="H423" s="44">
        <f>VLOOKUP($A423,'BCA-2023-2026'!$B$2:$S$641,18,FALSE)</f>
        <v>6.3624999999999998</v>
      </c>
    </row>
    <row r="424" spans="1:8" x14ac:dyDescent="0.3">
      <c r="A424" s="2">
        <v>1323102</v>
      </c>
      <c r="B424" s="2" t="s">
        <v>111</v>
      </c>
      <c r="C424" s="2" t="s">
        <v>668</v>
      </c>
      <c r="D424" s="2" t="s">
        <v>1128</v>
      </c>
      <c r="E424" s="2"/>
      <c r="F424" s="2"/>
      <c r="G424" s="2"/>
      <c r="H424" s="44">
        <f>VLOOKUP($A424,'BCA-2023-2026'!$B$2:$S$641,18,FALSE)</f>
        <v>6.36</v>
      </c>
    </row>
    <row r="425" spans="1:8" x14ac:dyDescent="0.3">
      <c r="A425" s="2">
        <v>1323567</v>
      </c>
      <c r="B425" s="2" t="s">
        <v>552</v>
      </c>
      <c r="C425" s="2" t="s">
        <v>1586</v>
      </c>
      <c r="D425" s="2" t="s">
        <v>996</v>
      </c>
      <c r="E425" s="2">
        <v>7369016502</v>
      </c>
      <c r="F425" s="2" t="s">
        <v>2157</v>
      </c>
      <c r="G425" s="2" t="s">
        <v>1143</v>
      </c>
      <c r="H425" s="44">
        <f>VLOOKUP($A425,'BCA-2023-2026'!$B$2:$S$641,18,FALSE)</f>
        <v>6.3566666666666665</v>
      </c>
    </row>
    <row r="426" spans="1:8" x14ac:dyDescent="0.3">
      <c r="A426" s="2">
        <v>1323327</v>
      </c>
      <c r="B426" s="2" t="s">
        <v>332</v>
      </c>
      <c r="C426" s="2" t="s">
        <v>1546</v>
      </c>
      <c r="D426" s="2" t="s">
        <v>1318</v>
      </c>
      <c r="E426" s="2">
        <v>9813529198</v>
      </c>
      <c r="F426" s="2" t="s">
        <v>1973</v>
      </c>
      <c r="G426" s="2" t="s">
        <v>1142</v>
      </c>
      <c r="H426" s="44">
        <f>VLOOKUP($A426,'BCA-2023-2026'!$B$2:$S$641,18,FALSE)</f>
        <v>6.3425000000000002</v>
      </c>
    </row>
    <row r="427" spans="1:8" x14ac:dyDescent="0.3">
      <c r="A427" s="2">
        <v>1323072</v>
      </c>
      <c r="B427" s="2" t="s">
        <v>82</v>
      </c>
      <c r="C427" s="2" t="s">
        <v>779</v>
      </c>
      <c r="D427" s="2" t="s">
        <v>1153</v>
      </c>
      <c r="E427" s="2">
        <v>9050214683</v>
      </c>
      <c r="F427" s="2" t="s">
        <v>1758</v>
      </c>
      <c r="G427" s="2" t="s">
        <v>1138</v>
      </c>
      <c r="H427" s="44">
        <f>VLOOKUP($A427,'BCA-2023-2026'!$B$2:$S$641,18,FALSE)</f>
        <v>6.34</v>
      </c>
    </row>
    <row r="428" spans="1:8" x14ac:dyDescent="0.3">
      <c r="A428" s="2">
        <v>1323131</v>
      </c>
      <c r="B428" s="2" t="s">
        <v>140</v>
      </c>
      <c r="C428" s="2" t="s">
        <v>680</v>
      </c>
      <c r="D428" s="2" t="s">
        <v>1174</v>
      </c>
      <c r="E428" s="2">
        <v>8572066760</v>
      </c>
      <c r="F428" s="2" t="s">
        <v>1804</v>
      </c>
      <c r="G428" s="2" t="s">
        <v>1139</v>
      </c>
      <c r="H428" s="44">
        <f>VLOOKUP($A428,'BCA-2023-2026'!$B$2:$S$641,18,FALSE)</f>
        <v>6.34</v>
      </c>
    </row>
    <row r="429" spans="1:8" x14ac:dyDescent="0.3">
      <c r="A429" s="2">
        <v>1323156</v>
      </c>
      <c r="B429" s="2" t="s">
        <v>165</v>
      </c>
      <c r="C429" s="2" t="s">
        <v>641</v>
      </c>
      <c r="D429" s="2" t="s">
        <v>1213</v>
      </c>
      <c r="E429" s="2">
        <v>9306125455</v>
      </c>
      <c r="F429" s="2" t="s">
        <v>1827</v>
      </c>
      <c r="G429" s="2" t="s">
        <v>1139</v>
      </c>
      <c r="H429" s="44">
        <f>VLOOKUP($A429,'BCA-2023-2026'!$B$2:$S$641,18,FALSE)</f>
        <v>6.33</v>
      </c>
    </row>
    <row r="430" spans="1:8" x14ac:dyDescent="0.3">
      <c r="A430" s="2">
        <v>1323378</v>
      </c>
      <c r="B430" s="2" t="s">
        <v>376</v>
      </c>
      <c r="C430" s="2" t="s">
        <v>641</v>
      </c>
      <c r="D430" s="2" t="s">
        <v>1352</v>
      </c>
      <c r="E430" s="2">
        <v>7056570021</v>
      </c>
      <c r="F430" s="2" t="s">
        <v>2011</v>
      </c>
      <c r="G430" s="2" t="s">
        <v>1142</v>
      </c>
      <c r="H430" s="44">
        <f>VLOOKUP($A430,'BCA-2023-2026'!$B$2:$S$641,18,FALSE)</f>
        <v>6.33</v>
      </c>
    </row>
    <row r="431" spans="1:8" x14ac:dyDescent="0.3">
      <c r="A431" s="2">
        <v>1323503</v>
      </c>
      <c r="B431" s="2" t="s">
        <v>492</v>
      </c>
      <c r="C431" s="2" t="s">
        <v>722</v>
      </c>
      <c r="D431" s="2" t="s">
        <v>1045</v>
      </c>
      <c r="E431" s="2">
        <v>9507168442</v>
      </c>
      <c r="F431" s="2" t="s">
        <v>2107</v>
      </c>
      <c r="G431" s="2" t="s">
        <v>1144</v>
      </c>
      <c r="H431" s="44">
        <f>VLOOKUP($A431,'BCA-2023-2026'!$B$2:$S$641,18,FALSE)</f>
        <v>6.32</v>
      </c>
    </row>
    <row r="432" spans="1:8" x14ac:dyDescent="0.3">
      <c r="A432" s="2">
        <v>1323553</v>
      </c>
      <c r="B432" s="2" t="s">
        <v>540</v>
      </c>
      <c r="C432" s="2" t="s">
        <v>1579</v>
      </c>
      <c r="D432" s="2" t="s">
        <v>1005</v>
      </c>
      <c r="E432" s="2">
        <v>6200373626</v>
      </c>
      <c r="F432" s="2" t="s">
        <v>2148</v>
      </c>
      <c r="G432" s="2"/>
      <c r="H432" s="44">
        <f>VLOOKUP($A432,'BCA-2023-2026'!$B$2:$S$641,18,FALSE)</f>
        <v>6.32</v>
      </c>
    </row>
    <row r="433" spans="1:8" x14ac:dyDescent="0.3">
      <c r="A433" s="2">
        <v>1323089</v>
      </c>
      <c r="B433" s="2" t="s">
        <v>98</v>
      </c>
      <c r="C433" s="2" t="s">
        <v>1452</v>
      </c>
      <c r="D433" s="2" t="s">
        <v>878</v>
      </c>
      <c r="E433" s="2"/>
      <c r="F433" s="2"/>
      <c r="G433" s="2"/>
      <c r="H433" s="44">
        <f>VLOOKUP($A433,'BCA-2023-2026'!$B$2:$S$641,18,FALSE)</f>
        <v>6.3</v>
      </c>
    </row>
    <row r="434" spans="1:8" x14ac:dyDescent="0.3">
      <c r="A434" s="2">
        <v>1323381</v>
      </c>
      <c r="B434" s="2" t="s">
        <v>379</v>
      </c>
      <c r="C434" s="2" t="s">
        <v>782</v>
      </c>
      <c r="D434" s="2" t="s">
        <v>1355</v>
      </c>
      <c r="E434" s="2">
        <v>7404487267</v>
      </c>
      <c r="F434" s="2" t="s">
        <v>2014</v>
      </c>
      <c r="G434" s="2" t="s">
        <v>1142</v>
      </c>
      <c r="H434" s="44">
        <f>VLOOKUP($A434,'BCA-2023-2026'!$B$2:$S$641,18,FALSE)</f>
        <v>6.3</v>
      </c>
    </row>
    <row r="435" spans="1:8" x14ac:dyDescent="0.3">
      <c r="A435" s="2">
        <v>1323612</v>
      </c>
      <c r="B435" s="2" t="s">
        <v>585</v>
      </c>
      <c r="C435" s="2" t="s">
        <v>916</v>
      </c>
      <c r="D435" s="2" t="s">
        <v>965</v>
      </c>
      <c r="E435" s="2">
        <v>8084003826</v>
      </c>
      <c r="F435" s="2" t="s">
        <v>2191</v>
      </c>
      <c r="G435" s="2" t="s">
        <v>1144</v>
      </c>
      <c r="H435" s="44">
        <f>VLOOKUP($A435,'BCA-2023-2026'!$B$2:$S$641,18,FALSE)</f>
        <v>6.3</v>
      </c>
    </row>
    <row r="436" spans="1:8" x14ac:dyDescent="0.3">
      <c r="A436" s="2">
        <v>1323519</v>
      </c>
      <c r="B436" s="2" t="s">
        <v>508</v>
      </c>
      <c r="C436" s="2" t="s">
        <v>885</v>
      </c>
      <c r="D436" s="2" t="s">
        <v>1032</v>
      </c>
      <c r="E436" s="2">
        <v>9341596138</v>
      </c>
      <c r="F436" s="2" t="s">
        <v>2121</v>
      </c>
      <c r="G436" s="2" t="s">
        <v>1144</v>
      </c>
      <c r="H436" s="44">
        <f>VLOOKUP($A436,'BCA-2023-2026'!$B$2:$S$641,18,FALSE)</f>
        <v>6.28</v>
      </c>
    </row>
    <row r="437" spans="1:8" x14ac:dyDescent="0.3">
      <c r="A437" s="2">
        <v>1323028</v>
      </c>
      <c r="B437" s="2" t="s">
        <v>41</v>
      </c>
      <c r="C437" s="2" t="s">
        <v>1434</v>
      </c>
      <c r="D437" s="2" t="s">
        <v>1104</v>
      </c>
      <c r="E437" s="2">
        <v>7876863816</v>
      </c>
      <c r="F437" s="2" t="s">
        <v>1719</v>
      </c>
      <c r="G437" s="2" t="s">
        <v>1138</v>
      </c>
      <c r="H437" s="44">
        <f>VLOOKUP($A437,'BCA-2023-2026'!$B$2:$S$641,18,FALSE)</f>
        <v>6.2750000000000004</v>
      </c>
    </row>
    <row r="438" spans="1:8" x14ac:dyDescent="0.3">
      <c r="A438" s="2">
        <v>1323350</v>
      </c>
      <c r="B438" s="2" t="s">
        <v>351</v>
      </c>
      <c r="C438" s="2" t="s">
        <v>769</v>
      </c>
      <c r="D438" s="2" t="s">
        <v>1336</v>
      </c>
      <c r="E438" s="2">
        <v>9588526134</v>
      </c>
      <c r="F438" s="2" t="s">
        <v>1988</v>
      </c>
      <c r="G438" s="2" t="s">
        <v>1142</v>
      </c>
      <c r="H438" s="44">
        <f>VLOOKUP($A438,'BCA-2023-2026'!$B$2:$S$641,18,FALSE)</f>
        <v>6.2725</v>
      </c>
    </row>
    <row r="439" spans="1:8" x14ac:dyDescent="0.3">
      <c r="A439" s="2">
        <v>1323175</v>
      </c>
      <c r="B439" s="2" t="s">
        <v>182</v>
      </c>
      <c r="C439" s="2" t="s">
        <v>701</v>
      </c>
      <c r="D439" s="2" t="s">
        <v>668</v>
      </c>
      <c r="E439" s="2">
        <v>7988036345</v>
      </c>
      <c r="F439" s="2" t="s">
        <v>1842</v>
      </c>
      <c r="G439" s="2" t="s">
        <v>1140</v>
      </c>
      <c r="H439" s="44">
        <f>VLOOKUP($A439,'BCA-2023-2026'!$B$2:$S$641,18,FALSE)</f>
        <v>6.27</v>
      </c>
    </row>
    <row r="440" spans="1:8" x14ac:dyDescent="0.3">
      <c r="A440" s="2">
        <v>1323103</v>
      </c>
      <c r="B440" s="2" t="s">
        <v>112</v>
      </c>
      <c r="C440" s="2" t="s">
        <v>669</v>
      </c>
      <c r="D440" s="2" t="s">
        <v>613</v>
      </c>
      <c r="E440" s="2">
        <v>9728610748</v>
      </c>
      <c r="F440" s="2" t="s">
        <v>1781</v>
      </c>
      <c r="G440" s="2" t="s">
        <v>1139</v>
      </c>
      <c r="H440" s="44">
        <f>VLOOKUP($A440,'BCA-2023-2026'!$B$2:$S$641,18,FALSE)</f>
        <v>6.2666666666666666</v>
      </c>
    </row>
    <row r="441" spans="1:8" x14ac:dyDescent="0.3">
      <c r="A441" s="2">
        <v>1323500</v>
      </c>
      <c r="B441" s="2" t="s">
        <v>490</v>
      </c>
      <c r="C441" s="2" t="s">
        <v>871</v>
      </c>
      <c r="D441" s="2" t="s">
        <v>1410</v>
      </c>
      <c r="E441" s="2">
        <v>8228050057</v>
      </c>
      <c r="F441" s="2" t="s">
        <v>2105</v>
      </c>
      <c r="G441" s="2" t="s">
        <v>1144</v>
      </c>
      <c r="H441" s="44">
        <f>VLOOKUP($A441,'BCA-2023-2026'!$B$2:$S$641,18,FALSE)</f>
        <v>6.2666666666666666</v>
      </c>
    </row>
    <row r="442" spans="1:8" x14ac:dyDescent="0.3">
      <c r="A442" s="2">
        <v>1323207</v>
      </c>
      <c r="B442" s="2" t="s">
        <v>214</v>
      </c>
      <c r="C442" s="2" t="s">
        <v>1496</v>
      </c>
      <c r="D442" s="2" t="s">
        <v>1247</v>
      </c>
      <c r="E442" s="2">
        <v>9255163819</v>
      </c>
      <c r="F442" s="2" t="s">
        <v>1872</v>
      </c>
      <c r="G442" s="2" t="s">
        <v>1140</v>
      </c>
      <c r="H442" s="44">
        <f>VLOOKUP($A442,'BCA-2023-2026'!$B$2:$S$641,18,FALSE)</f>
        <v>6.25</v>
      </c>
    </row>
    <row r="443" spans="1:8" x14ac:dyDescent="0.3">
      <c r="A443" s="2">
        <v>1323465</v>
      </c>
      <c r="B443" s="2" t="s">
        <v>456</v>
      </c>
      <c r="C443" s="2" t="s">
        <v>843</v>
      </c>
      <c r="D443" s="2" t="s">
        <v>1072</v>
      </c>
      <c r="E443" s="2">
        <v>9570525854</v>
      </c>
      <c r="F443" s="2" t="s">
        <v>2075</v>
      </c>
      <c r="G443" s="2" t="s">
        <v>1143</v>
      </c>
      <c r="H443" s="44">
        <f>VLOOKUP($A443,'BCA-2023-2026'!$B$2:$S$641,18,FALSE)</f>
        <v>6.25</v>
      </c>
    </row>
    <row r="444" spans="1:8" x14ac:dyDescent="0.3">
      <c r="A444" s="2">
        <v>1323521</v>
      </c>
      <c r="B444" s="2" t="s">
        <v>510</v>
      </c>
      <c r="C444" s="2" t="s">
        <v>887</v>
      </c>
      <c r="D444" s="2" t="s">
        <v>1030</v>
      </c>
      <c r="E444" s="2">
        <v>9546091302</v>
      </c>
      <c r="F444" s="2" t="s">
        <v>2123</v>
      </c>
      <c r="G444" s="2" t="s">
        <v>1144</v>
      </c>
      <c r="H444" s="44">
        <f>VLOOKUP($A444,'BCA-2023-2026'!$B$2:$S$641,18,FALSE)</f>
        <v>6.2433333333333332</v>
      </c>
    </row>
    <row r="445" spans="1:8" x14ac:dyDescent="0.3">
      <c r="A445" s="2">
        <v>1323314</v>
      </c>
      <c r="B445" s="2" t="s">
        <v>319</v>
      </c>
      <c r="C445" s="2" t="s">
        <v>750</v>
      </c>
      <c r="D445" s="2" t="s">
        <v>1307</v>
      </c>
      <c r="E445" s="2">
        <v>9518413019</v>
      </c>
      <c r="F445" s="2" t="s">
        <v>1965</v>
      </c>
      <c r="G445" s="2" t="s">
        <v>1141</v>
      </c>
      <c r="H445" s="44">
        <f>VLOOKUP($A445,'BCA-2023-2026'!$B$2:$S$641,18,FALSE)</f>
        <v>6.24</v>
      </c>
    </row>
    <row r="446" spans="1:8" x14ac:dyDescent="0.3">
      <c r="A446" s="2">
        <v>1323576</v>
      </c>
      <c r="B446" s="2" t="s">
        <v>559</v>
      </c>
      <c r="C446" s="2" t="s">
        <v>1004</v>
      </c>
      <c r="D446" s="2" t="s">
        <v>989</v>
      </c>
      <c r="E446" s="2">
        <v>8252685962</v>
      </c>
      <c r="F446" s="2" t="s">
        <v>2164</v>
      </c>
      <c r="G446" s="2" t="s">
        <v>1143</v>
      </c>
      <c r="H446" s="44">
        <f>VLOOKUP($A446,'BCA-2023-2026'!$B$2:$S$641,18,FALSE)</f>
        <v>6.24</v>
      </c>
    </row>
    <row r="447" spans="1:8" x14ac:dyDescent="0.3">
      <c r="A447" s="2">
        <v>1323149</v>
      </c>
      <c r="B447" s="2" t="s">
        <v>158</v>
      </c>
      <c r="C447" s="2" t="s">
        <v>672</v>
      </c>
      <c r="D447" s="2" t="s">
        <v>1124</v>
      </c>
      <c r="E447" s="2">
        <v>9306644522</v>
      </c>
      <c r="F447" s="2" t="s">
        <v>1821</v>
      </c>
      <c r="G447" s="2" t="s">
        <v>1139</v>
      </c>
      <c r="H447" s="44">
        <f>VLOOKUP($A447,'BCA-2023-2026'!$B$2:$S$641,18,FALSE)</f>
        <v>6.2349999999999994</v>
      </c>
    </row>
    <row r="448" spans="1:8" x14ac:dyDescent="0.3">
      <c r="A448" s="2">
        <v>1323128</v>
      </c>
      <c r="B448" s="2" t="s">
        <v>137</v>
      </c>
      <c r="C448" s="2" t="s">
        <v>678</v>
      </c>
      <c r="D448" s="2" t="s">
        <v>1097</v>
      </c>
      <c r="E448" s="2">
        <v>7900014583</v>
      </c>
      <c r="F448" s="2" t="s">
        <v>1802</v>
      </c>
      <c r="G448" s="2" t="s">
        <v>1139</v>
      </c>
      <c r="H448" s="44">
        <f>VLOOKUP($A448,'BCA-2023-2026'!$B$2:$S$641,18,FALSE)</f>
        <v>6.23</v>
      </c>
    </row>
    <row r="449" spans="1:8" x14ac:dyDescent="0.3">
      <c r="A449" s="2">
        <v>1323212</v>
      </c>
      <c r="B449" s="2" t="s">
        <v>219</v>
      </c>
      <c r="C449" s="2" t="s">
        <v>1499</v>
      </c>
      <c r="D449" s="2" t="s">
        <v>1252</v>
      </c>
      <c r="E449" s="2"/>
      <c r="F449" s="2"/>
      <c r="G449" s="2"/>
      <c r="H449" s="44">
        <f>VLOOKUP($A449,'BCA-2023-2026'!$B$2:$S$641,18,FALSE)</f>
        <v>6.23</v>
      </c>
    </row>
    <row r="450" spans="1:8" x14ac:dyDescent="0.3">
      <c r="A450" s="2">
        <v>1323287</v>
      </c>
      <c r="B450" s="2" t="s">
        <v>292</v>
      </c>
      <c r="C450" s="2" t="s">
        <v>1528</v>
      </c>
      <c r="D450" s="2" t="s">
        <v>1004</v>
      </c>
      <c r="E450" s="2">
        <v>7419832024</v>
      </c>
      <c r="F450" s="2" t="s">
        <v>1942</v>
      </c>
      <c r="G450" s="2" t="s">
        <v>1141</v>
      </c>
      <c r="H450" s="44">
        <f>VLOOKUP($A450,'BCA-2023-2026'!$B$2:$S$641,18,FALSE)</f>
        <v>6.2225000000000001</v>
      </c>
    </row>
    <row r="451" spans="1:8" x14ac:dyDescent="0.3">
      <c r="A451" s="2">
        <v>1323522</v>
      </c>
      <c r="B451" s="2" t="s">
        <v>511</v>
      </c>
      <c r="C451" s="2" t="s">
        <v>888</v>
      </c>
      <c r="D451" s="2" t="s">
        <v>1029</v>
      </c>
      <c r="E451" s="2">
        <v>7209870360</v>
      </c>
      <c r="F451" s="2" t="s">
        <v>2124</v>
      </c>
      <c r="G451" s="2" t="s">
        <v>1144</v>
      </c>
      <c r="H451" s="44">
        <f>VLOOKUP($A451,'BCA-2023-2026'!$B$2:$S$641,18,FALSE)</f>
        <v>6.2149999999999999</v>
      </c>
    </row>
    <row r="452" spans="1:8" x14ac:dyDescent="0.3">
      <c r="A452" s="2">
        <v>1323370</v>
      </c>
      <c r="B452" s="2" t="s">
        <v>369</v>
      </c>
      <c r="C452" s="2" t="s">
        <v>776</v>
      </c>
      <c r="D452" s="2" t="s">
        <v>1346</v>
      </c>
      <c r="E452" s="2">
        <v>9931554481</v>
      </c>
      <c r="F452" s="2" t="s">
        <v>2005</v>
      </c>
      <c r="G452" s="2" t="s">
        <v>1142</v>
      </c>
      <c r="H452" s="44">
        <f>VLOOKUP($A452,'BCA-2023-2026'!$B$2:$S$641,18,FALSE)</f>
        <v>6.2133333333333338</v>
      </c>
    </row>
    <row r="453" spans="1:8" x14ac:dyDescent="0.3">
      <c r="A453" s="2">
        <v>1323290</v>
      </c>
      <c r="B453" s="2" t="s">
        <v>295</v>
      </c>
      <c r="C453" s="2" t="s">
        <v>749</v>
      </c>
      <c r="D453" s="2" t="s">
        <v>613</v>
      </c>
      <c r="E453" s="2">
        <v>9996358091</v>
      </c>
      <c r="F453" s="2" t="s">
        <v>1945</v>
      </c>
      <c r="G453" s="2" t="s">
        <v>1141</v>
      </c>
      <c r="H453" s="44">
        <f>VLOOKUP($A453,'BCA-2023-2026'!$B$2:$S$641,18,FALSE)</f>
        <v>6.2050000000000001</v>
      </c>
    </row>
    <row r="454" spans="1:8" x14ac:dyDescent="0.3">
      <c r="A454" s="2">
        <v>1323002</v>
      </c>
      <c r="B454" s="2" t="s">
        <v>17</v>
      </c>
      <c r="C454" s="2" t="s">
        <v>1424</v>
      </c>
      <c r="D454" s="2" t="s">
        <v>612</v>
      </c>
      <c r="E454" s="2">
        <v>6398068307</v>
      </c>
      <c r="F454" s="2" t="s">
        <v>1700</v>
      </c>
      <c r="G454" s="2" t="s">
        <v>1138</v>
      </c>
      <c r="H454" s="44">
        <f>VLOOKUP($A454,'BCA-2023-2026'!$B$2:$S$641,18,FALSE)</f>
        <v>6.2</v>
      </c>
    </row>
    <row r="455" spans="1:8" x14ac:dyDescent="0.3">
      <c r="A455" s="2">
        <v>1323366</v>
      </c>
      <c r="B455" s="2" t="s">
        <v>365</v>
      </c>
      <c r="C455" s="2" t="s">
        <v>773</v>
      </c>
      <c r="D455" s="2" t="s">
        <v>1177</v>
      </c>
      <c r="E455" s="2">
        <v>9050452413</v>
      </c>
      <c r="F455" s="2" t="s">
        <v>2001</v>
      </c>
      <c r="G455" s="2" t="s">
        <v>1142</v>
      </c>
      <c r="H455" s="44">
        <f>VLOOKUP($A455,'BCA-2023-2026'!$B$2:$S$641,18,FALSE)</f>
        <v>6.2</v>
      </c>
    </row>
    <row r="456" spans="1:8" x14ac:dyDescent="0.3">
      <c r="A456" s="2">
        <v>1323162</v>
      </c>
      <c r="B456" s="2" t="s">
        <v>171</v>
      </c>
      <c r="C456" s="2" t="s">
        <v>696</v>
      </c>
      <c r="D456" s="2" t="s">
        <v>1128</v>
      </c>
      <c r="E456" s="2">
        <v>7015421545</v>
      </c>
      <c r="F456" s="2" t="s">
        <v>1833</v>
      </c>
      <c r="G456" s="2" t="s">
        <v>1140</v>
      </c>
      <c r="H456" s="44">
        <f>VLOOKUP($A456,'BCA-2023-2026'!$B$2:$S$641,18,FALSE)</f>
        <v>6.1950000000000003</v>
      </c>
    </row>
    <row r="457" spans="1:8" x14ac:dyDescent="0.3">
      <c r="A457" s="2">
        <v>1323159</v>
      </c>
      <c r="B457" s="2" t="s">
        <v>168</v>
      </c>
      <c r="C457" s="2" t="s">
        <v>693</v>
      </c>
      <c r="D457" s="2" t="s">
        <v>1216</v>
      </c>
      <c r="E457" s="2">
        <v>8222829961</v>
      </c>
      <c r="F457" s="2" t="s">
        <v>1830</v>
      </c>
      <c r="G457" s="2" t="s">
        <v>1139</v>
      </c>
      <c r="H457" s="44">
        <f>VLOOKUP($A457,'BCA-2023-2026'!$B$2:$S$641,18,FALSE)</f>
        <v>6.1850000000000005</v>
      </c>
    </row>
    <row r="458" spans="1:8" x14ac:dyDescent="0.3">
      <c r="A458" s="2">
        <v>1323552</v>
      </c>
      <c r="B458" s="2" t="s">
        <v>539</v>
      </c>
      <c r="C458" s="2" t="s">
        <v>903</v>
      </c>
      <c r="D458" s="2" t="s">
        <v>1006</v>
      </c>
      <c r="E458" s="2">
        <v>8935816211</v>
      </c>
      <c r="F458" s="2" t="s">
        <v>2147</v>
      </c>
      <c r="G458" s="2" t="s">
        <v>1144</v>
      </c>
      <c r="H458" s="44">
        <f>VLOOKUP($A458,'BCA-2023-2026'!$B$2:$S$641,18,FALSE)</f>
        <v>6.18</v>
      </c>
    </row>
    <row r="459" spans="1:8" x14ac:dyDescent="0.3">
      <c r="A459" s="2">
        <v>1323219</v>
      </c>
      <c r="B459" s="2" t="s">
        <v>226</v>
      </c>
      <c r="C459" s="2" t="s">
        <v>671</v>
      </c>
      <c r="D459" s="2" t="s">
        <v>1173</v>
      </c>
      <c r="E459" s="2">
        <v>9812732732</v>
      </c>
      <c r="F459" s="2" t="s">
        <v>1882</v>
      </c>
      <c r="G459" s="2" t="s">
        <v>1140</v>
      </c>
      <c r="H459" s="44">
        <f>VLOOKUP($A459,'BCA-2023-2026'!$B$2:$S$641,18,FALSE)</f>
        <v>6.1766666666666667</v>
      </c>
    </row>
    <row r="460" spans="1:8" x14ac:dyDescent="0.3">
      <c r="A460" s="2">
        <v>1323392</v>
      </c>
      <c r="B460" s="2" t="s">
        <v>390</v>
      </c>
      <c r="C460" s="2" t="s">
        <v>788</v>
      </c>
      <c r="D460" s="2" t="s">
        <v>1363</v>
      </c>
      <c r="E460" s="2">
        <v>8168528592</v>
      </c>
      <c r="F460" s="2" t="s">
        <v>2020</v>
      </c>
      <c r="G460" s="2" t="s">
        <v>1142</v>
      </c>
      <c r="H460" s="44">
        <f>VLOOKUP($A460,'BCA-2023-2026'!$B$2:$S$641,18,FALSE)</f>
        <v>6.1700000000000008</v>
      </c>
    </row>
    <row r="461" spans="1:8" x14ac:dyDescent="0.3">
      <c r="A461" s="2">
        <v>1323301</v>
      </c>
      <c r="B461" s="2" t="s">
        <v>306</v>
      </c>
      <c r="C461" s="2" t="s">
        <v>1533</v>
      </c>
      <c r="D461" s="2" t="s">
        <v>1302</v>
      </c>
      <c r="E461" s="2">
        <v>9817250741</v>
      </c>
      <c r="F461" s="2" t="s">
        <v>1953</v>
      </c>
      <c r="G461" s="2" t="s">
        <v>1141</v>
      </c>
      <c r="H461" s="44">
        <f>VLOOKUP($A461,'BCA-2023-2026'!$B$2:$S$641,18,FALSE)</f>
        <v>6.17</v>
      </c>
    </row>
    <row r="462" spans="1:8" x14ac:dyDescent="0.3">
      <c r="A462" s="2">
        <v>1323538</v>
      </c>
      <c r="B462" s="2" t="s">
        <v>527</v>
      </c>
      <c r="C462" s="2" t="s">
        <v>799</v>
      </c>
      <c r="D462" s="2" t="s">
        <v>1016</v>
      </c>
      <c r="E462" s="2">
        <v>7367880969</v>
      </c>
      <c r="F462" s="2" t="s">
        <v>2138</v>
      </c>
      <c r="G462" s="2" t="s">
        <v>1144</v>
      </c>
      <c r="H462" s="44">
        <f>VLOOKUP($A462,'BCA-2023-2026'!$B$2:$S$641,18,FALSE)</f>
        <v>6.17</v>
      </c>
    </row>
    <row r="463" spans="1:8" x14ac:dyDescent="0.3">
      <c r="A463" s="2">
        <v>1323038</v>
      </c>
      <c r="B463" s="2" t="s">
        <v>51</v>
      </c>
      <c r="C463" s="2" t="s">
        <v>632</v>
      </c>
      <c r="D463" s="2" t="s">
        <v>1113</v>
      </c>
      <c r="E463" s="2">
        <v>8168199269</v>
      </c>
      <c r="F463" s="2" t="s">
        <v>1728</v>
      </c>
      <c r="G463" s="2" t="s">
        <v>1138</v>
      </c>
      <c r="H463" s="44">
        <f>VLOOKUP($A463,'BCA-2023-2026'!$B$2:$S$641,18,FALSE)</f>
        <v>6.16</v>
      </c>
    </row>
    <row r="464" spans="1:8" x14ac:dyDescent="0.3">
      <c r="A464" s="2">
        <v>1323629</v>
      </c>
      <c r="B464" s="2" t="s">
        <v>610</v>
      </c>
      <c r="C464" s="2" t="s">
        <v>925</v>
      </c>
      <c r="D464" s="2" t="s">
        <v>930</v>
      </c>
      <c r="E464" s="2">
        <v>8986219868</v>
      </c>
      <c r="F464" s="2" t="s">
        <v>2207</v>
      </c>
      <c r="G464" s="2" t="s">
        <v>1142</v>
      </c>
      <c r="H464" s="44">
        <f>VLOOKUP($A464,'BCA-2023-2026'!$B$2:$S$641,18,FALSE)</f>
        <v>6.15</v>
      </c>
    </row>
    <row r="465" spans="1:8" x14ac:dyDescent="0.3">
      <c r="A465" s="2">
        <v>1323218</v>
      </c>
      <c r="B465" s="2" t="s">
        <v>225</v>
      </c>
      <c r="C465" s="2" t="s">
        <v>717</v>
      </c>
      <c r="D465" s="2" t="s">
        <v>1256</v>
      </c>
      <c r="E465" s="2">
        <v>9729367917</v>
      </c>
      <c r="F465" s="2" t="s">
        <v>1881</v>
      </c>
      <c r="G465" s="2" t="s">
        <v>1140</v>
      </c>
      <c r="H465" s="44">
        <f>VLOOKUP($A465,'BCA-2023-2026'!$B$2:$S$641,18,FALSE)</f>
        <v>6.1499999999999995</v>
      </c>
    </row>
    <row r="466" spans="1:8" x14ac:dyDescent="0.3">
      <c r="A466" s="2">
        <v>1323505</v>
      </c>
      <c r="B466" s="2" t="s">
        <v>494</v>
      </c>
      <c r="C466" s="2" t="s">
        <v>873</v>
      </c>
      <c r="D466" s="2" t="s">
        <v>1043</v>
      </c>
      <c r="E466" s="2">
        <v>9135028219</v>
      </c>
      <c r="F466" s="2" t="s">
        <v>2109</v>
      </c>
      <c r="G466" s="2" t="s">
        <v>1144</v>
      </c>
      <c r="H466" s="44">
        <f>VLOOKUP($A466,'BCA-2023-2026'!$B$2:$S$641,18,FALSE)</f>
        <v>6.14</v>
      </c>
    </row>
    <row r="467" spans="1:8" x14ac:dyDescent="0.3">
      <c r="A467" s="2">
        <v>1323240</v>
      </c>
      <c r="B467" s="2" t="s">
        <v>247</v>
      </c>
      <c r="C467" s="2" t="s">
        <v>728</v>
      </c>
      <c r="D467" s="2" t="s">
        <v>1267</v>
      </c>
      <c r="E467" s="2">
        <v>8168324464</v>
      </c>
      <c r="F467" s="2" t="s">
        <v>1899</v>
      </c>
      <c r="G467" s="2" t="s">
        <v>1140</v>
      </c>
      <c r="H467" s="44">
        <f>VLOOKUP($A467,'BCA-2023-2026'!$B$2:$S$641,18,FALSE)</f>
        <v>6.1333333333333329</v>
      </c>
    </row>
    <row r="468" spans="1:8" x14ac:dyDescent="0.3">
      <c r="A468" s="2">
        <v>1323615</v>
      </c>
      <c r="B468" s="2" t="s">
        <v>587</v>
      </c>
      <c r="C468" s="2" t="s">
        <v>917</v>
      </c>
      <c r="D468" s="2" t="s">
        <v>963</v>
      </c>
      <c r="E468" s="2">
        <v>9812275621</v>
      </c>
      <c r="F468" s="2" t="s">
        <v>2193</v>
      </c>
      <c r="G468" s="2" t="s">
        <v>1140</v>
      </c>
      <c r="H468" s="44">
        <f>VLOOKUP($A468,'BCA-2023-2026'!$B$2:$S$641,18,FALSE)</f>
        <v>6.123333333333334</v>
      </c>
    </row>
    <row r="469" spans="1:8" x14ac:dyDescent="0.3">
      <c r="A469" s="2">
        <v>1323495</v>
      </c>
      <c r="B469" s="2" t="s">
        <v>485</v>
      </c>
      <c r="C469" s="2" t="s">
        <v>868</v>
      </c>
      <c r="D469" s="2" t="s">
        <v>1049</v>
      </c>
      <c r="E469" s="2">
        <v>9122150300</v>
      </c>
      <c r="F469" s="2" t="s">
        <v>2102</v>
      </c>
      <c r="G469" s="2" t="s">
        <v>1144</v>
      </c>
      <c r="H469" s="44">
        <f>VLOOKUP($A469,'BCA-2023-2026'!$B$2:$S$641,18,FALSE)</f>
        <v>6.1050000000000004</v>
      </c>
    </row>
    <row r="470" spans="1:8" x14ac:dyDescent="0.3">
      <c r="A470" s="2">
        <v>1323316</v>
      </c>
      <c r="B470" s="2" t="s">
        <v>321</v>
      </c>
      <c r="C470" s="2" t="s">
        <v>759</v>
      </c>
      <c r="D470" s="2" t="s">
        <v>1309</v>
      </c>
      <c r="E470" s="2">
        <v>9012645792</v>
      </c>
      <c r="F470" s="2" t="s">
        <v>1966</v>
      </c>
      <c r="G470" s="2" t="s">
        <v>1141</v>
      </c>
      <c r="H470" s="44">
        <f>VLOOKUP($A470,'BCA-2023-2026'!$B$2:$S$641,18,FALSE)</f>
        <v>6.1</v>
      </c>
    </row>
    <row r="471" spans="1:8" x14ac:dyDescent="0.3">
      <c r="A471" s="2">
        <v>1323271</v>
      </c>
      <c r="B471" s="2" t="s">
        <v>278</v>
      </c>
      <c r="C471" s="2" t="s">
        <v>738</v>
      </c>
      <c r="D471" s="2" t="s">
        <v>1286</v>
      </c>
      <c r="E471" s="2">
        <v>7015471773</v>
      </c>
      <c r="F471" s="2" t="s">
        <v>1927</v>
      </c>
      <c r="G471" s="2" t="s">
        <v>1141</v>
      </c>
      <c r="H471" s="44">
        <f>VLOOKUP($A471,'BCA-2023-2026'!$B$2:$S$641,18,FALSE)</f>
        <v>6.0949999999999998</v>
      </c>
    </row>
    <row r="472" spans="1:8" x14ac:dyDescent="0.3">
      <c r="A472" s="2">
        <v>1323064</v>
      </c>
      <c r="B472" s="2" t="s">
        <v>75</v>
      </c>
      <c r="C472" s="2" t="s">
        <v>646</v>
      </c>
      <c r="D472" s="2" t="s">
        <v>1133</v>
      </c>
      <c r="E472" s="2">
        <v>8950229941</v>
      </c>
      <c r="F472" s="2" t="s">
        <v>1752</v>
      </c>
      <c r="G472" s="2" t="s">
        <v>1138</v>
      </c>
      <c r="H472" s="44">
        <f>VLOOKUP($A472,'BCA-2023-2026'!$B$2:$S$641,18,FALSE)</f>
        <v>6.09</v>
      </c>
    </row>
    <row r="473" spans="1:8" x14ac:dyDescent="0.3">
      <c r="A473" s="2">
        <v>1323088</v>
      </c>
      <c r="B473" s="2" t="s">
        <v>97</v>
      </c>
      <c r="C473" s="2" t="s">
        <v>1451</v>
      </c>
      <c r="D473" s="2" t="s">
        <v>668</v>
      </c>
      <c r="E473" s="2">
        <v>9350090426</v>
      </c>
      <c r="F473" s="2" t="s">
        <v>1770</v>
      </c>
      <c r="G473" s="2" t="s">
        <v>1139</v>
      </c>
      <c r="H473" s="44">
        <f>VLOOKUP($A473,'BCA-2023-2026'!$B$2:$S$641,18,FALSE)</f>
        <v>6.09</v>
      </c>
    </row>
    <row r="474" spans="1:8" x14ac:dyDescent="0.3">
      <c r="A474" s="2">
        <v>1323137</v>
      </c>
      <c r="B474" s="2" t="s">
        <v>146</v>
      </c>
      <c r="C474" s="2" t="s">
        <v>1468</v>
      </c>
      <c r="D474" s="2" t="s">
        <v>1199</v>
      </c>
      <c r="E474" s="2">
        <v>9350618617</v>
      </c>
      <c r="F474" s="2" t="s">
        <v>1810</v>
      </c>
      <c r="G474" s="2" t="s">
        <v>1139</v>
      </c>
      <c r="H474" s="44">
        <f>VLOOKUP($A474,'BCA-2023-2026'!$B$2:$S$641,18,FALSE)</f>
        <v>6.09</v>
      </c>
    </row>
    <row r="475" spans="1:8" x14ac:dyDescent="0.3">
      <c r="A475" s="2">
        <v>1323208</v>
      </c>
      <c r="B475" s="2" t="s">
        <v>215</v>
      </c>
      <c r="C475" s="2" t="s">
        <v>713</v>
      </c>
      <c r="D475" s="2" t="s">
        <v>1248</v>
      </c>
      <c r="E475" s="2">
        <v>6396481967</v>
      </c>
      <c r="F475" s="2" t="s">
        <v>1873</v>
      </c>
      <c r="G475" s="2" t="s">
        <v>1140</v>
      </c>
      <c r="H475" s="44">
        <f>VLOOKUP($A475,'BCA-2023-2026'!$B$2:$S$641,18,FALSE)</f>
        <v>6.09</v>
      </c>
    </row>
    <row r="476" spans="1:8" x14ac:dyDescent="0.3">
      <c r="A476" s="2">
        <v>1323017</v>
      </c>
      <c r="B476" s="2" t="s">
        <v>31</v>
      </c>
      <c r="C476" s="2" t="s">
        <v>1433</v>
      </c>
      <c r="D476" s="2" t="s">
        <v>1097</v>
      </c>
      <c r="E476" s="2">
        <v>8307255025</v>
      </c>
      <c r="F476" s="2" t="s">
        <v>1711</v>
      </c>
      <c r="G476" s="2" t="s">
        <v>1138</v>
      </c>
      <c r="H476" s="44">
        <f>VLOOKUP($A476,'BCA-2023-2026'!$B$2:$S$641,18,FALSE)</f>
        <v>6.07</v>
      </c>
    </row>
    <row r="477" spans="1:8" x14ac:dyDescent="0.3">
      <c r="A477" s="2">
        <v>1323326</v>
      </c>
      <c r="B477" s="2" t="s">
        <v>331</v>
      </c>
      <c r="C477" s="2" t="s">
        <v>1545</v>
      </c>
      <c r="D477" s="2" t="s">
        <v>1317</v>
      </c>
      <c r="E477" s="2"/>
      <c r="F477" s="2"/>
      <c r="G477" s="2"/>
      <c r="H477" s="44">
        <f>VLOOKUP($A477,'BCA-2023-2026'!$B$2:$S$641,18,FALSE)</f>
        <v>6.05</v>
      </c>
    </row>
    <row r="478" spans="1:8" x14ac:dyDescent="0.3">
      <c r="A478" s="2">
        <v>1323359</v>
      </c>
      <c r="B478" s="2" t="s">
        <v>359</v>
      </c>
      <c r="C478" s="2" t="s">
        <v>771</v>
      </c>
      <c r="D478" s="2" t="s">
        <v>964</v>
      </c>
      <c r="E478" s="2">
        <v>9027907210</v>
      </c>
      <c r="F478" s="2" t="s">
        <v>1994</v>
      </c>
      <c r="G478" s="2" t="s">
        <v>1142</v>
      </c>
      <c r="H478" s="44">
        <f>VLOOKUP($A478,'BCA-2023-2026'!$B$2:$S$641,18,FALSE)</f>
        <v>6.05</v>
      </c>
    </row>
    <row r="479" spans="1:8" x14ac:dyDescent="0.3">
      <c r="A479" s="2">
        <v>1323493</v>
      </c>
      <c r="B479" s="2" t="s">
        <v>484</v>
      </c>
      <c r="C479" s="2" t="s">
        <v>866</v>
      </c>
      <c r="D479" s="2" t="s">
        <v>1051</v>
      </c>
      <c r="E479" s="2">
        <v>6204989704</v>
      </c>
      <c r="F479" s="2" t="s">
        <v>2100</v>
      </c>
      <c r="G479" s="2" t="s">
        <v>1144</v>
      </c>
      <c r="H479" s="44">
        <f>VLOOKUP($A479,'BCA-2023-2026'!$B$2:$S$641,18,FALSE)</f>
        <v>6.05</v>
      </c>
    </row>
    <row r="480" spans="1:8" x14ac:dyDescent="0.3">
      <c r="A480" s="2">
        <v>1323613</v>
      </c>
      <c r="B480" s="2" t="s">
        <v>586</v>
      </c>
      <c r="C480" s="2" t="s">
        <v>1612</v>
      </c>
      <c r="D480" s="2" t="s">
        <v>964</v>
      </c>
      <c r="E480" s="2">
        <v>6204322165</v>
      </c>
      <c r="F480" s="2" t="s">
        <v>2192</v>
      </c>
      <c r="G480" s="2" t="s">
        <v>1144</v>
      </c>
      <c r="H480" s="44">
        <f>VLOOKUP($A480,'BCA-2023-2026'!$B$2:$S$641,18,FALSE)</f>
        <v>6.05</v>
      </c>
    </row>
    <row r="481" spans="1:8" x14ac:dyDescent="0.3">
      <c r="A481" s="2">
        <v>1323141</v>
      </c>
      <c r="B481" s="2" t="s">
        <v>150</v>
      </c>
      <c r="C481" s="2" t="s">
        <v>685</v>
      </c>
      <c r="D481" s="2" t="s">
        <v>1038</v>
      </c>
      <c r="E481" s="2">
        <v>9818959320</v>
      </c>
      <c r="F481" s="2" t="s">
        <v>1813</v>
      </c>
      <c r="G481" s="2" t="s">
        <v>1139</v>
      </c>
      <c r="H481" s="44">
        <f>VLOOKUP($A481,'BCA-2023-2026'!$B$2:$S$641,18,FALSE)</f>
        <v>6.0150000000000006</v>
      </c>
    </row>
    <row r="482" spans="1:8" x14ac:dyDescent="0.3">
      <c r="A482" s="2">
        <v>1323080</v>
      </c>
      <c r="B482" s="2" t="s">
        <v>89</v>
      </c>
      <c r="C482" s="2" t="s">
        <v>652</v>
      </c>
      <c r="D482" s="2" t="s">
        <v>1159</v>
      </c>
      <c r="E482" s="2">
        <v>9350756736</v>
      </c>
      <c r="F482" s="2" t="s">
        <v>1763</v>
      </c>
      <c r="G482" s="2" t="s">
        <v>1138</v>
      </c>
      <c r="H482" s="44">
        <f>VLOOKUP($A482,'BCA-2023-2026'!$B$2:$S$641,18,FALSE)</f>
        <v>6</v>
      </c>
    </row>
    <row r="483" spans="1:8" x14ac:dyDescent="0.3">
      <c r="A483" s="2">
        <v>1323228</v>
      </c>
      <c r="B483" s="2" t="s">
        <v>235</v>
      </c>
      <c r="C483" s="2" t="s">
        <v>724</v>
      </c>
      <c r="D483" s="2" t="s">
        <v>1261</v>
      </c>
      <c r="E483" s="2">
        <v>7206210245</v>
      </c>
      <c r="F483" s="2" t="s">
        <v>1891</v>
      </c>
      <c r="G483" s="2" t="s">
        <v>1140</v>
      </c>
      <c r="H483" s="44">
        <f>VLOOKUP($A483,'BCA-2023-2026'!$B$2:$S$641,18,FALSE)</f>
        <v>6</v>
      </c>
    </row>
    <row r="484" spans="1:8" x14ac:dyDescent="0.3">
      <c r="A484" s="2">
        <v>1323482</v>
      </c>
      <c r="B484" s="2" t="s">
        <v>473</v>
      </c>
      <c r="C484" s="2" t="s">
        <v>857</v>
      </c>
      <c r="D484" s="2" t="s">
        <v>1059</v>
      </c>
      <c r="E484" s="2">
        <v>8292227646</v>
      </c>
      <c r="F484" s="2" t="s">
        <v>2091</v>
      </c>
      <c r="G484" s="2" t="s">
        <v>1144</v>
      </c>
      <c r="H484" s="44">
        <f>VLOOKUP($A484,'BCA-2023-2026'!$B$2:$S$641,18,FALSE)</f>
        <v>6</v>
      </c>
    </row>
    <row r="485" spans="1:8" x14ac:dyDescent="0.3">
      <c r="A485" s="2">
        <v>1323111</v>
      </c>
      <c r="B485" s="2" t="s">
        <v>120</v>
      </c>
      <c r="C485" s="2" t="s">
        <v>672</v>
      </c>
      <c r="D485" s="2" t="s">
        <v>1097</v>
      </c>
      <c r="E485" s="2">
        <v>9817675764</v>
      </c>
      <c r="F485" s="2" t="s">
        <v>1789</v>
      </c>
      <c r="G485" s="2" t="s">
        <v>1139</v>
      </c>
      <c r="H485" s="44">
        <f>VLOOKUP($A485,'BCA-2023-2026'!$B$2:$S$641,18,FALSE)</f>
        <v>5.9866666666666672</v>
      </c>
    </row>
    <row r="486" spans="1:8" x14ac:dyDescent="0.3">
      <c r="A486" s="2">
        <v>1323063</v>
      </c>
      <c r="B486" s="2" t="s">
        <v>74</v>
      </c>
      <c r="C486" s="2" t="s">
        <v>1443</v>
      </c>
      <c r="D486" s="2" t="s">
        <v>1125</v>
      </c>
      <c r="E486" s="2">
        <v>8950212534</v>
      </c>
      <c r="F486" s="2" t="s">
        <v>1751</v>
      </c>
      <c r="G486" s="2" t="s">
        <v>1138</v>
      </c>
      <c r="H486" s="44">
        <f>VLOOKUP($A486,'BCA-2023-2026'!$B$2:$S$641,18,FALSE)</f>
        <v>5.98</v>
      </c>
    </row>
    <row r="487" spans="1:8" x14ac:dyDescent="0.3">
      <c r="A487" s="2">
        <v>1323211</v>
      </c>
      <c r="B487" s="2" t="s">
        <v>218</v>
      </c>
      <c r="C487" s="2" t="s">
        <v>1498</v>
      </c>
      <c r="D487" s="2" t="s">
        <v>1251</v>
      </c>
      <c r="E487" s="2">
        <v>9350135986</v>
      </c>
      <c r="F487" s="2" t="s">
        <v>1876</v>
      </c>
      <c r="G487" s="2" t="s">
        <v>1140</v>
      </c>
      <c r="H487" s="44">
        <f>VLOOKUP($A487,'BCA-2023-2026'!$B$2:$S$641,18,FALSE)</f>
        <v>5.97</v>
      </c>
    </row>
    <row r="488" spans="1:8" x14ac:dyDescent="0.3">
      <c r="A488" s="2">
        <v>1323108</v>
      </c>
      <c r="B488" s="2" t="s">
        <v>117</v>
      </c>
      <c r="C488" s="2" t="s">
        <v>1455</v>
      </c>
      <c r="D488" s="2" t="s">
        <v>1179</v>
      </c>
      <c r="E488" s="2">
        <v>9816325218</v>
      </c>
      <c r="F488" s="2" t="s">
        <v>1786</v>
      </c>
      <c r="G488" s="2" t="s">
        <v>1139</v>
      </c>
      <c r="H488" s="44">
        <f>VLOOKUP($A488,'BCA-2023-2026'!$B$2:$S$641,18,FALSE)</f>
        <v>5.9649999999999999</v>
      </c>
    </row>
    <row r="489" spans="1:8" x14ac:dyDescent="0.3">
      <c r="A489" s="2">
        <v>1323046</v>
      </c>
      <c r="B489" s="2" t="s">
        <v>58</v>
      </c>
      <c r="C489" s="2" t="s">
        <v>1439</v>
      </c>
      <c r="D489" s="2" t="s">
        <v>1119</v>
      </c>
      <c r="E489" s="2">
        <v>8307702591</v>
      </c>
      <c r="F489" s="2" t="s">
        <v>1735</v>
      </c>
      <c r="G489" s="2" t="s">
        <v>1138</v>
      </c>
      <c r="H489" s="44">
        <f>VLOOKUP($A489,'BCA-2023-2026'!$B$2:$S$641,18,FALSE)</f>
        <v>5.96</v>
      </c>
    </row>
    <row r="490" spans="1:8" x14ac:dyDescent="0.3">
      <c r="A490" s="2">
        <v>1323112</v>
      </c>
      <c r="B490" s="2" t="s">
        <v>121</v>
      </c>
      <c r="C490" s="2" t="s">
        <v>1458</v>
      </c>
      <c r="D490" s="2" t="s">
        <v>1182</v>
      </c>
      <c r="E490" s="2">
        <v>9034580894</v>
      </c>
      <c r="F490" s="2" t="s">
        <v>1790</v>
      </c>
      <c r="G490" s="2" t="s">
        <v>1139</v>
      </c>
      <c r="H490" s="44">
        <f>VLOOKUP($A490,'BCA-2023-2026'!$B$2:$S$641,18,FALSE)</f>
        <v>5.96</v>
      </c>
    </row>
    <row r="491" spans="1:8" x14ac:dyDescent="0.3">
      <c r="A491" s="2">
        <v>1323368</v>
      </c>
      <c r="B491" s="2" t="s">
        <v>367</v>
      </c>
      <c r="C491" s="2" t="s">
        <v>1562</v>
      </c>
      <c r="D491" s="2" t="s">
        <v>1344</v>
      </c>
      <c r="E491" s="2">
        <v>9991379464</v>
      </c>
      <c r="F491" s="2" t="s">
        <v>2003</v>
      </c>
      <c r="G491" s="2" t="s">
        <v>1142</v>
      </c>
      <c r="H491" s="44">
        <f>VLOOKUP($A491,'BCA-2023-2026'!$B$2:$S$641,18,FALSE)</f>
        <v>5.95</v>
      </c>
    </row>
    <row r="492" spans="1:8" x14ac:dyDescent="0.3">
      <c r="A492" s="2">
        <v>1323420</v>
      </c>
      <c r="B492" s="2" t="s">
        <v>418</v>
      </c>
      <c r="C492" s="2" t="s">
        <v>808</v>
      </c>
      <c r="D492" s="2" t="s">
        <v>1388</v>
      </c>
      <c r="E492" s="2">
        <v>7840048547</v>
      </c>
      <c r="F492" s="2" t="s">
        <v>2042</v>
      </c>
      <c r="G492" s="2" t="s">
        <v>1143</v>
      </c>
      <c r="H492" s="44">
        <f>VLOOKUP($A492,'BCA-2023-2026'!$B$2:$S$641,18,FALSE)</f>
        <v>5.9466666666666663</v>
      </c>
    </row>
    <row r="493" spans="1:8" x14ac:dyDescent="0.3">
      <c r="A493" s="2">
        <v>1323093</v>
      </c>
      <c r="B493" s="2" t="s">
        <v>102</v>
      </c>
      <c r="C493" s="2" t="s">
        <v>662</v>
      </c>
      <c r="D493" s="2" t="s">
        <v>1169</v>
      </c>
      <c r="E493" s="2">
        <v>9416904526</v>
      </c>
      <c r="F493" s="2" t="s">
        <v>1774</v>
      </c>
      <c r="G493" s="2" t="s">
        <v>1139</v>
      </c>
      <c r="H493" s="44">
        <f>VLOOKUP($A493,'BCA-2023-2026'!$B$2:$S$641,18,FALSE)</f>
        <v>5.9333333333333336</v>
      </c>
    </row>
    <row r="494" spans="1:8" x14ac:dyDescent="0.3">
      <c r="A494" s="2">
        <v>1323197</v>
      </c>
      <c r="B494" s="2" t="s">
        <v>204</v>
      </c>
      <c r="C494" s="2" t="s">
        <v>709</v>
      </c>
      <c r="D494" s="2" t="s">
        <v>1240</v>
      </c>
      <c r="E494" s="2">
        <v>8708062651</v>
      </c>
      <c r="F494" s="2" t="s">
        <v>1862</v>
      </c>
      <c r="G494" s="2" t="s">
        <v>1140</v>
      </c>
      <c r="H494" s="44">
        <f>VLOOKUP($A494,'BCA-2023-2026'!$B$2:$S$641,18,FALSE)</f>
        <v>5.9050000000000002</v>
      </c>
    </row>
    <row r="495" spans="1:8" x14ac:dyDescent="0.3">
      <c r="A495" s="2">
        <v>1323127</v>
      </c>
      <c r="B495" s="2" t="s">
        <v>136</v>
      </c>
      <c r="C495" s="2" t="s">
        <v>625</v>
      </c>
      <c r="D495" s="2" t="s">
        <v>1195</v>
      </c>
      <c r="E495" s="2">
        <v>7404564065</v>
      </c>
      <c r="F495" s="2" t="s">
        <v>1801</v>
      </c>
      <c r="G495" s="2" t="s">
        <v>1139</v>
      </c>
      <c r="H495" s="44">
        <f>VLOOKUP($A495,'BCA-2023-2026'!$B$2:$S$641,18,FALSE)</f>
        <v>5.875</v>
      </c>
    </row>
    <row r="496" spans="1:8" x14ac:dyDescent="0.3">
      <c r="A496" s="2">
        <v>1323380</v>
      </c>
      <c r="B496" s="2" t="s">
        <v>378</v>
      </c>
      <c r="C496" s="2" t="s">
        <v>1356</v>
      </c>
      <c r="D496" s="2" t="s">
        <v>1354</v>
      </c>
      <c r="E496" s="2">
        <v>9817251606</v>
      </c>
      <c r="F496" s="2" t="s">
        <v>2013</v>
      </c>
      <c r="G496" s="2" t="s">
        <v>1142</v>
      </c>
      <c r="H496" s="44">
        <f>VLOOKUP($A496,'BCA-2023-2026'!$B$2:$S$641,18,FALSE)</f>
        <v>5.86</v>
      </c>
    </row>
    <row r="497" spans="1:8" x14ac:dyDescent="0.3">
      <c r="A497" s="2">
        <v>1323628</v>
      </c>
      <c r="B497" s="2" t="s">
        <v>609</v>
      </c>
      <c r="C497" s="2" t="s">
        <v>877</v>
      </c>
      <c r="D497" s="2" t="s">
        <v>931</v>
      </c>
      <c r="E497" s="2">
        <v>9546144555</v>
      </c>
      <c r="F497" s="2" t="s">
        <v>2206</v>
      </c>
      <c r="G497" s="2" t="s">
        <v>1142</v>
      </c>
      <c r="H497" s="44">
        <f>VLOOKUP($A497,'BCA-2023-2026'!$B$2:$S$641,18,FALSE)</f>
        <v>5.86</v>
      </c>
    </row>
    <row r="498" spans="1:8" x14ac:dyDescent="0.3">
      <c r="A498" s="2">
        <v>1323122</v>
      </c>
      <c r="B498" s="2" t="s">
        <v>131</v>
      </c>
      <c r="C498" s="2" t="s">
        <v>1463</v>
      </c>
      <c r="D498" s="2" t="s">
        <v>1191</v>
      </c>
      <c r="E498" s="2"/>
      <c r="F498" s="2"/>
      <c r="G498" s="2"/>
      <c r="H498" s="44">
        <f>VLOOKUP($A498,'BCA-2023-2026'!$B$2:$S$641,18,FALSE)</f>
        <v>5.84</v>
      </c>
    </row>
    <row r="499" spans="1:8" x14ac:dyDescent="0.3">
      <c r="A499" s="2">
        <v>1323106</v>
      </c>
      <c r="B499" s="2" t="s">
        <v>115</v>
      </c>
      <c r="C499" s="2" t="s">
        <v>671</v>
      </c>
      <c r="D499" s="2" t="s">
        <v>1177</v>
      </c>
      <c r="E499" s="2">
        <v>8708564493</v>
      </c>
      <c r="F499" s="2" t="s">
        <v>1784</v>
      </c>
      <c r="G499" s="2" t="s">
        <v>1139</v>
      </c>
      <c r="H499" s="44">
        <f>VLOOKUP($A499,'BCA-2023-2026'!$B$2:$S$641,18,FALSE)</f>
        <v>5.82</v>
      </c>
    </row>
    <row r="500" spans="1:8" x14ac:dyDescent="0.3">
      <c r="A500" s="2">
        <v>1323190</v>
      </c>
      <c r="B500" s="2" t="s">
        <v>197</v>
      </c>
      <c r="C500" s="2" t="s">
        <v>1491</v>
      </c>
      <c r="D500" s="2" t="s">
        <v>1235</v>
      </c>
      <c r="E500" s="2">
        <v>8534916375</v>
      </c>
      <c r="F500" s="2" t="s">
        <v>1855</v>
      </c>
      <c r="G500" s="2" t="s">
        <v>1140</v>
      </c>
      <c r="H500" s="44">
        <f>VLOOKUP($A500,'BCA-2023-2026'!$B$2:$S$641,18,FALSE)</f>
        <v>5.82</v>
      </c>
    </row>
    <row r="501" spans="1:8" x14ac:dyDescent="0.3">
      <c r="A501" s="2">
        <v>1323324</v>
      </c>
      <c r="B501" s="2" t="s">
        <v>329</v>
      </c>
      <c r="C501" s="2" t="s">
        <v>1543</v>
      </c>
      <c r="D501" s="2" t="s">
        <v>1253</v>
      </c>
      <c r="E501" s="2">
        <v>9306309656</v>
      </c>
      <c r="F501" s="2" t="s">
        <v>1972</v>
      </c>
      <c r="G501" s="2" t="s">
        <v>1142</v>
      </c>
      <c r="H501" s="44">
        <f>VLOOKUP($A501,'BCA-2023-2026'!$B$2:$S$641,18,FALSE)</f>
        <v>5.8049999999999997</v>
      </c>
    </row>
    <row r="502" spans="1:8" x14ac:dyDescent="0.3">
      <c r="A502" s="2">
        <v>1323373</v>
      </c>
      <c r="B502" s="2" t="s">
        <v>372</v>
      </c>
      <c r="C502" s="2" t="s">
        <v>778</v>
      </c>
      <c r="D502" s="2" t="s">
        <v>1348</v>
      </c>
      <c r="E502" s="2">
        <v>9128785464</v>
      </c>
      <c r="F502" s="2" t="s">
        <v>2007</v>
      </c>
      <c r="G502" s="2" t="s">
        <v>1142</v>
      </c>
      <c r="H502" s="44">
        <f>VLOOKUP($A502,'BCA-2023-2026'!$B$2:$S$641,18,FALSE)</f>
        <v>5.7949999999999999</v>
      </c>
    </row>
    <row r="503" spans="1:8" x14ac:dyDescent="0.3">
      <c r="A503" s="2">
        <v>1323095</v>
      </c>
      <c r="B503" s="2" t="s">
        <v>104</v>
      </c>
      <c r="C503" s="2" t="s">
        <v>664</v>
      </c>
      <c r="D503" s="2" t="s">
        <v>1171</v>
      </c>
      <c r="E503" s="2">
        <v>9416264031</v>
      </c>
      <c r="F503" s="2" t="s">
        <v>1776</v>
      </c>
      <c r="G503" s="2" t="s">
        <v>1139</v>
      </c>
      <c r="H503" s="44">
        <f>VLOOKUP($A503,'BCA-2023-2026'!$B$2:$S$641,18,FALSE)</f>
        <v>5.64</v>
      </c>
    </row>
    <row r="504" spans="1:8" x14ac:dyDescent="0.3">
      <c r="A504" s="2">
        <v>1323371</v>
      </c>
      <c r="B504" s="2" t="s">
        <v>370</v>
      </c>
      <c r="C504" s="2" t="s">
        <v>777</v>
      </c>
      <c r="D504" s="2" t="s">
        <v>1347</v>
      </c>
      <c r="E504" s="2">
        <v>7070015806</v>
      </c>
      <c r="F504" s="2" t="s">
        <v>2006</v>
      </c>
      <c r="G504" s="2" t="s">
        <v>1142</v>
      </c>
      <c r="H504" s="44">
        <f>VLOOKUP($A504,'BCA-2023-2026'!$B$2:$S$641,18,FALSE)</f>
        <v>5.59</v>
      </c>
    </row>
  </sheetData>
  <sortState xmlns:xlrd2="http://schemas.microsoft.com/office/spreadsheetml/2017/richdata2" ref="A1:H505">
    <sortCondition descending="1" ref="H1:H50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BCA-2023-2026</vt:lpstr>
      <vt:lpstr>V-Lookup</vt:lpstr>
      <vt:lpstr>BCA-2023-UPDATE</vt:lpstr>
      <vt:lpstr>TOP 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Pratipal Kumar Singh</dc:creator>
  <cp:lastModifiedBy>Pratipal Kumar Singh</cp:lastModifiedBy>
  <cp:lastPrinted>2026-02-05T04:56:03Z</cp:lastPrinted>
  <dcterms:created xsi:type="dcterms:W3CDTF">2015-06-05T18:17:20Z</dcterms:created>
  <dcterms:modified xsi:type="dcterms:W3CDTF">2026-02-10T07:04:08Z</dcterms:modified>
</cp:coreProperties>
</file>